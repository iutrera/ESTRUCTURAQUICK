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dea3e10dd9e66e0/Estructuras/"/>
    </mc:Choice>
  </mc:AlternateContent>
  <xr:revisionPtr revIDLastSave="12" documentId="13_ncr:1_{C9F0CDB3-C31E-436C-873F-AC5371A93FDA}" xr6:coauthVersionLast="47" xr6:coauthVersionMax="47" xr10:uidLastSave="{802C6436-9BC2-4D71-8947-EB882752B4E6}"/>
  <bookViews>
    <workbookView xWindow="25510" yWindow="0" windowWidth="25780" windowHeight="20970" activeTab="1" xr2:uid="{00000000-000D-0000-FFFF-FFFF00000000}"/>
  </bookViews>
  <sheets>
    <sheet name="INITIALIZE" sheetId="10" r:id="rId1"/>
    <sheet name="Coin1" sheetId="1" r:id="rId2"/>
    <sheet name="Coin2" sheetId="2" r:id="rId3"/>
    <sheet name="Coin3" sheetId="8" r:id="rId4"/>
    <sheet name="Coin4" sheetId="9" r:id="rId5"/>
    <sheet name="Export" sheetId="3" r:id="rId6"/>
    <sheet name="Correspondance" sheetId="4" r:id="rId7"/>
    <sheet name="Sheet3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" l="1"/>
  <c r="B16" i="1"/>
  <c r="O88" i="10"/>
  <c r="O80" i="10"/>
  <c r="O54" i="10"/>
  <c r="O36" i="10"/>
  <c r="O39" i="10"/>
  <c r="D26" i="10" l="1"/>
  <c r="D25" i="10"/>
  <c r="A959" i="3" l="1"/>
  <c r="A640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577" i="3"/>
  <c r="A576" i="3"/>
  <c r="A575" i="3"/>
  <c r="A574" i="3"/>
  <c r="A571" i="3"/>
  <c r="A572" i="3"/>
  <c r="A57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34" i="3"/>
  <c r="A335" i="3"/>
  <c r="A329" i="3"/>
  <c r="A330" i="3"/>
  <c r="A331" i="3"/>
  <c r="A332" i="3"/>
  <c r="A333" i="3"/>
  <c r="A321" i="3"/>
  <c r="A322" i="3"/>
  <c r="A323" i="3"/>
  <c r="A324" i="3"/>
  <c r="A325" i="3"/>
  <c r="A326" i="3"/>
  <c r="A327" i="3"/>
  <c r="A328" i="3"/>
  <c r="A320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1" i="3"/>
  <c r="O97" i="10"/>
  <c r="O104" i="10"/>
  <c r="O86" i="10" s="1"/>
  <c r="O90" i="10" s="1"/>
  <c r="O105" i="10"/>
  <c r="O94" i="10"/>
  <c r="O60" i="10"/>
  <c r="O43" i="10"/>
  <c r="O45" i="10"/>
  <c r="O44" i="10" s="1"/>
  <c r="O37" i="10"/>
  <c r="O38" i="10"/>
  <c r="O42" i="10" l="1"/>
  <c r="O87" i="10"/>
  <c r="O58" i="10" l="1"/>
  <c r="O59" i="10" s="1"/>
  <c r="O91" i="10"/>
  <c r="O55" i="10" l="1"/>
  <c r="O57" i="10" s="1"/>
  <c r="O92" i="10"/>
  <c r="O93" i="10" s="1"/>
  <c r="O106" i="10"/>
  <c r="O98" i="10"/>
  <c r="O95" i="10"/>
  <c r="O89" i="10"/>
  <c r="I2" i="9" l="1"/>
  <c r="I1" i="9"/>
  <c r="I2" i="8"/>
  <c r="I1" i="8"/>
  <c r="I2" i="2"/>
  <c r="I1" i="2"/>
  <c r="X3" i="1"/>
  <c r="X4" i="1"/>
  <c r="X2" i="1"/>
  <c r="X1" i="1"/>
  <c r="U2" i="1"/>
  <c r="U3" i="1"/>
  <c r="U4" i="1"/>
  <c r="U5" i="1"/>
  <c r="U1" i="1"/>
  <c r="R2" i="1"/>
  <c r="R3" i="1"/>
  <c r="R4" i="1"/>
  <c r="R5" i="1"/>
  <c r="R6" i="1"/>
  <c r="R1" i="1"/>
  <c r="O2" i="1"/>
  <c r="O3" i="1"/>
  <c r="O4" i="1"/>
  <c r="O5" i="1"/>
  <c r="O6" i="1"/>
  <c r="O7" i="1"/>
  <c r="O8" i="1"/>
  <c r="O9" i="1"/>
  <c r="O10" i="1"/>
  <c r="O11" i="1"/>
  <c r="O12" i="1"/>
  <c r="O13" i="1"/>
  <c r="O1" i="1"/>
  <c r="L2" i="1"/>
  <c r="L3" i="1"/>
  <c r="L4" i="1"/>
  <c r="L5" i="1"/>
  <c r="L6" i="1"/>
  <c r="L7" i="1"/>
  <c r="L8" i="1"/>
  <c r="L9" i="1"/>
  <c r="L1" i="1"/>
  <c r="I2" i="1"/>
  <c r="I3" i="1"/>
  <c r="I4" i="1"/>
  <c r="I5" i="1"/>
  <c r="I6" i="1"/>
  <c r="I7" i="1"/>
  <c r="I8" i="1"/>
  <c r="I9" i="1"/>
  <c r="I10" i="1"/>
  <c r="I11" i="1"/>
  <c r="I12" i="1"/>
  <c r="I1" i="1"/>
  <c r="C2" i="2" l="1"/>
  <c r="C576" i="3" s="1"/>
  <c r="D6" i="1"/>
  <c r="D5" i="3" s="1"/>
  <c r="D14" i="1"/>
  <c r="D13" i="3" s="1"/>
  <c r="D2" i="2" l="1"/>
  <c r="D576" i="3" s="1"/>
  <c r="B2" i="2"/>
  <c r="B576" i="3" s="1"/>
  <c r="A3" i="9"/>
  <c r="A3" i="8"/>
  <c r="S323" i="7"/>
  <c r="V323" i="7" s="1"/>
  <c r="T323" i="7"/>
  <c r="U323" i="7"/>
  <c r="S4" i="7"/>
  <c r="S5" i="7"/>
  <c r="S6" i="7"/>
  <c r="S7" i="7"/>
  <c r="S8" i="7"/>
  <c r="S9" i="7"/>
  <c r="V9" i="7" s="1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V33" i="7" s="1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V57" i="7" s="1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V73" i="7" s="1"/>
  <c r="S74" i="7"/>
  <c r="S75" i="7"/>
  <c r="S76" i="7"/>
  <c r="S77" i="7"/>
  <c r="S78" i="7"/>
  <c r="S79" i="7"/>
  <c r="S80" i="7"/>
  <c r="S81" i="7"/>
  <c r="V81" i="7" s="1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V97" i="7" s="1"/>
  <c r="S98" i="7"/>
  <c r="S99" i="7"/>
  <c r="S100" i="7"/>
  <c r="S101" i="7"/>
  <c r="S102" i="7"/>
  <c r="S103" i="7"/>
  <c r="S104" i="7"/>
  <c r="S105" i="7"/>
  <c r="V105" i="7" s="1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V121" i="7" s="1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T5" i="7"/>
  <c r="V5" i="7" s="1"/>
  <c r="U5" i="7"/>
  <c r="T6" i="7"/>
  <c r="U6" i="7"/>
  <c r="T7" i="7"/>
  <c r="U7" i="7"/>
  <c r="T8" i="7"/>
  <c r="V8" i="7" s="1"/>
  <c r="U8" i="7"/>
  <c r="T9" i="7"/>
  <c r="U9" i="7"/>
  <c r="T10" i="7"/>
  <c r="U10" i="7"/>
  <c r="T11" i="7"/>
  <c r="U11" i="7"/>
  <c r="T12" i="7"/>
  <c r="U12" i="7"/>
  <c r="T13" i="7"/>
  <c r="U13" i="7"/>
  <c r="T14" i="7"/>
  <c r="V14" i="7" s="1"/>
  <c r="U14" i="7"/>
  <c r="T15" i="7"/>
  <c r="U15" i="7"/>
  <c r="T16" i="7"/>
  <c r="U16" i="7"/>
  <c r="T17" i="7"/>
  <c r="U17" i="7"/>
  <c r="T18" i="7"/>
  <c r="U18" i="7"/>
  <c r="T19" i="7"/>
  <c r="U19" i="7"/>
  <c r="T20" i="7"/>
  <c r="U20" i="7"/>
  <c r="T21" i="7"/>
  <c r="V21" i="7" s="1"/>
  <c r="U21" i="7"/>
  <c r="T22" i="7"/>
  <c r="U22" i="7"/>
  <c r="T23" i="7"/>
  <c r="U23" i="7"/>
  <c r="T24" i="7"/>
  <c r="U24" i="7"/>
  <c r="T25" i="7"/>
  <c r="U25" i="7"/>
  <c r="T26" i="7"/>
  <c r="V26" i="7" s="1"/>
  <c r="U26" i="7"/>
  <c r="T27" i="7"/>
  <c r="U27" i="7"/>
  <c r="T28" i="7"/>
  <c r="U28" i="7"/>
  <c r="T29" i="7"/>
  <c r="V29" i="7" s="1"/>
  <c r="U29" i="7"/>
  <c r="T30" i="7"/>
  <c r="U30" i="7"/>
  <c r="T31" i="7"/>
  <c r="U31" i="7"/>
  <c r="T32" i="7"/>
  <c r="V32" i="7" s="1"/>
  <c r="U32" i="7"/>
  <c r="T33" i="7"/>
  <c r="U33" i="7"/>
  <c r="T34" i="7"/>
  <c r="U34" i="7"/>
  <c r="T35" i="7"/>
  <c r="U35" i="7"/>
  <c r="T36" i="7"/>
  <c r="U36" i="7"/>
  <c r="T37" i="7"/>
  <c r="U37" i="7"/>
  <c r="T38" i="7"/>
  <c r="V38" i="7" s="1"/>
  <c r="U38" i="7"/>
  <c r="T39" i="7"/>
  <c r="U39" i="7"/>
  <c r="T40" i="7"/>
  <c r="U40" i="7"/>
  <c r="T41" i="7"/>
  <c r="U41" i="7"/>
  <c r="T42" i="7"/>
  <c r="U42" i="7"/>
  <c r="T43" i="7"/>
  <c r="U43" i="7"/>
  <c r="T44" i="7"/>
  <c r="U44" i="7"/>
  <c r="T45" i="7"/>
  <c r="V45" i="7" s="1"/>
  <c r="U45" i="7"/>
  <c r="T46" i="7"/>
  <c r="U46" i="7"/>
  <c r="T47" i="7"/>
  <c r="U47" i="7"/>
  <c r="T48" i="7"/>
  <c r="U48" i="7"/>
  <c r="T49" i="7"/>
  <c r="U49" i="7"/>
  <c r="T50" i="7"/>
  <c r="V50" i="7" s="1"/>
  <c r="U50" i="7"/>
  <c r="T51" i="7"/>
  <c r="U51" i="7"/>
  <c r="T52" i="7"/>
  <c r="U52" i="7"/>
  <c r="T53" i="7"/>
  <c r="V53" i="7" s="1"/>
  <c r="U53" i="7"/>
  <c r="T54" i="7"/>
  <c r="U54" i="7"/>
  <c r="T55" i="7"/>
  <c r="U55" i="7"/>
  <c r="T56" i="7"/>
  <c r="V56" i="7" s="1"/>
  <c r="U56" i="7"/>
  <c r="T57" i="7"/>
  <c r="U57" i="7"/>
  <c r="T58" i="7"/>
  <c r="U58" i="7"/>
  <c r="T59" i="7"/>
  <c r="U59" i="7"/>
  <c r="T60" i="7"/>
  <c r="U60" i="7"/>
  <c r="T61" i="7"/>
  <c r="U61" i="7"/>
  <c r="T62" i="7"/>
  <c r="V62" i="7" s="1"/>
  <c r="U62" i="7"/>
  <c r="T63" i="7"/>
  <c r="U63" i="7"/>
  <c r="T64" i="7"/>
  <c r="U64" i="7"/>
  <c r="T65" i="7"/>
  <c r="U65" i="7"/>
  <c r="T66" i="7"/>
  <c r="U66" i="7"/>
  <c r="T67" i="7"/>
  <c r="U67" i="7"/>
  <c r="T68" i="7"/>
  <c r="U68" i="7"/>
  <c r="T69" i="7"/>
  <c r="V69" i="7" s="1"/>
  <c r="U69" i="7"/>
  <c r="T70" i="7"/>
  <c r="U70" i="7"/>
  <c r="T71" i="7"/>
  <c r="U71" i="7"/>
  <c r="T72" i="7"/>
  <c r="U72" i="7"/>
  <c r="T73" i="7"/>
  <c r="U73" i="7"/>
  <c r="T74" i="7"/>
  <c r="V74" i="7" s="1"/>
  <c r="U74" i="7"/>
  <c r="T75" i="7"/>
  <c r="U75" i="7"/>
  <c r="T76" i="7"/>
  <c r="U76" i="7"/>
  <c r="T77" i="7"/>
  <c r="V77" i="7" s="1"/>
  <c r="U77" i="7"/>
  <c r="T78" i="7"/>
  <c r="U78" i="7"/>
  <c r="T79" i="7"/>
  <c r="U79" i="7"/>
  <c r="T80" i="7"/>
  <c r="V80" i="7" s="1"/>
  <c r="U80" i="7"/>
  <c r="T81" i="7"/>
  <c r="U81" i="7"/>
  <c r="T82" i="7"/>
  <c r="U82" i="7"/>
  <c r="T83" i="7"/>
  <c r="U83" i="7"/>
  <c r="T84" i="7"/>
  <c r="U84" i="7"/>
  <c r="T85" i="7"/>
  <c r="U85" i="7"/>
  <c r="T86" i="7"/>
  <c r="V86" i="7" s="1"/>
  <c r="U86" i="7"/>
  <c r="T87" i="7"/>
  <c r="U87" i="7"/>
  <c r="T88" i="7"/>
  <c r="U88" i="7"/>
  <c r="T89" i="7"/>
  <c r="U89" i="7"/>
  <c r="T90" i="7"/>
  <c r="U90" i="7"/>
  <c r="T91" i="7"/>
  <c r="U91" i="7"/>
  <c r="T92" i="7"/>
  <c r="U92" i="7"/>
  <c r="T93" i="7"/>
  <c r="V93" i="7" s="1"/>
  <c r="U93" i="7"/>
  <c r="T94" i="7"/>
  <c r="U94" i="7"/>
  <c r="T95" i="7"/>
  <c r="U95" i="7"/>
  <c r="T96" i="7"/>
  <c r="U96" i="7"/>
  <c r="T97" i="7"/>
  <c r="U97" i="7"/>
  <c r="T98" i="7"/>
  <c r="V98" i="7" s="1"/>
  <c r="U98" i="7"/>
  <c r="T99" i="7"/>
  <c r="U99" i="7"/>
  <c r="T100" i="7"/>
  <c r="U100" i="7"/>
  <c r="T101" i="7"/>
  <c r="V101" i="7" s="1"/>
  <c r="U101" i="7"/>
  <c r="T102" i="7"/>
  <c r="U102" i="7"/>
  <c r="T103" i="7"/>
  <c r="U103" i="7"/>
  <c r="T104" i="7"/>
  <c r="V104" i="7" s="1"/>
  <c r="U104" i="7"/>
  <c r="T105" i="7"/>
  <c r="U105" i="7"/>
  <c r="T106" i="7"/>
  <c r="U106" i="7"/>
  <c r="T107" i="7"/>
  <c r="U107" i="7"/>
  <c r="T108" i="7"/>
  <c r="U108" i="7"/>
  <c r="T109" i="7"/>
  <c r="U109" i="7"/>
  <c r="T110" i="7"/>
  <c r="V110" i="7" s="1"/>
  <c r="U110" i="7"/>
  <c r="T111" i="7"/>
  <c r="U111" i="7"/>
  <c r="T112" i="7"/>
  <c r="U112" i="7"/>
  <c r="T113" i="7"/>
  <c r="U113" i="7"/>
  <c r="T114" i="7"/>
  <c r="U114" i="7"/>
  <c r="T115" i="7"/>
  <c r="U115" i="7"/>
  <c r="T116" i="7"/>
  <c r="U116" i="7"/>
  <c r="T117" i="7"/>
  <c r="V117" i="7" s="1"/>
  <c r="U117" i="7"/>
  <c r="T118" i="7"/>
  <c r="U118" i="7"/>
  <c r="T119" i="7"/>
  <c r="U119" i="7"/>
  <c r="T120" i="7"/>
  <c r="U120" i="7"/>
  <c r="T121" i="7"/>
  <c r="U121" i="7"/>
  <c r="T122" i="7"/>
  <c r="V122" i="7" s="1"/>
  <c r="U122" i="7"/>
  <c r="T123" i="7"/>
  <c r="U123" i="7"/>
  <c r="T124" i="7"/>
  <c r="U124" i="7"/>
  <c r="T125" i="7"/>
  <c r="V125" i="7" s="1"/>
  <c r="U125" i="7"/>
  <c r="T126" i="7"/>
  <c r="U126" i="7"/>
  <c r="T127" i="7"/>
  <c r="U127" i="7"/>
  <c r="V127" i="7" s="1"/>
  <c r="T128" i="7"/>
  <c r="V128" i="7" s="1"/>
  <c r="U128" i="7"/>
  <c r="T129" i="7"/>
  <c r="U129" i="7"/>
  <c r="T130" i="7"/>
  <c r="U130" i="7"/>
  <c r="T131" i="7"/>
  <c r="U131" i="7"/>
  <c r="T132" i="7"/>
  <c r="U132" i="7"/>
  <c r="T133" i="7"/>
  <c r="U133" i="7"/>
  <c r="T134" i="7"/>
  <c r="V134" i="7" s="1"/>
  <c r="U134" i="7"/>
  <c r="T135" i="7"/>
  <c r="U135" i="7"/>
  <c r="V135" i="7" s="1"/>
  <c r="T136" i="7"/>
  <c r="U136" i="7"/>
  <c r="T137" i="7"/>
  <c r="U137" i="7"/>
  <c r="T138" i="7"/>
  <c r="U138" i="7"/>
  <c r="T139" i="7"/>
  <c r="U139" i="7"/>
  <c r="T140" i="7"/>
  <c r="U140" i="7"/>
  <c r="T141" i="7"/>
  <c r="V141" i="7" s="1"/>
  <c r="U141" i="7"/>
  <c r="T142" i="7"/>
  <c r="U142" i="7"/>
  <c r="T143" i="7"/>
  <c r="U143" i="7"/>
  <c r="T144" i="7"/>
  <c r="U144" i="7"/>
  <c r="T145" i="7"/>
  <c r="U145" i="7"/>
  <c r="T146" i="7"/>
  <c r="V146" i="7" s="1"/>
  <c r="U146" i="7"/>
  <c r="T147" i="7"/>
  <c r="U147" i="7"/>
  <c r="T148" i="7"/>
  <c r="U148" i="7"/>
  <c r="T149" i="7"/>
  <c r="V149" i="7" s="1"/>
  <c r="U149" i="7"/>
  <c r="T150" i="7"/>
  <c r="U150" i="7"/>
  <c r="T151" i="7"/>
  <c r="U151" i="7"/>
  <c r="V151" i="7" s="1"/>
  <c r="T152" i="7"/>
  <c r="V152" i="7" s="1"/>
  <c r="U152" i="7"/>
  <c r="T153" i="7"/>
  <c r="U153" i="7"/>
  <c r="T154" i="7"/>
  <c r="U154" i="7"/>
  <c r="T155" i="7"/>
  <c r="U155" i="7"/>
  <c r="T156" i="7"/>
  <c r="U156" i="7"/>
  <c r="T157" i="7"/>
  <c r="U157" i="7"/>
  <c r="T158" i="7"/>
  <c r="V158" i="7" s="1"/>
  <c r="U158" i="7"/>
  <c r="T159" i="7"/>
  <c r="U159" i="7"/>
  <c r="T160" i="7"/>
  <c r="U160" i="7"/>
  <c r="T161" i="7"/>
  <c r="U161" i="7"/>
  <c r="T162" i="7"/>
  <c r="U162" i="7"/>
  <c r="T163" i="7"/>
  <c r="U163" i="7"/>
  <c r="T164" i="7"/>
  <c r="V164" i="7" s="1"/>
  <c r="U164" i="7"/>
  <c r="T165" i="7"/>
  <c r="V165" i="7" s="1"/>
  <c r="U165" i="7"/>
  <c r="T166" i="7"/>
  <c r="U166" i="7"/>
  <c r="T167" i="7"/>
  <c r="U167" i="7"/>
  <c r="T168" i="7"/>
  <c r="U168" i="7"/>
  <c r="T169" i="7"/>
  <c r="U169" i="7"/>
  <c r="T170" i="7"/>
  <c r="V170" i="7" s="1"/>
  <c r="U170" i="7"/>
  <c r="T171" i="7"/>
  <c r="U171" i="7"/>
  <c r="T172" i="7"/>
  <c r="V172" i="7" s="1"/>
  <c r="U172" i="7"/>
  <c r="T173" i="7"/>
  <c r="V173" i="7" s="1"/>
  <c r="U173" i="7"/>
  <c r="T174" i="7"/>
  <c r="U174" i="7"/>
  <c r="T175" i="7"/>
  <c r="U175" i="7"/>
  <c r="V175" i="7" s="1"/>
  <c r="T176" i="7"/>
  <c r="V176" i="7" s="1"/>
  <c r="U176" i="7"/>
  <c r="T177" i="7"/>
  <c r="U177" i="7"/>
  <c r="T178" i="7"/>
  <c r="U178" i="7"/>
  <c r="T179" i="7"/>
  <c r="U179" i="7"/>
  <c r="T180" i="7"/>
  <c r="U180" i="7"/>
  <c r="T181" i="7"/>
  <c r="U181" i="7"/>
  <c r="T182" i="7"/>
  <c r="V182" i="7" s="1"/>
  <c r="U182" i="7"/>
  <c r="T183" i="7"/>
  <c r="U183" i="7"/>
  <c r="V183" i="7" s="1"/>
  <c r="T184" i="7"/>
  <c r="U184" i="7"/>
  <c r="T185" i="7"/>
  <c r="U185" i="7"/>
  <c r="T186" i="7"/>
  <c r="U186" i="7"/>
  <c r="T187" i="7"/>
  <c r="U187" i="7"/>
  <c r="T188" i="7"/>
  <c r="V188" i="7" s="1"/>
  <c r="U188" i="7"/>
  <c r="T189" i="7"/>
  <c r="V189" i="7" s="1"/>
  <c r="U189" i="7"/>
  <c r="T190" i="7"/>
  <c r="U190" i="7"/>
  <c r="T191" i="7"/>
  <c r="U191" i="7"/>
  <c r="T192" i="7"/>
  <c r="U192" i="7"/>
  <c r="T193" i="7"/>
  <c r="U193" i="7"/>
  <c r="T194" i="7"/>
  <c r="V194" i="7" s="1"/>
  <c r="U194" i="7"/>
  <c r="T195" i="7"/>
  <c r="U195" i="7"/>
  <c r="T196" i="7"/>
  <c r="U196" i="7"/>
  <c r="T197" i="7"/>
  <c r="V197" i="7" s="1"/>
  <c r="U197" i="7"/>
  <c r="T198" i="7"/>
  <c r="U198" i="7"/>
  <c r="T199" i="7"/>
  <c r="U199" i="7"/>
  <c r="V199" i="7" s="1"/>
  <c r="T200" i="7"/>
  <c r="V200" i="7" s="1"/>
  <c r="U200" i="7"/>
  <c r="T201" i="7"/>
  <c r="U201" i="7"/>
  <c r="T202" i="7"/>
  <c r="U202" i="7"/>
  <c r="T203" i="7"/>
  <c r="U203" i="7"/>
  <c r="T204" i="7"/>
  <c r="U204" i="7"/>
  <c r="T205" i="7"/>
  <c r="U205" i="7"/>
  <c r="T206" i="7"/>
  <c r="V206" i="7" s="1"/>
  <c r="U206" i="7"/>
  <c r="T207" i="7"/>
  <c r="U207" i="7"/>
  <c r="T208" i="7"/>
  <c r="U208" i="7"/>
  <c r="T209" i="7"/>
  <c r="U209" i="7"/>
  <c r="T210" i="7"/>
  <c r="U210" i="7"/>
  <c r="T211" i="7"/>
  <c r="U211" i="7"/>
  <c r="T212" i="7"/>
  <c r="V212" i="7" s="1"/>
  <c r="U212" i="7"/>
  <c r="T213" i="7"/>
  <c r="V213" i="7" s="1"/>
  <c r="U213" i="7"/>
  <c r="T214" i="7"/>
  <c r="U214" i="7"/>
  <c r="T215" i="7"/>
  <c r="U215" i="7"/>
  <c r="T216" i="7"/>
  <c r="U216" i="7"/>
  <c r="T217" i="7"/>
  <c r="U217" i="7"/>
  <c r="T218" i="7"/>
  <c r="V218" i="7" s="1"/>
  <c r="U218" i="7"/>
  <c r="T219" i="7"/>
  <c r="U219" i="7"/>
  <c r="T220" i="7"/>
  <c r="U220" i="7"/>
  <c r="T221" i="7"/>
  <c r="V221" i="7" s="1"/>
  <c r="U221" i="7"/>
  <c r="T222" i="7"/>
  <c r="U222" i="7"/>
  <c r="T223" i="7"/>
  <c r="U223" i="7"/>
  <c r="V223" i="7" s="1"/>
  <c r="T224" i="7"/>
  <c r="V224" i="7" s="1"/>
  <c r="U224" i="7"/>
  <c r="T225" i="7"/>
  <c r="U225" i="7"/>
  <c r="T226" i="7"/>
  <c r="U226" i="7"/>
  <c r="T227" i="7"/>
  <c r="U227" i="7"/>
  <c r="T228" i="7"/>
  <c r="U228" i="7"/>
  <c r="T229" i="7"/>
  <c r="U229" i="7"/>
  <c r="T230" i="7"/>
  <c r="V230" i="7" s="1"/>
  <c r="U230" i="7"/>
  <c r="T231" i="7"/>
  <c r="U231" i="7"/>
  <c r="T232" i="7"/>
  <c r="U232" i="7"/>
  <c r="T233" i="7"/>
  <c r="U233" i="7"/>
  <c r="T234" i="7"/>
  <c r="U234" i="7"/>
  <c r="T235" i="7"/>
  <c r="U235" i="7"/>
  <c r="T236" i="7"/>
  <c r="V236" i="7" s="1"/>
  <c r="U236" i="7"/>
  <c r="T237" i="7"/>
  <c r="V237" i="7" s="1"/>
  <c r="U237" i="7"/>
  <c r="T238" i="7"/>
  <c r="U238" i="7"/>
  <c r="T239" i="7"/>
  <c r="U239" i="7"/>
  <c r="T240" i="7"/>
  <c r="U240" i="7"/>
  <c r="T241" i="7"/>
  <c r="U241" i="7"/>
  <c r="T242" i="7"/>
  <c r="V242" i="7" s="1"/>
  <c r="U242" i="7"/>
  <c r="T243" i="7"/>
  <c r="U243" i="7"/>
  <c r="T244" i="7"/>
  <c r="U244" i="7"/>
  <c r="T245" i="7"/>
  <c r="V245" i="7" s="1"/>
  <c r="U245" i="7"/>
  <c r="T246" i="7"/>
  <c r="U246" i="7"/>
  <c r="T247" i="7"/>
  <c r="U247" i="7"/>
  <c r="V247" i="7" s="1"/>
  <c r="T248" i="7"/>
  <c r="V248" i="7" s="1"/>
  <c r="U248" i="7"/>
  <c r="T249" i="7"/>
  <c r="U249" i="7"/>
  <c r="T250" i="7"/>
  <c r="U250" i="7"/>
  <c r="T251" i="7"/>
  <c r="U251" i="7"/>
  <c r="T252" i="7"/>
  <c r="U252" i="7"/>
  <c r="T253" i="7"/>
  <c r="U253" i="7"/>
  <c r="T254" i="7"/>
  <c r="V254" i="7" s="1"/>
  <c r="U254" i="7"/>
  <c r="T255" i="7"/>
  <c r="U255" i="7"/>
  <c r="T256" i="7"/>
  <c r="U256" i="7"/>
  <c r="T257" i="7"/>
  <c r="U257" i="7"/>
  <c r="T258" i="7"/>
  <c r="U258" i="7"/>
  <c r="T259" i="7"/>
  <c r="U259" i="7"/>
  <c r="T260" i="7"/>
  <c r="V260" i="7" s="1"/>
  <c r="U260" i="7"/>
  <c r="T261" i="7"/>
  <c r="V261" i="7" s="1"/>
  <c r="U261" i="7"/>
  <c r="T262" i="7"/>
  <c r="V262" i="7" s="1"/>
  <c r="U262" i="7"/>
  <c r="T263" i="7"/>
  <c r="U263" i="7"/>
  <c r="T264" i="7"/>
  <c r="U264" i="7"/>
  <c r="T265" i="7"/>
  <c r="U265" i="7"/>
  <c r="T266" i="7"/>
  <c r="V266" i="7" s="1"/>
  <c r="U266" i="7"/>
  <c r="T267" i="7"/>
  <c r="U267" i="7"/>
  <c r="T268" i="7"/>
  <c r="U268" i="7"/>
  <c r="T269" i="7"/>
  <c r="V269" i="7" s="1"/>
  <c r="U269" i="7"/>
  <c r="T270" i="7"/>
  <c r="U270" i="7"/>
  <c r="T271" i="7"/>
  <c r="U271" i="7"/>
  <c r="T272" i="7"/>
  <c r="V272" i="7" s="1"/>
  <c r="U272" i="7"/>
  <c r="T273" i="7"/>
  <c r="U273" i="7"/>
  <c r="T274" i="7"/>
  <c r="U274" i="7"/>
  <c r="T275" i="7"/>
  <c r="U275" i="7"/>
  <c r="T276" i="7"/>
  <c r="U276" i="7"/>
  <c r="T277" i="7"/>
  <c r="U277" i="7"/>
  <c r="T278" i="7"/>
  <c r="V278" i="7" s="1"/>
  <c r="U278" i="7"/>
  <c r="T279" i="7"/>
  <c r="U279" i="7"/>
  <c r="T280" i="7"/>
  <c r="U280" i="7"/>
  <c r="T281" i="7"/>
  <c r="U281" i="7"/>
  <c r="T282" i="7"/>
  <c r="U282" i="7"/>
  <c r="T283" i="7"/>
  <c r="U283" i="7"/>
  <c r="T284" i="7"/>
  <c r="V284" i="7" s="1"/>
  <c r="U284" i="7"/>
  <c r="T285" i="7"/>
  <c r="V285" i="7" s="1"/>
  <c r="U285" i="7"/>
  <c r="T286" i="7"/>
  <c r="U286" i="7"/>
  <c r="T287" i="7"/>
  <c r="U287" i="7"/>
  <c r="T288" i="7"/>
  <c r="U288" i="7"/>
  <c r="T289" i="7"/>
  <c r="U289" i="7"/>
  <c r="T290" i="7"/>
  <c r="V290" i="7" s="1"/>
  <c r="U290" i="7"/>
  <c r="T291" i="7"/>
  <c r="U291" i="7"/>
  <c r="T292" i="7"/>
  <c r="U292" i="7"/>
  <c r="T293" i="7"/>
  <c r="V293" i="7" s="1"/>
  <c r="U293" i="7"/>
  <c r="T294" i="7"/>
  <c r="U294" i="7"/>
  <c r="T295" i="7"/>
  <c r="U295" i="7"/>
  <c r="T296" i="7"/>
  <c r="V296" i="7" s="1"/>
  <c r="U296" i="7"/>
  <c r="T297" i="7"/>
  <c r="U297" i="7"/>
  <c r="T298" i="7"/>
  <c r="U298" i="7"/>
  <c r="T299" i="7"/>
  <c r="U299" i="7"/>
  <c r="T300" i="7"/>
  <c r="U300" i="7"/>
  <c r="T301" i="7"/>
  <c r="U301" i="7"/>
  <c r="T302" i="7"/>
  <c r="V302" i="7" s="1"/>
  <c r="U302" i="7"/>
  <c r="T303" i="7"/>
  <c r="U303" i="7"/>
  <c r="T304" i="7"/>
  <c r="U304" i="7"/>
  <c r="T305" i="7"/>
  <c r="U305" i="7"/>
  <c r="T306" i="7"/>
  <c r="U306" i="7"/>
  <c r="T307" i="7"/>
  <c r="U307" i="7"/>
  <c r="T308" i="7"/>
  <c r="V308" i="7" s="1"/>
  <c r="U308" i="7"/>
  <c r="T309" i="7"/>
  <c r="V309" i="7" s="1"/>
  <c r="U309" i="7"/>
  <c r="T310" i="7"/>
  <c r="U310" i="7"/>
  <c r="T311" i="7"/>
  <c r="U311" i="7"/>
  <c r="T312" i="7"/>
  <c r="U312" i="7"/>
  <c r="T313" i="7"/>
  <c r="U313" i="7"/>
  <c r="T314" i="7"/>
  <c r="V314" i="7" s="1"/>
  <c r="U314" i="7"/>
  <c r="T315" i="7"/>
  <c r="U315" i="7"/>
  <c r="T316" i="7"/>
  <c r="V316" i="7" s="1"/>
  <c r="U316" i="7"/>
  <c r="T317" i="7"/>
  <c r="V317" i="7" s="1"/>
  <c r="U317" i="7"/>
  <c r="T318" i="7"/>
  <c r="U318" i="7"/>
  <c r="T319" i="7"/>
  <c r="U319" i="7"/>
  <c r="T320" i="7"/>
  <c r="V320" i="7" s="1"/>
  <c r="U320" i="7"/>
  <c r="T321" i="7"/>
  <c r="U321" i="7"/>
  <c r="T322" i="7"/>
  <c r="U322" i="7"/>
  <c r="U4" i="7"/>
  <c r="T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L39" i="7" s="1"/>
  <c r="I40" i="7"/>
  <c r="I41" i="7"/>
  <c r="I42" i="7"/>
  <c r="I43" i="7"/>
  <c r="I44" i="7"/>
  <c r="I45" i="7"/>
  <c r="L45" i="7" s="1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L87" i="7" s="1"/>
  <c r="I88" i="7"/>
  <c r="I89" i="7"/>
  <c r="I90" i="7"/>
  <c r="I91" i="7"/>
  <c r="I92" i="7"/>
  <c r="I93" i="7"/>
  <c r="L93" i="7" s="1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L109" i="7" s="1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L135" i="7" s="1"/>
  <c r="I136" i="7"/>
  <c r="I137" i="7"/>
  <c r="I138" i="7"/>
  <c r="I139" i="7"/>
  <c r="I140" i="7"/>
  <c r="I141" i="7"/>
  <c r="L141" i="7" s="1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L183" i="7" s="1"/>
  <c r="I184" i="7"/>
  <c r="I185" i="7"/>
  <c r="I186" i="7"/>
  <c r="I187" i="7"/>
  <c r="I188" i="7"/>
  <c r="I189" i="7"/>
  <c r="L189" i="7" s="1"/>
  <c r="I190" i="7"/>
  <c r="I191" i="7"/>
  <c r="I192" i="7"/>
  <c r="I193" i="7"/>
  <c r="I194" i="7"/>
  <c r="I195" i="7"/>
  <c r="I196" i="7"/>
  <c r="I197" i="7"/>
  <c r="I198" i="7"/>
  <c r="I199" i="7"/>
  <c r="L199" i="7" s="1"/>
  <c r="I200" i="7"/>
  <c r="I201" i="7"/>
  <c r="L201" i="7" s="1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L231" i="7" s="1"/>
  <c r="I232" i="7"/>
  <c r="I233" i="7"/>
  <c r="I234" i="7"/>
  <c r="I235" i="7"/>
  <c r="I236" i="7"/>
  <c r="I237" i="7"/>
  <c r="L237" i="7" s="1"/>
  <c r="I238" i="7"/>
  <c r="I239" i="7"/>
  <c r="I240" i="7"/>
  <c r="I241" i="7"/>
  <c r="I242" i="7"/>
  <c r="I243" i="7"/>
  <c r="I244" i="7"/>
  <c r="I245" i="7"/>
  <c r="I246" i="7"/>
  <c r="I247" i="7"/>
  <c r="L247" i="7" s="1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L279" i="7" s="1"/>
  <c r="I280" i="7"/>
  <c r="I281" i="7"/>
  <c r="I282" i="7"/>
  <c r="I283" i="7"/>
  <c r="I284" i="7"/>
  <c r="I285" i="7"/>
  <c r="L285" i="7" s="1"/>
  <c r="I286" i="7"/>
  <c r="I287" i="7"/>
  <c r="I288" i="7"/>
  <c r="I289" i="7"/>
  <c r="I290" i="7"/>
  <c r="I291" i="7"/>
  <c r="I292" i="7"/>
  <c r="I293" i="7"/>
  <c r="I294" i="7"/>
  <c r="I295" i="7"/>
  <c r="L295" i="7" s="1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4" i="7"/>
  <c r="L16" i="7"/>
  <c r="L63" i="7"/>
  <c r="L297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L24" i="7" s="1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L48" i="7" s="1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L66" i="7" s="1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L90" i="7" s="1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L114" i="7" s="1"/>
  <c r="K115" i="7"/>
  <c r="K116" i="7"/>
  <c r="K117" i="7"/>
  <c r="K118" i="7"/>
  <c r="K119" i="7"/>
  <c r="K120" i="7"/>
  <c r="L120" i="7" s="1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L138" i="7" s="1"/>
  <c r="K139" i="7"/>
  <c r="K140" i="7"/>
  <c r="K141" i="7"/>
  <c r="K142" i="7"/>
  <c r="K143" i="7"/>
  <c r="K144" i="7"/>
  <c r="L144" i="7" s="1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L162" i="7" s="1"/>
  <c r="K163" i="7"/>
  <c r="K164" i="7"/>
  <c r="K165" i="7"/>
  <c r="K166" i="7"/>
  <c r="K167" i="7"/>
  <c r="K168" i="7"/>
  <c r="L168" i="7" s="1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L192" i="7" s="1"/>
  <c r="K193" i="7"/>
  <c r="K194" i="7"/>
  <c r="K195" i="7"/>
  <c r="K196" i="7"/>
  <c r="K197" i="7"/>
  <c r="K198" i="7"/>
  <c r="L198" i="7" s="1"/>
  <c r="K199" i="7"/>
  <c r="K200" i="7"/>
  <c r="K201" i="7"/>
  <c r="K202" i="7"/>
  <c r="K203" i="7"/>
  <c r="K204" i="7"/>
  <c r="K205" i="7"/>
  <c r="K206" i="7"/>
  <c r="K207" i="7"/>
  <c r="K208" i="7"/>
  <c r="K209" i="7"/>
  <c r="K210" i="7"/>
  <c r="L210" i="7" s="1"/>
  <c r="K211" i="7"/>
  <c r="K212" i="7"/>
  <c r="K213" i="7"/>
  <c r="K214" i="7"/>
  <c r="K215" i="7"/>
  <c r="K216" i="7"/>
  <c r="K217" i="7"/>
  <c r="K218" i="7"/>
  <c r="K219" i="7"/>
  <c r="K220" i="7"/>
  <c r="K221" i="7"/>
  <c r="K222" i="7"/>
  <c r="L222" i="7" s="1"/>
  <c r="K223" i="7"/>
  <c r="K224" i="7"/>
  <c r="K225" i="7"/>
  <c r="K226" i="7"/>
  <c r="K227" i="7"/>
  <c r="K228" i="7"/>
  <c r="K229" i="7"/>
  <c r="K230" i="7"/>
  <c r="K231" i="7"/>
  <c r="K232" i="7"/>
  <c r="K233" i="7"/>
  <c r="K234" i="7"/>
  <c r="L234" i="7" s="1"/>
  <c r="K235" i="7"/>
  <c r="K236" i="7"/>
  <c r="K237" i="7"/>
  <c r="K238" i="7"/>
  <c r="K239" i="7"/>
  <c r="K240" i="7"/>
  <c r="K241" i="7"/>
  <c r="K242" i="7"/>
  <c r="K243" i="7"/>
  <c r="K244" i="7"/>
  <c r="K245" i="7"/>
  <c r="K246" i="7"/>
  <c r="L246" i="7" s="1"/>
  <c r="K247" i="7"/>
  <c r="K248" i="7"/>
  <c r="K249" i="7"/>
  <c r="K250" i="7"/>
  <c r="K251" i="7"/>
  <c r="K252" i="7"/>
  <c r="K253" i="7"/>
  <c r="K254" i="7"/>
  <c r="K255" i="7"/>
  <c r="K256" i="7"/>
  <c r="K257" i="7"/>
  <c r="K258" i="7"/>
  <c r="L258" i="7" s="1"/>
  <c r="K259" i="7"/>
  <c r="K260" i="7"/>
  <c r="K261" i="7"/>
  <c r="K262" i="7"/>
  <c r="K263" i="7"/>
  <c r="K264" i="7"/>
  <c r="K265" i="7"/>
  <c r="K266" i="7"/>
  <c r="K267" i="7"/>
  <c r="K268" i="7"/>
  <c r="K269" i="7"/>
  <c r="K270" i="7"/>
  <c r="L270" i="7" s="1"/>
  <c r="K271" i="7"/>
  <c r="K272" i="7"/>
  <c r="K273" i="7"/>
  <c r="K274" i="7"/>
  <c r="K275" i="7"/>
  <c r="K276" i="7"/>
  <c r="K277" i="7"/>
  <c r="K278" i="7"/>
  <c r="K279" i="7"/>
  <c r="K280" i="7"/>
  <c r="K281" i="7"/>
  <c r="K282" i="7"/>
  <c r="L282" i="7" s="1"/>
  <c r="K283" i="7"/>
  <c r="K284" i="7"/>
  <c r="K285" i="7"/>
  <c r="K286" i="7"/>
  <c r="K287" i="7"/>
  <c r="K288" i="7"/>
  <c r="K289" i="7"/>
  <c r="K290" i="7"/>
  <c r="K291" i="7"/>
  <c r="K292" i="7"/>
  <c r="K293" i="7"/>
  <c r="K294" i="7"/>
  <c r="L294" i="7" s="1"/>
  <c r="K295" i="7"/>
  <c r="K296" i="7"/>
  <c r="K297" i="7"/>
  <c r="K298" i="7"/>
  <c r="K299" i="7"/>
  <c r="K300" i="7"/>
  <c r="K301" i="7"/>
  <c r="K302" i="7"/>
  <c r="K303" i="7"/>
  <c r="K304" i="7"/>
  <c r="K305" i="7"/>
  <c r="K306" i="7"/>
  <c r="L306" i="7" s="1"/>
  <c r="K307" i="7"/>
  <c r="K308" i="7"/>
  <c r="K309" i="7"/>
  <c r="K310" i="7"/>
  <c r="K311" i="7"/>
  <c r="K312" i="7"/>
  <c r="K313" i="7"/>
  <c r="K314" i="7"/>
  <c r="K315" i="7"/>
  <c r="K316" i="7"/>
  <c r="K317" i="7"/>
  <c r="K318" i="7"/>
  <c r="L318" i="7" s="1"/>
  <c r="K319" i="7"/>
  <c r="K320" i="7"/>
  <c r="K321" i="7"/>
  <c r="K322" i="7"/>
  <c r="K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4" i="7"/>
  <c r="L4" i="7" s="1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4" i="7"/>
  <c r="F5" i="7"/>
  <c r="F6" i="7"/>
  <c r="H6" i="7" s="1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H30" i="7" s="1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4" i="7"/>
  <c r="E5" i="7"/>
  <c r="E6" i="7"/>
  <c r="E7" i="7"/>
  <c r="H7" i="7" s="1"/>
  <c r="E8" i="7"/>
  <c r="E9" i="7"/>
  <c r="E10" i="7"/>
  <c r="E11" i="7"/>
  <c r="E12" i="7"/>
  <c r="E13" i="7"/>
  <c r="H13" i="7" s="1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H55" i="7" s="1"/>
  <c r="E56" i="7"/>
  <c r="E57" i="7"/>
  <c r="E58" i="7"/>
  <c r="E59" i="7"/>
  <c r="E60" i="7"/>
  <c r="E61" i="7"/>
  <c r="H61" i="7" s="1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H103" i="7" s="1"/>
  <c r="E104" i="7"/>
  <c r="E105" i="7"/>
  <c r="E106" i="7"/>
  <c r="E107" i="7"/>
  <c r="E108" i="7"/>
  <c r="E109" i="7"/>
  <c r="H109" i="7" s="1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H151" i="7" s="1"/>
  <c r="E152" i="7"/>
  <c r="E153" i="7"/>
  <c r="E154" i="7"/>
  <c r="E155" i="7"/>
  <c r="E156" i="7"/>
  <c r="E157" i="7"/>
  <c r="H157" i="7" s="1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H199" i="7" s="1"/>
  <c r="E200" i="7"/>
  <c r="E201" i="7"/>
  <c r="E202" i="7"/>
  <c r="E203" i="7"/>
  <c r="E204" i="7"/>
  <c r="E205" i="7"/>
  <c r="H205" i="7" s="1"/>
  <c r="E206" i="7"/>
  <c r="E207" i="7"/>
  <c r="E208" i="7"/>
  <c r="E209" i="7"/>
  <c r="H209" i="7" s="1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H247" i="7" s="1"/>
  <c r="E248" i="7"/>
  <c r="E249" i="7"/>
  <c r="E250" i="7"/>
  <c r="E251" i="7"/>
  <c r="E252" i="7"/>
  <c r="E253" i="7"/>
  <c r="H253" i="7" s="1"/>
  <c r="E254" i="7"/>
  <c r="E255" i="7"/>
  <c r="E256" i="7"/>
  <c r="E257" i="7"/>
  <c r="E258" i="7"/>
  <c r="E259" i="7"/>
  <c r="E260" i="7"/>
  <c r="E261" i="7"/>
  <c r="E262" i="7"/>
  <c r="E263" i="7"/>
  <c r="H263" i="7" s="1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H295" i="7" s="1"/>
  <c r="E296" i="7"/>
  <c r="E297" i="7"/>
  <c r="E298" i="7"/>
  <c r="E299" i="7"/>
  <c r="E300" i="7"/>
  <c r="E301" i="7"/>
  <c r="H301" i="7" s="1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H317" i="7" s="1"/>
  <c r="E318" i="7"/>
  <c r="E319" i="7"/>
  <c r="E320" i="7"/>
  <c r="E321" i="7"/>
  <c r="E322" i="7"/>
  <c r="E4" i="7"/>
  <c r="D12" i="2"/>
  <c r="D20" i="2"/>
  <c r="L309" i="7" l="1"/>
  <c r="L261" i="7"/>
  <c r="L213" i="7"/>
  <c r="L181" i="7"/>
  <c r="L133" i="7"/>
  <c r="L117" i="7"/>
  <c r="L69" i="7"/>
  <c r="L21" i="7"/>
  <c r="H319" i="7"/>
  <c r="H271" i="7"/>
  <c r="H223" i="7"/>
  <c r="H175" i="7"/>
  <c r="H127" i="7"/>
  <c r="H79" i="7"/>
  <c r="H31" i="7"/>
  <c r="L319" i="7"/>
  <c r="L303" i="7"/>
  <c r="L271" i="7"/>
  <c r="L255" i="7"/>
  <c r="L223" i="7"/>
  <c r="L207" i="7"/>
  <c r="L159" i="7"/>
  <c r="L111" i="7"/>
  <c r="L15" i="7"/>
  <c r="V321" i="7"/>
  <c r="V305" i="7"/>
  <c r="V297" i="7"/>
  <c r="V281" i="7"/>
  <c r="V273" i="7"/>
  <c r="V249" i="7"/>
  <c r="V257" i="7"/>
  <c r="H283" i="7"/>
  <c r="H235" i="7"/>
  <c r="H187" i="7"/>
  <c r="H155" i="7"/>
  <c r="H139" i="7"/>
  <c r="H91" i="7"/>
  <c r="H43" i="7"/>
  <c r="H42" i="7"/>
  <c r="H137" i="7"/>
  <c r="L249" i="7"/>
  <c r="L153" i="7"/>
  <c r="L105" i="7"/>
  <c r="L57" i="7"/>
  <c r="L9" i="7"/>
  <c r="H296" i="7"/>
  <c r="H280" i="7"/>
  <c r="H248" i="7"/>
  <c r="H200" i="7"/>
  <c r="H152" i="7"/>
  <c r="H104" i="7"/>
  <c r="H56" i="7"/>
  <c r="H8" i="7"/>
  <c r="V140" i="7"/>
  <c r="V116" i="7"/>
  <c r="V92" i="7"/>
  <c r="V68" i="7"/>
  <c r="V44" i="7"/>
  <c r="V28" i="7"/>
  <c r="V20" i="7"/>
  <c r="H133" i="7"/>
  <c r="H85" i="7"/>
  <c r="H37" i="7"/>
  <c r="H4" i="7"/>
  <c r="H307" i="7"/>
  <c r="H211" i="7"/>
  <c r="H163" i="7"/>
  <c r="H115" i="7"/>
  <c r="H67" i="7"/>
  <c r="H19" i="7"/>
  <c r="H18" i="7"/>
  <c r="H289" i="7"/>
  <c r="H145" i="7"/>
  <c r="H97" i="7"/>
  <c r="L165" i="7"/>
  <c r="H259" i="7"/>
  <c r="L112" i="7"/>
  <c r="L321" i="7"/>
  <c r="L273" i="7"/>
  <c r="L225" i="7"/>
  <c r="L177" i="7"/>
  <c r="L129" i="7"/>
  <c r="L81" i="7"/>
  <c r="L33" i="7"/>
  <c r="H277" i="7"/>
  <c r="H229" i="7"/>
  <c r="H181" i="7"/>
  <c r="H101" i="7"/>
  <c r="H320" i="7"/>
  <c r="H272" i="7"/>
  <c r="H224" i="7"/>
  <c r="H176" i="7"/>
  <c r="H128" i="7"/>
  <c r="H80" i="7"/>
  <c r="H64" i="7"/>
  <c r="H32" i="7"/>
  <c r="H16" i="7"/>
  <c r="H313" i="7"/>
  <c r="H265" i="7"/>
  <c r="H241" i="7"/>
  <c r="H217" i="7"/>
  <c r="H193" i="7"/>
  <c r="H169" i="7"/>
  <c r="H121" i="7"/>
  <c r="H89" i="7"/>
  <c r="H73" i="7"/>
  <c r="H49" i="7"/>
  <c r="H25" i="7"/>
  <c r="L322" i="7"/>
  <c r="L314" i="7"/>
  <c r="L298" i="7"/>
  <c r="L290" i="7"/>
  <c r="L274" i="7"/>
  <c r="L266" i="7"/>
  <c r="L250" i="7"/>
  <c r="L242" i="7"/>
  <c r="L226" i="7"/>
  <c r="L218" i="7"/>
  <c r="L202" i="7"/>
  <c r="L194" i="7"/>
  <c r="L178" i="7"/>
  <c r="L154" i="7"/>
  <c r="L130" i="7"/>
  <c r="L106" i="7"/>
  <c r="L98" i="7"/>
  <c r="L82" i="7"/>
  <c r="L74" i="7"/>
  <c r="L58" i="7"/>
  <c r="L34" i="7"/>
  <c r="L10" i="7"/>
  <c r="V315" i="7"/>
  <c r="V231" i="7"/>
  <c r="V215" i="7"/>
  <c r="V207" i="7"/>
  <c r="V159" i="7"/>
  <c r="H311" i="7"/>
  <c r="H287" i="7"/>
  <c r="H239" i="7"/>
  <c r="H215" i="7"/>
  <c r="H191" i="7"/>
  <c r="H167" i="7"/>
  <c r="H143" i="7"/>
  <c r="H119" i="7"/>
  <c r="H95" i="7"/>
  <c r="H63" i="7"/>
  <c r="H39" i="7"/>
  <c r="H15" i="7"/>
  <c r="H262" i="7"/>
  <c r="H190" i="7"/>
  <c r="L313" i="7"/>
  <c r="L305" i="7"/>
  <c r="V144" i="7"/>
  <c r="L311" i="7"/>
  <c r="L287" i="7"/>
  <c r="L263" i="7"/>
  <c r="L239" i="7"/>
  <c r="L215" i="7"/>
  <c r="L191" i="7"/>
  <c r="L175" i="7"/>
  <c r="L167" i="7"/>
  <c r="L151" i="7"/>
  <c r="L143" i="7"/>
  <c r="L127" i="7"/>
  <c r="L119" i="7"/>
  <c r="L103" i="7"/>
  <c r="L95" i="7"/>
  <c r="L79" i="7"/>
  <c r="L71" i="7"/>
  <c r="L55" i="7"/>
  <c r="L47" i="7"/>
  <c r="L31" i="7"/>
  <c r="L23" i="7"/>
  <c r="L7" i="7"/>
  <c r="V233" i="7"/>
  <c r="V225" i="7"/>
  <c r="V209" i="7"/>
  <c r="V201" i="7"/>
  <c r="V185" i="7"/>
  <c r="V177" i="7"/>
  <c r="V161" i="7"/>
  <c r="V153" i="7"/>
  <c r="V137" i="7"/>
  <c r="V129" i="7"/>
  <c r="V113" i="7"/>
  <c r="V89" i="7"/>
  <c r="V65" i="7"/>
  <c r="V310" i="7"/>
  <c r="V286" i="7"/>
  <c r="L317" i="7"/>
  <c r="L301" i="7"/>
  <c r="L293" i="7"/>
  <c r="L277" i="7"/>
  <c r="L269" i="7"/>
  <c r="L253" i="7"/>
  <c r="L245" i="7"/>
  <c r="L229" i="7"/>
  <c r="L221" i="7"/>
  <c r="L205" i="7"/>
  <c r="L197" i="7"/>
  <c r="L173" i="7"/>
  <c r="L157" i="7"/>
  <c r="L149" i="7"/>
  <c r="L125" i="7"/>
  <c r="L101" i="7"/>
  <c r="L85" i="7"/>
  <c r="L77" i="7"/>
  <c r="L61" i="7"/>
  <c r="L53" i="7"/>
  <c r="L37" i="7"/>
  <c r="L29" i="7"/>
  <c r="L13" i="7"/>
  <c r="L5" i="7"/>
  <c r="V41" i="7"/>
  <c r="V300" i="7"/>
  <c r="V276" i="7"/>
  <c r="V252" i="7"/>
  <c r="V228" i="7"/>
  <c r="V204" i="7"/>
  <c r="V180" i="7"/>
  <c r="V156" i="7"/>
  <c r="V132" i="7"/>
  <c r="V108" i="7"/>
  <c r="V84" i="7"/>
  <c r="V60" i="7"/>
  <c r="V36" i="7"/>
  <c r="V12" i="7"/>
  <c r="V17" i="7"/>
  <c r="H314" i="7"/>
  <c r="H290" i="7"/>
  <c r="H266" i="7"/>
  <c r="H242" i="7"/>
  <c r="H226" i="7"/>
  <c r="H218" i="7"/>
  <c r="H194" i="7"/>
  <c r="H170" i="7"/>
  <c r="H154" i="7"/>
  <c r="H146" i="7"/>
  <c r="H122" i="7"/>
  <c r="H98" i="7"/>
  <c r="H74" i="7"/>
  <c r="H50" i="7"/>
  <c r="H26" i="7"/>
  <c r="H305" i="7"/>
  <c r="H281" i="7"/>
  <c r="H257" i="7"/>
  <c r="H233" i="7"/>
  <c r="H185" i="7"/>
  <c r="H161" i="7"/>
  <c r="H113" i="7"/>
  <c r="H81" i="7"/>
  <c r="H57" i="7"/>
  <c r="H33" i="7"/>
  <c r="H9" i="7"/>
  <c r="H208" i="7"/>
  <c r="H136" i="7"/>
  <c r="H88" i="7"/>
  <c r="H72" i="7"/>
  <c r="H48" i="7"/>
  <c r="H40" i="7"/>
  <c r="H24" i="7"/>
  <c r="L182" i="7"/>
  <c r="V268" i="7"/>
  <c r="V220" i="7"/>
  <c r="V184" i="7"/>
  <c r="V160" i="7"/>
  <c r="V136" i="7"/>
  <c r="V124" i="7"/>
  <c r="V112" i="7"/>
  <c r="V88" i="7"/>
  <c r="V76" i="7"/>
  <c r="V64" i="7"/>
  <c r="V306" i="7"/>
  <c r="V282" i="7"/>
  <c r="V258" i="7"/>
  <c r="V234" i="7"/>
  <c r="V210" i="7"/>
  <c r="V186" i="7"/>
  <c r="V162" i="7"/>
  <c r="V138" i="7"/>
  <c r="V114" i="7"/>
  <c r="V90" i="7"/>
  <c r="V66" i="7"/>
  <c r="V42" i="7"/>
  <c r="V18" i="7"/>
  <c r="L315" i="7"/>
  <c r="L291" i="7"/>
  <c r="L267" i="7"/>
  <c r="L243" i="7"/>
  <c r="L219" i="7"/>
  <c r="L195" i="7"/>
  <c r="L171" i="7"/>
  <c r="L147" i="7"/>
  <c r="L123" i="7"/>
  <c r="L99" i="7"/>
  <c r="L75" i="7"/>
  <c r="L51" i="7"/>
  <c r="L27" i="7"/>
  <c r="V311" i="7"/>
  <c r="V303" i="7"/>
  <c r="V287" i="7"/>
  <c r="V279" i="7"/>
  <c r="V263" i="7"/>
  <c r="V255" i="7"/>
  <c r="V251" i="7"/>
  <c r="V239" i="7"/>
  <c r="V191" i="7"/>
  <c r="V167" i="7"/>
  <c r="V143" i="7"/>
  <c r="V123" i="7"/>
  <c r="V119" i="7"/>
  <c r="V111" i="7"/>
  <c r="V95" i="7"/>
  <c r="V87" i="7"/>
  <c r="V71" i="7"/>
  <c r="V63" i="7"/>
  <c r="V59" i="7"/>
  <c r="V47" i="7"/>
  <c r="V39" i="7"/>
  <c r="V23" i="7"/>
  <c r="V15" i="7"/>
  <c r="V312" i="7"/>
  <c r="V288" i="7"/>
  <c r="V264" i="7"/>
  <c r="V240" i="7"/>
  <c r="V216" i="7"/>
  <c r="V192" i="7"/>
  <c r="V168" i="7"/>
  <c r="V120" i="7"/>
  <c r="V96" i="7"/>
  <c r="V72" i="7"/>
  <c r="V48" i="7"/>
  <c r="V24" i="7"/>
  <c r="L289" i="7"/>
  <c r="L281" i="7"/>
  <c r="L265" i="7"/>
  <c r="L257" i="7"/>
  <c r="L241" i="7"/>
  <c r="L233" i="7"/>
  <c r="L217" i="7"/>
  <c r="L209" i="7"/>
  <c r="L193" i="7"/>
  <c r="L185" i="7"/>
  <c r="L169" i="7"/>
  <c r="L161" i="7"/>
  <c r="L145" i="7"/>
  <c r="L137" i="7"/>
  <c r="L121" i="7"/>
  <c r="L113" i="7"/>
  <c r="L97" i="7"/>
  <c r="L89" i="7"/>
  <c r="L73" i="7"/>
  <c r="L65" i="7"/>
  <c r="L49" i="7"/>
  <c r="L41" i="7"/>
  <c r="L25" i="7"/>
  <c r="L17" i="7"/>
  <c r="H302" i="7"/>
  <c r="H278" i="7"/>
  <c r="H254" i="7"/>
  <c r="H230" i="7"/>
  <c r="H206" i="7"/>
  <c r="H182" i="7"/>
  <c r="H158" i="7"/>
  <c r="H134" i="7"/>
  <c r="H118" i="7"/>
  <c r="H110" i="7"/>
  <c r="H86" i="7"/>
  <c r="H62" i="7"/>
  <c r="H38" i="7"/>
  <c r="H14" i="7"/>
  <c r="H293" i="7"/>
  <c r="H269" i="7"/>
  <c r="H245" i="7"/>
  <c r="H221" i="7"/>
  <c r="H197" i="7"/>
  <c r="H173" i="7"/>
  <c r="H149" i="7"/>
  <c r="H125" i="7"/>
  <c r="H69" i="7"/>
  <c r="H45" i="7"/>
  <c r="H21" i="7"/>
  <c r="H316" i="7"/>
  <c r="H244" i="7"/>
  <c r="H84" i="7"/>
  <c r="H76" i="7"/>
  <c r="H60" i="7"/>
  <c r="H36" i="7"/>
  <c r="H12" i="7"/>
  <c r="L304" i="7"/>
  <c r="L280" i="7"/>
  <c r="L256" i="7"/>
  <c r="L232" i="7"/>
  <c r="L208" i="7"/>
  <c r="L184" i="7"/>
  <c r="L160" i="7"/>
  <c r="L136" i="7"/>
  <c r="L88" i="7"/>
  <c r="L64" i="7"/>
  <c r="L40" i="7"/>
  <c r="L170" i="7"/>
  <c r="L146" i="7"/>
  <c r="L122" i="7"/>
  <c r="V322" i="7"/>
  <c r="V238" i="7"/>
  <c r="V214" i="7"/>
  <c r="V190" i="7"/>
  <c r="V58" i="7"/>
  <c r="V34" i="7"/>
  <c r="V10" i="7"/>
  <c r="V318" i="7"/>
  <c r="V294" i="7"/>
  <c r="V270" i="7"/>
  <c r="V246" i="7"/>
  <c r="V222" i="7"/>
  <c r="V198" i="7"/>
  <c r="V174" i="7"/>
  <c r="V150" i="7"/>
  <c r="V126" i="7"/>
  <c r="V102" i="7"/>
  <c r="V78" i="7"/>
  <c r="V54" i="7"/>
  <c r="V30" i="7"/>
  <c r="V6" i="7"/>
  <c r="H308" i="7"/>
  <c r="H284" i="7"/>
  <c r="H260" i="7"/>
  <c r="H236" i="7"/>
  <c r="H212" i="7"/>
  <c r="H188" i="7"/>
  <c r="H172" i="7"/>
  <c r="H164" i="7"/>
  <c r="H140" i="7"/>
  <c r="H116" i="7"/>
  <c r="H100" i="7"/>
  <c r="H92" i="7"/>
  <c r="H68" i="7"/>
  <c r="H52" i="7"/>
  <c r="H44" i="7"/>
  <c r="H28" i="7"/>
  <c r="H20" i="7"/>
  <c r="H299" i="7"/>
  <c r="H275" i="7"/>
  <c r="H251" i="7"/>
  <c r="H227" i="7"/>
  <c r="H203" i="7"/>
  <c r="H179" i="7"/>
  <c r="H131" i="7"/>
  <c r="H107" i="7"/>
  <c r="H75" i="7"/>
  <c r="H51" i="7"/>
  <c r="H27" i="7"/>
  <c r="H298" i="7"/>
  <c r="L310" i="7"/>
  <c r="L302" i="7"/>
  <c r="L286" i="7"/>
  <c r="L278" i="7"/>
  <c r="L262" i="7"/>
  <c r="L254" i="7"/>
  <c r="L238" i="7"/>
  <c r="L230" i="7"/>
  <c r="L214" i="7"/>
  <c r="L206" i="7"/>
  <c r="L190" i="7"/>
  <c r="L166" i="7"/>
  <c r="L142" i="7"/>
  <c r="L118" i="7"/>
  <c r="L94" i="7"/>
  <c r="L70" i="7"/>
  <c r="L46" i="7"/>
  <c r="L22" i="7"/>
  <c r="L320" i="7"/>
  <c r="L296" i="7"/>
  <c r="L272" i="7"/>
  <c r="L248" i="7"/>
  <c r="L224" i="7"/>
  <c r="L200" i="7"/>
  <c r="L176" i="7"/>
  <c r="L152" i="7"/>
  <c r="L128" i="7"/>
  <c r="L104" i="7"/>
  <c r="L80" i="7"/>
  <c r="L56" i="7"/>
  <c r="L32" i="7"/>
  <c r="L8" i="7"/>
  <c r="V301" i="7"/>
  <c r="V277" i="7"/>
  <c r="V253" i="7"/>
  <c r="V49" i="7"/>
  <c r="V25" i="7"/>
  <c r="H78" i="7"/>
  <c r="H66" i="7"/>
  <c r="H54" i="7"/>
  <c r="H322" i="7"/>
  <c r="H310" i="7"/>
  <c r="H304" i="7"/>
  <c r="H292" i="7"/>
  <c r="H286" i="7"/>
  <c r="H274" i="7"/>
  <c r="H268" i="7"/>
  <c r="H256" i="7"/>
  <c r="H250" i="7"/>
  <c r="H238" i="7"/>
  <c r="H232" i="7"/>
  <c r="H220" i="7"/>
  <c r="H214" i="7"/>
  <c r="H202" i="7"/>
  <c r="H196" i="7"/>
  <c r="H184" i="7"/>
  <c r="H178" i="7"/>
  <c r="H166" i="7"/>
  <c r="H160" i="7"/>
  <c r="H148" i="7"/>
  <c r="H142" i="7"/>
  <c r="H130" i="7"/>
  <c r="H124" i="7"/>
  <c r="H112" i="7"/>
  <c r="H106" i="7"/>
  <c r="H94" i="7"/>
  <c r="H82" i="7"/>
  <c r="H70" i="7"/>
  <c r="H58" i="7"/>
  <c r="H46" i="7"/>
  <c r="H34" i="7"/>
  <c r="H22" i="7"/>
  <c r="H10" i="7"/>
  <c r="H321" i="7"/>
  <c r="H315" i="7"/>
  <c r="H309" i="7"/>
  <c r="H303" i="7"/>
  <c r="H297" i="7"/>
  <c r="H291" i="7"/>
  <c r="H285" i="7"/>
  <c r="H279" i="7"/>
  <c r="H273" i="7"/>
  <c r="H267" i="7"/>
  <c r="H261" i="7"/>
  <c r="H255" i="7"/>
  <c r="H249" i="7"/>
  <c r="H243" i="7"/>
  <c r="H237" i="7"/>
  <c r="H231" i="7"/>
  <c r="H225" i="7"/>
  <c r="H219" i="7"/>
  <c r="H213" i="7"/>
  <c r="H207" i="7"/>
  <c r="H201" i="7"/>
  <c r="H195" i="7"/>
  <c r="H189" i="7"/>
  <c r="H183" i="7"/>
  <c r="H177" i="7"/>
  <c r="H171" i="7"/>
  <c r="H165" i="7"/>
  <c r="H159" i="7"/>
  <c r="H153" i="7"/>
  <c r="H147" i="7"/>
  <c r="H141" i="7"/>
  <c r="H135" i="7"/>
  <c r="H129" i="7"/>
  <c r="H123" i="7"/>
  <c r="H117" i="7"/>
  <c r="H111" i="7"/>
  <c r="H105" i="7"/>
  <c r="H99" i="7"/>
  <c r="H93" i="7"/>
  <c r="H87" i="7"/>
  <c r="H318" i="7"/>
  <c r="H306" i="7"/>
  <c r="H294" i="7"/>
  <c r="H282" i="7"/>
  <c r="H270" i="7"/>
  <c r="H264" i="7"/>
  <c r="H252" i="7"/>
  <c r="H246" i="7"/>
  <c r="H234" i="7"/>
  <c r="H222" i="7"/>
  <c r="H216" i="7"/>
  <c r="H204" i="7"/>
  <c r="H192" i="7"/>
  <c r="H180" i="7"/>
  <c r="H174" i="7"/>
  <c r="H162" i="7"/>
  <c r="H150" i="7"/>
  <c r="H138" i="7"/>
  <c r="H132" i="7"/>
  <c r="H120" i="7"/>
  <c r="H114" i="7"/>
  <c r="H102" i="7"/>
  <c r="H96" i="7"/>
  <c r="H90" i="7"/>
  <c r="H83" i="7"/>
  <c r="H77" i="7"/>
  <c r="H71" i="7"/>
  <c r="H65" i="7"/>
  <c r="H59" i="7"/>
  <c r="H53" i="7"/>
  <c r="H47" i="7"/>
  <c r="H41" i="7"/>
  <c r="H35" i="7"/>
  <c r="H29" i="7"/>
  <c r="H23" i="7"/>
  <c r="H17" i="7"/>
  <c r="H11" i="7"/>
  <c r="H5" i="7"/>
  <c r="L312" i="7"/>
  <c r="L288" i="7"/>
  <c r="L264" i="7"/>
  <c r="L240" i="7"/>
  <c r="L216" i="7"/>
  <c r="L186" i="7"/>
  <c r="L96" i="7"/>
  <c r="L72" i="7"/>
  <c r="A641" i="3"/>
  <c r="A4" i="8"/>
  <c r="H312" i="7"/>
  <c r="H300" i="7"/>
  <c r="H288" i="7"/>
  <c r="H276" i="7"/>
  <c r="H258" i="7"/>
  <c r="H240" i="7"/>
  <c r="H228" i="7"/>
  <c r="H210" i="7"/>
  <c r="H198" i="7"/>
  <c r="H186" i="7"/>
  <c r="H168" i="7"/>
  <c r="H156" i="7"/>
  <c r="H144" i="7"/>
  <c r="H126" i="7"/>
  <c r="H108" i="7"/>
  <c r="V319" i="7"/>
  <c r="V313" i="7"/>
  <c r="V295" i="7"/>
  <c r="V289" i="7"/>
  <c r="V271" i="7"/>
  <c r="V265" i="7"/>
  <c r="V241" i="7"/>
  <c r="V229" i="7"/>
  <c r="V217" i="7"/>
  <c r="V205" i="7"/>
  <c r="V193" i="7"/>
  <c r="V187" i="7"/>
  <c r="V181" i="7"/>
  <c r="V169" i="7"/>
  <c r="V157" i="7"/>
  <c r="V145" i="7"/>
  <c r="V133" i="7"/>
  <c r="V109" i="7"/>
  <c r="V103" i="7"/>
  <c r="V85" i="7"/>
  <c r="V79" i="7"/>
  <c r="V61" i="7"/>
  <c r="V55" i="7"/>
  <c r="V37" i="7"/>
  <c r="V31" i="7"/>
  <c r="V13" i="7"/>
  <c r="V7" i="7"/>
  <c r="L174" i="7"/>
  <c r="L150" i="7"/>
  <c r="L126" i="7"/>
  <c r="L102" i="7"/>
  <c r="L78" i="7"/>
  <c r="L54" i="7"/>
  <c r="L42" i="7"/>
  <c r="L30" i="7"/>
  <c r="L18" i="7"/>
  <c r="L6" i="7"/>
  <c r="L308" i="7"/>
  <c r="L284" i="7"/>
  <c r="L260" i="7"/>
  <c r="L236" i="7"/>
  <c r="L212" i="7"/>
  <c r="L188" i="7"/>
  <c r="L164" i="7"/>
  <c r="L158" i="7"/>
  <c r="L140" i="7"/>
  <c r="L134" i="7"/>
  <c r="L116" i="7"/>
  <c r="L110" i="7"/>
  <c r="L92" i="7"/>
  <c r="L86" i="7"/>
  <c r="L68" i="7"/>
  <c r="L62" i="7"/>
  <c r="L50" i="7"/>
  <c r="L44" i="7"/>
  <c r="L38" i="7"/>
  <c r="L26" i="7"/>
  <c r="L20" i="7"/>
  <c r="L14" i="7"/>
  <c r="V304" i="7"/>
  <c r="V298" i="7"/>
  <c r="V292" i="7"/>
  <c r="V280" i="7"/>
  <c r="V274" i="7"/>
  <c r="V256" i="7"/>
  <c r="V250" i="7"/>
  <c r="V244" i="7"/>
  <c r="V232" i="7"/>
  <c r="V226" i="7"/>
  <c r="V208" i="7"/>
  <c r="V202" i="7"/>
  <c r="V196" i="7"/>
  <c r="V178" i="7"/>
  <c r="V166" i="7"/>
  <c r="V154" i="7"/>
  <c r="V148" i="7"/>
  <c r="V142" i="7"/>
  <c r="V130" i="7"/>
  <c r="V118" i="7"/>
  <c r="V106" i="7"/>
  <c r="V100" i="7"/>
  <c r="V94" i="7"/>
  <c r="V82" i="7"/>
  <c r="V70" i="7"/>
  <c r="V52" i="7"/>
  <c r="V46" i="7"/>
  <c r="V40" i="7"/>
  <c r="V22" i="7"/>
  <c r="V16" i="7"/>
  <c r="V307" i="7"/>
  <c r="V283" i="7"/>
  <c r="V259" i="7"/>
  <c r="V235" i="7"/>
  <c r="V211" i="7"/>
  <c r="V163" i="7"/>
  <c r="V139" i="7"/>
  <c r="V115" i="7"/>
  <c r="V91" i="7"/>
  <c r="V67" i="7"/>
  <c r="V43" i="7"/>
  <c r="V19" i="7"/>
  <c r="L307" i="7"/>
  <c r="L283" i="7"/>
  <c r="L259" i="7"/>
  <c r="L235" i="7"/>
  <c r="L211" i="7"/>
  <c r="L187" i="7"/>
  <c r="L163" i="7"/>
  <c r="L139" i="7"/>
  <c r="L115" i="7"/>
  <c r="L91" i="7"/>
  <c r="L67" i="7"/>
  <c r="L43" i="7"/>
  <c r="L19" i="7"/>
  <c r="V299" i="7"/>
  <c r="V275" i="7"/>
  <c r="V227" i="7"/>
  <c r="V203" i="7"/>
  <c r="V179" i="7"/>
  <c r="V155" i="7"/>
  <c r="V131" i="7"/>
  <c r="V107" i="7"/>
  <c r="V83" i="7"/>
  <c r="V35" i="7"/>
  <c r="V11" i="7"/>
  <c r="A4" i="9"/>
  <c r="A961" i="3" s="1"/>
  <c r="A960" i="3"/>
  <c r="L300" i="7"/>
  <c r="L276" i="7"/>
  <c r="L252" i="7"/>
  <c r="L228" i="7"/>
  <c r="L204" i="7"/>
  <c r="L180" i="7"/>
  <c r="L156" i="7"/>
  <c r="L132" i="7"/>
  <c r="L108" i="7"/>
  <c r="L84" i="7"/>
  <c r="L60" i="7"/>
  <c r="L36" i="7"/>
  <c r="L12" i="7"/>
  <c r="V4" i="7"/>
  <c r="L299" i="7"/>
  <c r="L275" i="7"/>
  <c r="L251" i="7"/>
  <c r="L227" i="7"/>
  <c r="L203" i="7"/>
  <c r="L179" i="7"/>
  <c r="L155" i="7"/>
  <c r="L131" i="7"/>
  <c r="L107" i="7"/>
  <c r="L83" i="7"/>
  <c r="L59" i="7"/>
  <c r="L35" i="7"/>
  <c r="L11" i="7"/>
  <c r="V291" i="7"/>
  <c r="V267" i="7"/>
  <c r="V243" i="7"/>
  <c r="V219" i="7"/>
  <c r="V195" i="7"/>
  <c r="V171" i="7"/>
  <c r="V147" i="7"/>
  <c r="V99" i="7"/>
  <c r="V75" i="7"/>
  <c r="V51" i="7"/>
  <c r="V27" i="7"/>
  <c r="L316" i="7"/>
  <c r="L292" i="7"/>
  <c r="L268" i="7"/>
  <c r="L244" i="7"/>
  <c r="L220" i="7"/>
  <c r="L196" i="7"/>
  <c r="L172" i="7"/>
  <c r="L148" i="7"/>
  <c r="L124" i="7"/>
  <c r="L100" i="7"/>
  <c r="L76" i="7"/>
  <c r="L52" i="7"/>
  <c r="L28" i="7"/>
  <c r="D337" i="3"/>
  <c r="D329" i="3"/>
  <c r="A5" i="9" l="1"/>
  <c r="A962" i="3" s="1"/>
  <c r="A642" i="3"/>
  <c r="A5" i="8"/>
  <c r="A6" i="9"/>
  <c r="A963" i="3" s="1"/>
  <c r="A643" i="3" l="1"/>
  <c r="A6" i="8"/>
  <c r="A7" i="9"/>
  <c r="A964" i="3" s="1"/>
  <c r="A7" i="8" l="1"/>
  <c r="A644" i="3"/>
  <c r="A8" i="9"/>
  <c r="A965" i="3" s="1"/>
  <c r="A8" i="8" l="1"/>
  <c r="A645" i="3"/>
  <c r="A9" i="9"/>
  <c r="A966" i="3" s="1"/>
  <c r="A9" i="8" l="1"/>
  <c r="A646" i="3"/>
  <c r="D8" i="8"/>
  <c r="D646" i="3" s="1"/>
  <c r="A10" i="9"/>
  <c r="A967" i="3" s="1"/>
  <c r="A647" i="3" l="1"/>
  <c r="A10" i="8"/>
  <c r="A11" i="9"/>
  <c r="A968" i="3" s="1"/>
  <c r="A11" i="8" l="1"/>
  <c r="A648" i="3"/>
  <c r="A12" i="9"/>
  <c r="A969" i="3" s="1"/>
  <c r="A12" i="8" l="1"/>
  <c r="A649" i="3"/>
  <c r="A13" i="9"/>
  <c r="A970" i="3" l="1"/>
  <c r="D13" i="9"/>
  <c r="D970" i="3" s="1"/>
  <c r="A13" i="8"/>
  <c r="A650" i="3"/>
  <c r="A14" i="9"/>
  <c r="A971" i="3" s="1"/>
  <c r="A14" i="8" l="1"/>
  <c r="A651" i="3"/>
  <c r="A15" i="9"/>
  <c r="A972" i="3" s="1"/>
  <c r="A15" i="8" l="1"/>
  <c r="A652" i="3"/>
  <c r="A16" i="9"/>
  <c r="A973" i="3" s="1"/>
  <c r="A16" i="8" l="1"/>
  <c r="A653" i="3"/>
  <c r="A17" i="9"/>
  <c r="A974" i="3" s="1"/>
  <c r="A17" i="8" l="1"/>
  <c r="A654" i="3"/>
  <c r="D16" i="8"/>
  <c r="D654" i="3" s="1"/>
  <c r="A18" i="9"/>
  <c r="A975" i="3" s="1"/>
  <c r="A18" i="8" l="1"/>
  <c r="A655" i="3"/>
  <c r="A19" i="9"/>
  <c r="A976" i="3" s="1"/>
  <c r="A656" i="3" l="1"/>
  <c r="A19" i="8"/>
  <c r="A20" i="9"/>
  <c r="A977" i="3" s="1"/>
  <c r="A657" i="3" l="1"/>
  <c r="A20" i="8"/>
  <c r="A21" i="9"/>
  <c r="A978" i="3" l="1"/>
  <c r="D21" i="9"/>
  <c r="D978" i="3" s="1"/>
  <c r="A658" i="3"/>
  <c r="A21" i="8"/>
  <c r="A22" i="9"/>
  <c r="A979" i="3" s="1"/>
  <c r="A659" i="3" l="1"/>
  <c r="A22" i="8"/>
  <c r="A23" i="9"/>
  <c r="A980" i="3" s="1"/>
  <c r="A660" i="3" l="1"/>
  <c r="A23" i="8"/>
  <c r="A24" i="9"/>
  <c r="A981" i="3" s="1"/>
  <c r="A661" i="3" l="1"/>
  <c r="A24" i="8"/>
  <c r="A25" i="9"/>
  <c r="A982" i="3" s="1"/>
  <c r="A662" i="3" l="1"/>
  <c r="A25" i="8"/>
  <c r="A26" i="9"/>
  <c r="A983" i="3" s="1"/>
  <c r="A663" i="3" l="1"/>
  <c r="A26" i="8"/>
  <c r="A27" i="9"/>
  <c r="A984" i="3" s="1"/>
  <c r="A664" i="3" l="1"/>
  <c r="A27" i="8"/>
  <c r="A28" i="9"/>
  <c r="A985" i="3" s="1"/>
  <c r="A665" i="3" l="1"/>
  <c r="A28" i="8"/>
  <c r="A29" i="9"/>
  <c r="A986" i="3" s="1"/>
  <c r="A666" i="3" l="1"/>
  <c r="A29" i="8"/>
  <c r="A30" i="9"/>
  <c r="A987" i="3" s="1"/>
  <c r="A667" i="3" l="1"/>
  <c r="A30" i="8"/>
  <c r="A31" i="9"/>
  <c r="A988" i="3" s="1"/>
  <c r="D137" i="1"/>
  <c r="D136" i="3" s="1"/>
  <c r="D138" i="1"/>
  <c r="D137" i="3" s="1"/>
  <c r="D139" i="1"/>
  <c r="D138" i="3" s="1"/>
  <c r="D140" i="1"/>
  <c r="D139" i="3" s="1"/>
  <c r="D141" i="1"/>
  <c r="D140" i="3" s="1"/>
  <c r="D142" i="1"/>
  <c r="D141" i="3" s="1"/>
  <c r="D143" i="1"/>
  <c r="D142" i="3" s="1"/>
  <c r="D144" i="1"/>
  <c r="D143" i="3" s="1"/>
  <c r="D136" i="1"/>
  <c r="D135" i="3" s="1"/>
  <c r="D23" i="1"/>
  <c r="D22" i="3" s="1"/>
  <c r="D24" i="1"/>
  <c r="D23" i="3" s="1"/>
  <c r="D25" i="1"/>
  <c r="D24" i="3" s="1"/>
  <c r="D22" i="1"/>
  <c r="D21" i="3" s="1"/>
  <c r="C166" i="1"/>
  <c r="C165" i="3" s="1"/>
  <c r="C165" i="1"/>
  <c r="C164" i="3" s="1"/>
  <c r="C164" i="1"/>
  <c r="C163" i="3" s="1"/>
  <c r="C163" i="1"/>
  <c r="C162" i="3" s="1"/>
  <c r="D161" i="1"/>
  <c r="D160" i="3" s="1"/>
  <c r="D162" i="1"/>
  <c r="D161" i="3" s="1"/>
  <c r="C162" i="1"/>
  <c r="C161" i="3" s="1"/>
  <c r="C161" i="1"/>
  <c r="C160" i="3" s="1"/>
  <c r="B162" i="1"/>
  <c r="B161" i="3" s="1"/>
  <c r="B161" i="1"/>
  <c r="B160" i="3" s="1"/>
  <c r="C160" i="1"/>
  <c r="C159" i="3" s="1"/>
  <c r="C159" i="1"/>
  <c r="C158" i="3" s="1"/>
  <c r="C158" i="1"/>
  <c r="C157" i="3" s="1"/>
  <c r="C157" i="1"/>
  <c r="C156" i="3" s="1"/>
  <c r="C156" i="1"/>
  <c r="C155" i="3" s="1"/>
  <c r="C155" i="1"/>
  <c r="C154" i="3" s="1"/>
  <c r="C154" i="1"/>
  <c r="C153" i="3" s="1"/>
  <c r="C153" i="1"/>
  <c r="C152" i="3" s="1"/>
  <c r="D151" i="1"/>
  <c r="D150" i="3" s="1"/>
  <c r="D152" i="1"/>
  <c r="D151" i="3" s="1"/>
  <c r="C152" i="1"/>
  <c r="C151" i="3" s="1"/>
  <c r="C151" i="1"/>
  <c r="C150" i="3" s="1"/>
  <c r="B152" i="1"/>
  <c r="B151" i="3" s="1"/>
  <c r="B151" i="1"/>
  <c r="B150" i="3" s="1"/>
  <c r="C150" i="1"/>
  <c r="C149" i="3" s="1"/>
  <c r="C149" i="1"/>
  <c r="C148" i="3" s="1"/>
  <c r="C142" i="1"/>
  <c r="C141" i="3" s="1"/>
  <c r="C143" i="1"/>
  <c r="C142" i="3" s="1"/>
  <c r="C144" i="1"/>
  <c r="C143" i="3" s="1"/>
  <c r="C141" i="1"/>
  <c r="C140" i="3" s="1"/>
  <c r="C137" i="1"/>
  <c r="C136" i="3" s="1"/>
  <c r="C138" i="1"/>
  <c r="C137" i="3" s="1"/>
  <c r="C139" i="1"/>
  <c r="C138" i="3" s="1"/>
  <c r="C136" i="1"/>
  <c r="C135" i="3" s="1"/>
  <c r="A668" i="3" l="1"/>
  <c r="A31" i="8"/>
  <c r="D22" i="8"/>
  <c r="D660" i="3" s="1"/>
  <c r="D26" i="2"/>
  <c r="D24" i="2"/>
  <c r="D24" i="8"/>
  <c r="D662" i="3" s="1"/>
  <c r="D23" i="8"/>
  <c r="D661" i="3" s="1"/>
  <c r="D25" i="2"/>
  <c r="D25" i="8"/>
  <c r="D663" i="3" s="1"/>
  <c r="D23" i="2"/>
  <c r="D153" i="2"/>
  <c r="D163" i="2"/>
  <c r="D162" i="2"/>
  <c r="D152" i="2"/>
  <c r="B153" i="2"/>
  <c r="B162" i="2"/>
  <c r="B163" i="2"/>
  <c r="B152" i="2"/>
  <c r="C148" i="2"/>
  <c r="C149" i="2"/>
  <c r="C151" i="2"/>
  <c r="C152" i="2"/>
  <c r="C153" i="2"/>
  <c r="C164" i="2"/>
  <c r="C154" i="2"/>
  <c r="C165" i="2"/>
  <c r="C160" i="2"/>
  <c r="C161" i="2"/>
  <c r="C155" i="2"/>
  <c r="C163" i="2"/>
  <c r="C162" i="2"/>
  <c r="C150" i="2"/>
  <c r="C145" i="2"/>
  <c r="C156" i="2"/>
  <c r="C137" i="2"/>
  <c r="C159" i="2"/>
  <c r="C140" i="2"/>
  <c r="C138" i="2"/>
  <c r="C144" i="2"/>
  <c r="C143" i="2"/>
  <c r="C157" i="2"/>
  <c r="C142" i="2"/>
  <c r="C139" i="2"/>
  <c r="C158" i="2"/>
  <c r="D141" i="2"/>
  <c r="D140" i="2"/>
  <c r="D143" i="2"/>
  <c r="D142" i="2"/>
  <c r="D138" i="2"/>
  <c r="D145" i="2"/>
  <c r="D144" i="2"/>
  <c r="D139" i="2"/>
  <c r="D137" i="2"/>
  <c r="A32" i="9"/>
  <c r="A989" i="3" s="1"/>
  <c r="C25" i="1"/>
  <c r="C24" i="3" s="1"/>
  <c r="B25" i="1"/>
  <c r="B24" i="3" s="1"/>
  <c r="C24" i="1"/>
  <c r="C23" i="3" s="1"/>
  <c r="B24" i="1"/>
  <c r="B23" i="3" s="1"/>
  <c r="C23" i="1"/>
  <c r="C22" i="3" s="1"/>
  <c r="B23" i="1"/>
  <c r="B22" i="3" s="1"/>
  <c r="C22" i="1"/>
  <c r="C21" i="3" s="1"/>
  <c r="B22" i="1"/>
  <c r="B21" i="3" s="1"/>
  <c r="C21" i="1"/>
  <c r="C20" i="3" s="1"/>
  <c r="B21" i="1"/>
  <c r="B20" i="3" s="1"/>
  <c r="C20" i="1"/>
  <c r="C19" i="3" s="1"/>
  <c r="B20" i="1"/>
  <c r="B19" i="3" s="1"/>
  <c r="C19" i="1"/>
  <c r="C18" i="3" s="1"/>
  <c r="B19" i="1"/>
  <c r="B18" i="3" s="1"/>
  <c r="C18" i="1"/>
  <c r="C17" i="3" s="1"/>
  <c r="B18" i="1"/>
  <c r="B17" i="3" s="1"/>
  <c r="C17" i="1"/>
  <c r="C16" i="3" s="1"/>
  <c r="B17" i="1"/>
  <c r="B16" i="3" s="1"/>
  <c r="C16" i="1"/>
  <c r="C15" i="3" s="1"/>
  <c r="B15" i="3"/>
  <c r="C15" i="1"/>
  <c r="C14" i="3" s="1"/>
  <c r="B15" i="1"/>
  <c r="B14" i="3" s="1"/>
  <c r="C14" i="1"/>
  <c r="C13" i="3" s="1"/>
  <c r="B14" i="1"/>
  <c r="B13" i="3" s="1"/>
  <c r="B13" i="1"/>
  <c r="B12" i="3" s="1"/>
  <c r="B11" i="3"/>
  <c r="B11" i="1"/>
  <c r="B10" i="3" s="1"/>
  <c r="B9" i="1"/>
  <c r="B8" i="3" s="1"/>
  <c r="B10" i="1"/>
  <c r="B9" i="3" s="1"/>
  <c r="C12" i="1"/>
  <c r="C11" i="3" s="1"/>
  <c r="C13" i="1"/>
  <c r="C12" i="3" s="1"/>
  <c r="C11" i="1"/>
  <c r="C10" i="3" s="1"/>
  <c r="C10" i="1"/>
  <c r="C9" i="3" s="1"/>
  <c r="C9" i="1"/>
  <c r="C8" i="3" s="1"/>
  <c r="B8" i="1"/>
  <c r="B7" i="3" s="1"/>
  <c r="C7" i="1"/>
  <c r="C6" i="3" s="1"/>
  <c r="C8" i="1"/>
  <c r="C7" i="3" s="1"/>
  <c r="B7" i="1"/>
  <c r="B6" i="3" s="1"/>
  <c r="C6" i="1"/>
  <c r="C5" i="3" s="1"/>
  <c r="B6" i="1"/>
  <c r="B5" i="3" s="1"/>
  <c r="B5" i="1"/>
  <c r="B4" i="3" s="1"/>
  <c r="B4" i="1"/>
  <c r="C5" i="1"/>
  <c r="C4" i="1"/>
  <c r="C3" i="1"/>
  <c r="C2" i="3" s="1"/>
  <c r="B3" i="1"/>
  <c r="B2" i="3" s="1"/>
  <c r="C2" i="1"/>
  <c r="C1" i="3" s="1"/>
  <c r="B2" i="1"/>
  <c r="B1" i="3" s="1"/>
  <c r="D15" i="1"/>
  <c r="D14" i="3" s="1"/>
  <c r="D16" i="1"/>
  <c r="D15" i="3" s="1"/>
  <c r="D17" i="1"/>
  <c r="D16" i="3" s="1"/>
  <c r="D18" i="1"/>
  <c r="D17" i="3" s="1"/>
  <c r="D19" i="1"/>
  <c r="D18" i="3" s="1"/>
  <c r="D20" i="1"/>
  <c r="D19" i="3" s="1"/>
  <c r="D21" i="1"/>
  <c r="D20" i="3" s="1"/>
  <c r="D7" i="1"/>
  <c r="D6" i="3" s="1"/>
  <c r="D8" i="1"/>
  <c r="D7" i="3" s="1"/>
  <c r="D9" i="1"/>
  <c r="D8" i="3" s="1"/>
  <c r="D10" i="1"/>
  <c r="D9" i="3" s="1"/>
  <c r="D11" i="1"/>
  <c r="D10" i="3" s="1"/>
  <c r="D12" i="1"/>
  <c r="D11" i="3" s="1"/>
  <c r="D13" i="1"/>
  <c r="D12" i="3" s="1"/>
  <c r="D3" i="1"/>
  <c r="D2" i="3" s="1"/>
  <c r="D4" i="1"/>
  <c r="D3" i="3" s="1"/>
  <c r="D5" i="1"/>
  <c r="D4" i="3" s="1"/>
  <c r="D2" i="1"/>
  <c r="D1" i="3" s="1"/>
  <c r="A669" i="3" l="1"/>
  <c r="A32" i="8"/>
  <c r="B3" i="2"/>
  <c r="B320" i="3" s="1"/>
  <c r="B3" i="3"/>
  <c r="C4" i="2"/>
  <c r="C321" i="3" s="1"/>
  <c r="C4" i="3"/>
  <c r="C3" i="2"/>
  <c r="C320" i="3" s="1"/>
  <c r="C3" i="3"/>
  <c r="C455" i="3"/>
  <c r="C470" i="3"/>
  <c r="D461" i="3"/>
  <c r="D459" i="3"/>
  <c r="C461" i="3"/>
  <c r="C480" i="3"/>
  <c r="C477" i="3"/>
  <c r="C481" i="3"/>
  <c r="C468" i="3"/>
  <c r="B469" i="3"/>
  <c r="D25" i="9"/>
  <c r="D982" i="3" s="1"/>
  <c r="D342" i="3"/>
  <c r="C472" i="3"/>
  <c r="D458" i="3"/>
  <c r="C459" i="3"/>
  <c r="C476" i="3"/>
  <c r="C462" i="3"/>
  <c r="B470" i="3"/>
  <c r="D480" i="3"/>
  <c r="C482" i="3"/>
  <c r="D469" i="3"/>
  <c r="D454" i="3"/>
  <c r="D462" i="3"/>
  <c r="D460" i="3"/>
  <c r="C475" i="3"/>
  <c r="C474" i="3"/>
  <c r="C467" i="3"/>
  <c r="B480" i="3"/>
  <c r="D470" i="3"/>
  <c r="D22" i="9"/>
  <c r="D979" i="3" s="1"/>
  <c r="D341" i="3"/>
  <c r="C454" i="3"/>
  <c r="C466" i="3"/>
  <c r="D455" i="3"/>
  <c r="D457" i="3"/>
  <c r="C460" i="3"/>
  <c r="C457" i="3"/>
  <c r="C479" i="3"/>
  <c r="C478" i="3"/>
  <c r="D479" i="3"/>
  <c r="D23" i="9"/>
  <c r="D980" i="3" s="1"/>
  <c r="D340" i="3"/>
  <c r="D24" i="9"/>
  <c r="D981" i="3" s="1"/>
  <c r="D343" i="3"/>
  <c r="D456" i="3"/>
  <c r="C456" i="3"/>
  <c r="C473" i="3"/>
  <c r="C471" i="3"/>
  <c r="C469" i="3"/>
  <c r="C465" i="3"/>
  <c r="B479" i="3"/>
  <c r="B21" i="8"/>
  <c r="B659" i="3" s="1"/>
  <c r="B15" i="2"/>
  <c r="B25" i="2"/>
  <c r="B23" i="8"/>
  <c r="B661" i="3" s="1"/>
  <c r="B8" i="8"/>
  <c r="B646" i="3" s="1"/>
  <c r="B12" i="2"/>
  <c r="B10" i="2"/>
  <c r="B10" i="8"/>
  <c r="B648" i="3" s="1"/>
  <c r="B25" i="8"/>
  <c r="B663" i="3" s="1"/>
  <c r="B23" i="2"/>
  <c r="C2" i="8"/>
  <c r="C640" i="3" s="1"/>
  <c r="C6" i="2"/>
  <c r="C12" i="2"/>
  <c r="C8" i="8"/>
  <c r="C646" i="3" s="1"/>
  <c r="B13" i="8"/>
  <c r="B651" i="3" s="1"/>
  <c r="B7" i="2"/>
  <c r="C15" i="8"/>
  <c r="C653" i="3" s="1"/>
  <c r="C21" i="2"/>
  <c r="C14" i="8"/>
  <c r="C652" i="3" s="1"/>
  <c r="C22" i="2"/>
  <c r="C6" i="8"/>
  <c r="C644" i="3" s="1"/>
  <c r="C14" i="2"/>
  <c r="C25" i="2"/>
  <c r="C23" i="8"/>
  <c r="C661" i="3" s="1"/>
  <c r="B5" i="2"/>
  <c r="B3" i="8"/>
  <c r="B641" i="3" s="1"/>
  <c r="B5" i="8"/>
  <c r="B643" i="3" s="1"/>
  <c r="C7" i="8"/>
  <c r="C645" i="3" s="1"/>
  <c r="C13" i="2"/>
  <c r="B20" i="2"/>
  <c r="B16" i="8"/>
  <c r="B654" i="3" s="1"/>
  <c r="B18" i="8"/>
  <c r="B656" i="3" s="1"/>
  <c r="B18" i="2"/>
  <c r="C3" i="8"/>
  <c r="C641" i="3" s="1"/>
  <c r="C5" i="2"/>
  <c r="C20" i="2"/>
  <c r="C16" i="8"/>
  <c r="C654" i="3" s="1"/>
  <c r="C22" i="8"/>
  <c r="C660" i="3" s="1"/>
  <c r="C26" i="2"/>
  <c r="D18" i="2"/>
  <c r="D18" i="8"/>
  <c r="D656" i="3" s="1"/>
  <c r="D17" i="2"/>
  <c r="D19" i="8"/>
  <c r="D657" i="3" s="1"/>
  <c r="D21" i="2"/>
  <c r="D15" i="8"/>
  <c r="D653" i="3" s="1"/>
  <c r="D20" i="8"/>
  <c r="D658" i="3" s="1"/>
  <c r="D16" i="2"/>
  <c r="D17" i="8"/>
  <c r="D655" i="3" s="1"/>
  <c r="D19" i="2"/>
  <c r="D22" i="2"/>
  <c r="D14" i="8"/>
  <c r="D652" i="3" s="1"/>
  <c r="D15" i="2"/>
  <c r="D21" i="8"/>
  <c r="D659" i="3" s="1"/>
  <c r="D3" i="2"/>
  <c r="D5" i="8"/>
  <c r="D643" i="3" s="1"/>
  <c r="D2" i="8"/>
  <c r="D640" i="3" s="1"/>
  <c r="D6" i="2"/>
  <c r="D5" i="2"/>
  <c r="D3" i="8"/>
  <c r="D641" i="3" s="1"/>
  <c r="D4" i="8"/>
  <c r="D642" i="3" s="1"/>
  <c r="D4" i="2"/>
  <c r="B11" i="8"/>
  <c r="B649" i="3" s="1"/>
  <c r="B9" i="2"/>
  <c r="B7" i="8"/>
  <c r="B645" i="3" s="1"/>
  <c r="B13" i="2"/>
  <c r="B12" i="8"/>
  <c r="B650" i="3" s="1"/>
  <c r="B8" i="2"/>
  <c r="B14" i="8"/>
  <c r="B652" i="3" s="1"/>
  <c r="B22" i="2"/>
  <c r="B24" i="2"/>
  <c r="B24" i="8"/>
  <c r="B662" i="3" s="1"/>
  <c r="B20" i="8"/>
  <c r="B658" i="3" s="1"/>
  <c r="B16" i="2"/>
  <c r="B21" i="2"/>
  <c r="B15" i="8"/>
  <c r="B653" i="3" s="1"/>
  <c r="B19" i="8"/>
  <c r="B657" i="3" s="1"/>
  <c r="B17" i="2"/>
  <c r="B22" i="8"/>
  <c r="B660" i="3" s="1"/>
  <c r="B26" i="2"/>
  <c r="B4" i="2"/>
  <c r="B4" i="8"/>
  <c r="B642" i="3" s="1"/>
  <c r="B6" i="8"/>
  <c r="B644" i="3" s="1"/>
  <c r="B14" i="2"/>
  <c r="B9" i="8"/>
  <c r="B647" i="3" s="1"/>
  <c r="B11" i="2"/>
  <c r="B6" i="2"/>
  <c r="B2" i="8"/>
  <c r="B640" i="3" s="1"/>
  <c r="B17" i="8"/>
  <c r="B655" i="3" s="1"/>
  <c r="B19" i="2"/>
  <c r="C5" i="8"/>
  <c r="C643" i="3" s="1"/>
  <c r="C13" i="8"/>
  <c r="C651" i="3" s="1"/>
  <c r="C7" i="2"/>
  <c r="C8" i="2"/>
  <c r="C12" i="8"/>
  <c r="C650" i="3" s="1"/>
  <c r="C4" i="8"/>
  <c r="C642" i="3" s="1"/>
  <c r="C11" i="8"/>
  <c r="C649" i="3" s="1"/>
  <c r="C9" i="2"/>
  <c r="C15" i="2"/>
  <c r="C21" i="8"/>
  <c r="C659" i="3" s="1"/>
  <c r="C24" i="2"/>
  <c r="C24" i="8"/>
  <c r="C662" i="3" s="1"/>
  <c r="C18" i="2"/>
  <c r="C18" i="8"/>
  <c r="C656" i="3" s="1"/>
  <c r="C16" i="2"/>
  <c r="C20" i="8"/>
  <c r="C658" i="3" s="1"/>
  <c r="C10" i="8"/>
  <c r="C648" i="3" s="1"/>
  <c r="C10" i="2"/>
  <c r="C11" i="2"/>
  <c r="C9" i="8"/>
  <c r="C647" i="3" s="1"/>
  <c r="C19" i="2"/>
  <c r="C17" i="8"/>
  <c r="C655" i="3" s="1"/>
  <c r="C17" i="2"/>
  <c r="C19" i="8"/>
  <c r="C657" i="3" s="1"/>
  <c r="C23" i="2"/>
  <c r="C25" i="8"/>
  <c r="C663" i="3" s="1"/>
  <c r="D7" i="8"/>
  <c r="D645" i="3" s="1"/>
  <c r="D13" i="2"/>
  <c r="D12" i="8"/>
  <c r="D650" i="3" s="1"/>
  <c r="D8" i="2"/>
  <c r="D10" i="8"/>
  <c r="D648" i="3" s="1"/>
  <c r="D10" i="2"/>
  <c r="D11" i="8"/>
  <c r="D649" i="3" s="1"/>
  <c r="D9" i="2"/>
  <c r="D13" i="8"/>
  <c r="D651" i="3" s="1"/>
  <c r="D7" i="2"/>
  <c r="D9" i="8"/>
  <c r="D647" i="3" s="1"/>
  <c r="D11" i="2"/>
  <c r="D6" i="8"/>
  <c r="D644" i="3" s="1"/>
  <c r="D14" i="2"/>
  <c r="A33" i="9"/>
  <c r="A990" i="3" s="1"/>
  <c r="B40" i="1"/>
  <c r="B39" i="3" s="1"/>
  <c r="C2" i="9" l="1"/>
  <c r="C959" i="3" s="1"/>
  <c r="B3" i="9"/>
  <c r="B960" i="3" s="1"/>
  <c r="A670" i="3"/>
  <c r="A33" i="8"/>
  <c r="C3" i="9"/>
  <c r="C960" i="3" s="1"/>
  <c r="C14" i="9"/>
  <c r="C971" i="3" s="1"/>
  <c r="C334" i="3"/>
  <c r="B5" i="9"/>
  <c r="B962" i="3" s="1"/>
  <c r="B322" i="3"/>
  <c r="B10" i="9"/>
  <c r="B967" i="3" s="1"/>
  <c r="B327" i="3"/>
  <c r="C23" i="9"/>
  <c r="C980" i="3" s="1"/>
  <c r="C340" i="3"/>
  <c r="C18" i="9"/>
  <c r="C975" i="3" s="1"/>
  <c r="C335" i="3"/>
  <c r="B2" i="9"/>
  <c r="B959" i="3" s="1"/>
  <c r="B321" i="3"/>
  <c r="D20" i="9"/>
  <c r="D977" i="3" s="1"/>
  <c r="D338" i="3"/>
  <c r="B25" i="9"/>
  <c r="B982" i="3" s="1"/>
  <c r="B342" i="3"/>
  <c r="D8" i="9"/>
  <c r="D965" i="3" s="1"/>
  <c r="D324" i="3"/>
  <c r="D7" i="9"/>
  <c r="D964" i="3" s="1"/>
  <c r="D325" i="3"/>
  <c r="C10" i="9"/>
  <c r="C967" i="3" s="1"/>
  <c r="C327" i="3"/>
  <c r="B9" i="9"/>
  <c r="B966" i="3" s="1"/>
  <c r="B328" i="3"/>
  <c r="B24" i="9"/>
  <c r="B981" i="3" s="1"/>
  <c r="B343" i="3"/>
  <c r="B15" i="9"/>
  <c r="B972" i="3" s="1"/>
  <c r="B333" i="3"/>
  <c r="B7" i="9"/>
  <c r="B964" i="3" s="1"/>
  <c r="B325" i="3"/>
  <c r="D2" i="9"/>
  <c r="D959" i="3" s="1"/>
  <c r="D321" i="3"/>
  <c r="D17" i="9"/>
  <c r="D974" i="3" s="1"/>
  <c r="D336" i="3"/>
  <c r="C19" i="9"/>
  <c r="C976" i="3" s="1"/>
  <c r="C339" i="3"/>
  <c r="B16" i="9"/>
  <c r="B973" i="3" s="1"/>
  <c r="B332" i="3"/>
  <c r="C21" i="9"/>
  <c r="C978" i="3" s="1"/>
  <c r="C337" i="3"/>
  <c r="D11" i="9"/>
  <c r="D968" i="3" s="1"/>
  <c r="D331" i="3"/>
  <c r="D6" i="9"/>
  <c r="D963" i="3" s="1"/>
  <c r="D326" i="3"/>
  <c r="D12" i="9"/>
  <c r="D969" i="3" s="1"/>
  <c r="D330" i="3"/>
  <c r="B17" i="9"/>
  <c r="B974" i="3" s="1"/>
  <c r="B336" i="3"/>
  <c r="B11" i="9"/>
  <c r="B968" i="3" s="1"/>
  <c r="B331" i="3"/>
  <c r="B14" i="9"/>
  <c r="B971" i="3" s="1"/>
  <c r="B334" i="3"/>
  <c r="B12" i="9"/>
  <c r="B969" i="3" s="1"/>
  <c r="B330" i="3"/>
  <c r="D15" i="9"/>
  <c r="D972" i="3" s="1"/>
  <c r="D333" i="3"/>
  <c r="C5" i="9"/>
  <c r="C962" i="3" s="1"/>
  <c r="C322" i="3"/>
  <c r="C12" i="9"/>
  <c r="C969" i="3" s="1"/>
  <c r="C330" i="3"/>
  <c r="C20" i="9"/>
  <c r="C977" i="3" s="1"/>
  <c r="C338" i="3"/>
  <c r="C4" i="9"/>
  <c r="C961" i="3" s="1"/>
  <c r="C323" i="3"/>
  <c r="B13" i="9"/>
  <c r="B970" i="3" s="1"/>
  <c r="B329" i="3"/>
  <c r="C22" i="9"/>
  <c r="C979" i="3" s="1"/>
  <c r="C341" i="3"/>
  <c r="D3" i="9"/>
  <c r="D960" i="3" s="1"/>
  <c r="D320" i="3"/>
  <c r="B21" i="9"/>
  <c r="B978" i="3" s="1"/>
  <c r="B337" i="3"/>
  <c r="C13" i="9"/>
  <c r="C970" i="3" s="1"/>
  <c r="C329" i="3"/>
  <c r="C15" i="9"/>
  <c r="C972" i="3" s="1"/>
  <c r="C333" i="3"/>
  <c r="C7" i="9"/>
  <c r="C964" i="3" s="1"/>
  <c r="C325" i="3"/>
  <c r="B22" i="9"/>
  <c r="B979" i="3" s="1"/>
  <c r="B341" i="3"/>
  <c r="D5" i="9"/>
  <c r="D962" i="3" s="1"/>
  <c r="D322" i="3"/>
  <c r="D16" i="9"/>
  <c r="D973" i="3" s="1"/>
  <c r="D332" i="3"/>
  <c r="D18" i="9"/>
  <c r="D975" i="3" s="1"/>
  <c r="D335" i="3"/>
  <c r="D14" i="9"/>
  <c r="D971" i="3" s="1"/>
  <c r="D334" i="3"/>
  <c r="C17" i="9"/>
  <c r="C974" i="3" s="1"/>
  <c r="C336" i="3"/>
  <c r="C16" i="9"/>
  <c r="C973" i="3" s="1"/>
  <c r="C332" i="3"/>
  <c r="C25" i="9"/>
  <c r="C982" i="3" s="1"/>
  <c r="C342" i="3"/>
  <c r="D9" i="9"/>
  <c r="D966" i="3" s="1"/>
  <c r="D328" i="3"/>
  <c r="D10" i="9"/>
  <c r="D967" i="3" s="1"/>
  <c r="D327" i="3"/>
  <c r="C6" i="9"/>
  <c r="C963" i="3" s="1"/>
  <c r="C326" i="3"/>
  <c r="C8" i="9"/>
  <c r="C965" i="3" s="1"/>
  <c r="C324" i="3"/>
  <c r="B19" i="9"/>
  <c r="B976" i="3" s="1"/>
  <c r="B339" i="3"/>
  <c r="B6" i="9"/>
  <c r="B963" i="3" s="1"/>
  <c r="B326" i="3"/>
  <c r="D4" i="9"/>
  <c r="D961" i="3" s="1"/>
  <c r="D323" i="3"/>
  <c r="C24" i="9"/>
  <c r="C981" i="3" s="1"/>
  <c r="C343" i="3"/>
  <c r="B18" i="9"/>
  <c r="B975" i="3" s="1"/>
  <c r="B335" i="3"/>
  <c r="C11" i="9"/>
  <c r="C968" i="3" s="1"/>
  <c r="C331" i="3"/>
  <c r="B8" i="9"/>
  <c r="B965" i="3" s="1"/>
  <c r="B324" i="3"/>
  <c r="B23" i="9"/>
  <c r="B980" i="3" s="1"/>
  <c r="B340" i="3"/>
  <c r="C9" i="9"/>
  <c r="C966" i="3" s="1"/>
  <c r="C328" i="3"/>
  <c r="B4" i="9"/>
  <c r="B961" i="3" s="1"/>
  <c r="B323" i="3"/>
  <c r="B20" i="9"/>
  <c r="B977" i="3" s="1"/>
  <c r="B338" i="3"/>
  <c r="D19" i="9"/>
  <c r="D976" i="3" s="1"/>
  <c r="D339" i="3"/>
  <c r="B26" i="8"/>
  <c r="B664" i="3" s="1"/>
  <c r="B136" i="2"/>
  <c r="A34" i="9"/>
  <c r="A991" i="3" s="1"/>
  <c r="B76" i="1"/>
  <c r="B75" i="3" s="1"/>
  <c r="B86" i="1"/>
  <c r="B85" i="3" s="1"/>
  <c r="B92" i="1"/>
  <c r="B91" i="3" s="1"/>
  <c r="B99" i="1"/>
  <c r="B98" i="3" s="1"/>
  <c r="B101" i="1"/>
  <c r="B100" i="3" s="1"/>
  <c r="B107" i="1"/>
  <c r="B106" i="3" s="1"/>
  <c r="B117" i="1"/>
  <c r="B116" i="3" s="1"/>
  <c r="B135" i="1"/>
  <c r="B134" i="3" s="1"/>
  <c r="B70" i="1"/>
  <c r="B69" i="3" s="1"/>
  <c r="B98" i="1"/>
  <c r="B97" i="3" s="1"/>
  <c r="B105" i="1"/>
  <c r="B104" i="3" s="1"/>
  <c r="B88" i="1"/>
  <c r="B87" i="3" s="1"/>
  <c r="B172" i="1"/>
  <c r="B171" i="3" s="1"/>
  <c r="B174" i="1"/>
  <c r="B173" i="3" s="1"/>
  <c r="B170" i="1"/>
  <c r="B169" i="3" s="1"/>
  <c r="B169" i="1"/>
  <c r="B168" i="3" s="1"/>
  <c r="B69" i="1"/>
  <c r="B68" i="3" s="1"/>
  <c r="B39" i="1"/>
  <c r="B38" i="3" s="1"/>
  <c r="B192" i="1"/>
  <c r="B191" i="3" s="1"/>
  <c r="B199" i="1"/>
  <c r="B198" i="3" s="1"/>
  <c r="B187" i="1"/>
  <c r="B186" i="3" s="1"/>
  <c r="B182" i="1"/>
  <c r="B181" i="3" s="1"/>
  <c r="B134" i="1"/>
  <c r="B133" i="3" s="1"/>
  <c r="B68" i="1"/>
  <c r="B67" i="3" s="1"/>
  <c r="B67" i="1"/>
  <c r="B66" i="3" s="1"/>
  <c r="B38" i="1"/>
  <c r="B37" i="3" s="1"/>
  <c r="B219" i="1"/>
  <c r="B218" i="3" s="1"/>
  <c r="B226" i="1"/>
  <c r="B225" i="3" s="1"/>
  <c r="B214" i="1"/>
  <c r="B213" i="3" s="1"/>
  <c r="B210" i="1"/>
  <c r="B209" i="3" s="1"/>
  <c r="B239" i="1"/>
  <c r="B238" i="3" s="1"/>
  <c r="B248" i="1"/>
  <c r="B247" i="3" s="1"/>
  <c r="B257" i="1"/>
  <c r="B256" i="3" s="1"/>
  <c r="B66" i="1"/>
  <c r="B65" i="3" s="1"/>
  <c r="B37" i="1"/>
  <c r="B36" i="3" s="1"/>
  <c r="B133" i="1"/>
  <c r="B132" i="3" s="1"/>
  <c r="B65" i="1"/>
  <c r="B64" i="3" s="1"/>
  <c r="B121" i="1"/>
  <c r="B120" i="3" s="1"/>
  <c r="B73" i="1"/>
  <c r="B72" i="3" s="1"/>
  <c r="B64" i="1"/>
  <c r="B63" i="3" s="1"/>
  <c r="B36" i="1"/>
  <c r="B35" i="3" s="1"/>
  <c r="B63" i="1"/>
  <c r="B62" i="3" s="1"/>
  <c r="B35" i="1"/>
  <c r="B34" i="3" s="1"/>
  <c r="B132" i="1"/>
  <c r="B131" i="3" s="1"/>
  <c r="B62" i="1"/>
  <c r="B61" i="3" s="1"/>
  <c r="B290" i="1"/>
  <c r="B289" i="3" s="1"/>
  <c r="B150" i="1"/>
  <c r="B149" i="3" s="1"/>
  <c r="B154" i="1"/>
  <c r="B153" i="3" s="1"/>
  <c r="B139" i="1"/>
  <c r="B138" i="3" s="1"/>
  <c r="B156" i="1"/>
  <c r="B155" i="3" s="1"/>
  <c r="B144" i="1"/>
  <c r="B143" i="3" s="1"/>
  <c r="B158" i="1"/>
  <c r="B157" i="3" s="1"/>
  <c r="B160" i="1"/>
  <c r="B159" i="3" s="1"/>
  <c r="B164" i="1"/>
  <c r="B163" i="3" s="1"/>
  <c r="B166" i="1"/>
  <c r="B165" i="3" s="1"/>
  <c r="B131" i="1"/>
  <c r="B130" i="3" s="1"/>
  <c r="B168" i="1"/>
  <c r="B167" i="3" s="1"/>
  <c r="B148" i="1"/>
  <c r="B147" i="3" s="1"/>
  <c r="B146" i="1"/>
  <c r="B145" i="3" s="1"/>
  <c r="B130" i="1"/>
  <c r="B129" i="3" s="1"/>
  <c r="B198" i="1"/>
  <c r="B197" i="3" s="1"/>
  <c r="B203" i="1"/>
  <c r="B202" i="3" s="1"/>
  <c r="B225" i="1"/>
  <c r="B224" i="3" s="1"/>
  <c r="B256" i="1"/>
  <c r="B255" i="3" s="1"/>
  <c r="B247" i="1"/>
  <c r="B246" i="3" s="1"/>
  <c r="B34" i="1"/>
  <c r="B33" i="3" s="1"/>
  <c r="B143" i="1"/>
  <c r="B142" i="3" s="1"/>
  <c r="B138" i="1"/>
  <c r="B137" i="3" s="1"/>
  <c r="B137" i="1"/>
  <c r="B136" i="3" s="1"/>
  <c r="B74" i="1"/>
  <c r="B73" i="3" s="1"/>
  <c r="B241" i="1"/>
  <c r="B240" i="3" s="1"/>
  <c r="B140" i="1"/>
  <c r="B139" i="3" s="1"/>
  <c r="B246" i="1"/>
  <c r="B245" i="3" s="1"/>
  <c r="B250" i="1"/>
  <c r="B249" i="3" s="1"/>
  <c r="B118" i="1"/>
  <c r="B117" i="3" s="1"/>
  <c r="B120" i="1"/>
  <c r="B119" i="3" s="1"/>
  <c r="B129" i="1"/>
  <c r="B128" i="3" s="1"/>
  <c r="B255" i="1"/>
  <c r="B254" i="3" s="1"/>
  <c r="B315" i="1"/>
  <c r="B314" i="3" s="1"/>
  <c r="B303" i="1"/>
  <c r="B302" i="3" s="1"/>
  <c r="B316" i="1"/>
  <c r="B315" i="3" s="1"/>
  <c r="B304" i="1"/>
  <c r="B303" i="3" s="1"/>
  <c r="B317" i="1"/>
  <c r="B316" i="3" s="1"/>
  <c r="B318" i="1"/>
  <c r="B317" i="3" s="1"/>
  <c r="B305" i="1"/>
  <c r="B304" i="3" s="1"/>
  <c r="B319" i="1"/>
  <c r="B318" i="3" s="1"/>
  <c r="B306" i="1"/>
  <c r="B305" i="3" s="1"/>
  <c r="B320" i="1"/>
  <c r="B319" i="3" s="1"/>
  <c r="B72" i="1"/>
  <c r="B71" i="3" s="1"/>
  <c r="B59" i="1"/>
  <c r="B58" i="3" s="1"/>
  <c r="B142" i="1"/>
  <c r="B141" i="3" s="1"/>
  <c r="B128" i="1"/>
  <c r="B127" i="3" s="1"/>
  <c r="B197" i="1"/>
  <c r="B196" i="3" s="1"/>
  <c r="B202" i="1"/>
  <c r="B201" i="3" s="1"/>
  <c r="B224" i="1"/>
  <c r="B223" i="3" s="1"/>
  <c r="B254" i="1"/>
  <c r="B253" i="3" s="1"/>
  <c r="B245" i="1"/>
  <c r="B244" i="3" s="1"/>
  <c r="B229" i="1"/>
  <c r="B228" i="3" s="1"/>
  <c r="B149" i="1"/>
  <c r="B148" i="3" s="1"/>
  <c r="B153" i="1"/>
  <c r="B152" i="3" s="1"/>
  <c r="B136" i="1"/>
  <c r="B135" i="3" s="1"/>
  <c r="B155" i="1"/>
  <c r="B154" i="3" s="1"/>
  <c r="B141" i="1"/>
  <c r="B140" i="3" s="1"/>
  <c r="B157" i="1"/>
  <c r="B156" i="3" s="1"/>
  <c r="B159" i="1"/>
  <c r="B158" i="3" s="1"/>
  <c r="B163" i="1"/>
  <c r="B162" i="3" s="1"/>
  <c r="B165" i="1"/>
  <c r="B164" i="3" s="1"/>
  <c r="B127" i="1"/>
  <c r="B126" i="3" s="1"/>
  <c r="B167" i="1"/>
  <c r="B166" i="3" s="1"/>
  <c r="B147" i="1"/>
  <c r="B146" i="3" s="1"/>
  <c r="B145" i="1"/>
  <c r="B144" i="3" s="1"/>
  <c r="B126" i="1"/>
  <c r="B125" i="3" s="1"/>
  <c r="B119" i="1"/>
  <c r="B118" i="3" s="1"/>
  <c r="B71" i="1"/>
  <c r="B70" i="3" s="1"/>
  <c r="B125" i="1"/>
  <c r="B124" i="3" s="1"/>
  <c r="B253" i="1"/>
  <c r="B252" i="3" s="1"/>
  <c r="B244" i="1"/>
  <c r="B243" i="3" s="1"/>
  <c r="B228" i="1"/>
  <c r="B227" i="3" s="1"/>
  <c r="B223" i="1"/>
  <c r="B222" i="3" s="1"/>
  <c r="B218" i="1"/>
  <c r="B217" i="3" s="1"/>
  <c r="B213" i="1"/>
  <c r="B212" i="3" s="1"/>
  <c r="B124" i="1"/>
  <c r="B123" i="3" s="1"/>
  <c r="B196" i="1"/>
  <c r="B195" i="3" s="1"/>
  <c r="B191" i="1"/>
  <c r="B190" i="3" s="1"/>
  <c r="B177" i="1"/>
  <c r="B176" i="3" s="1"/>
  <c r="B171" i="1"/>
  <c r="B170" i="3" s="1"/>
  <c r="B173" i="1"/>
  <c r="B172" i="3" s="1"/>
  <c r="B95" i="1"/>
  <c r="B94" i="3" s="1"/>
  <c r="B104" i="1"/>
  <c r="B103" i="3" s="1"/>
  <c r="B87" i="1"/>
  <c r="B86" i="3" s="1"/>
  <c r="B42" i="1"/>
  <c r="B41" i="3" s="1"/>
  <c r="B176" i="1"/>
  <c r="B175" i="3" s="1"/>
  <c r="B48" i="1"/>
  <c r="B47" i="3" s="1"/>
  <c r="B75" i="1"/>
  <c r="B74" i="3" s="1"/>
  <c r="B80" i="1"/>
  <c r="B79" i="3" s="1"/>
  <c r="B85" i="1"/>
  <c r="B84" i="3" s="1"/>
  <c r="B90" i="1"/>
  <c r="B89" i="3" s="1"/>
  <c r="B91" i="1"/>
  <c r="B90" i="3" s="1"/>
  <c r="B94" i="1"/>
  <c r="B93" i="3" s="1"/>
  <c r="B100" i="1"/>
  <c r="B99" i="3" s="1"/>
  <c r="B103" i="1"/>
  <c r="B102" i="3" s="1"/>
  <c r="B106" i="1"/>
  <c r="B105" i="3" s="1"/>
  <c r="B113" i="1"/>
  <c r="B112" i="3" s="1"/>
  <c r="B116" i="1"/>
  <c r="B115" i="3" s="1"/>
  <c r="B123" i="1"/>
  <c r="B122" i="3" s="1"/>
  <c r="B41" i="1"/>
  <c r="B40" i="3" s="1"/>
  <c r="B175" i="1"/>
  <c r="B174" i="3" s="1"/>
  <c r="B204" i="1"/>
  <c r="B203" i="3" s="1"/>
  <c r="B227" i="1"/>
  <c r="B226" i="3" s="1"/>
  <c r="B258" i="1"/>
  <c r="B257" i="3" s="1"/>
  <c r="B277" i="1"/>
  <c r="B276" i="3" s="1"/>
  <c r="B296" i="1"/>
  <c r="B295" i="3" s="1"/>
  <c r="B47" i="1"/>
  <c r="B46" i="3" s="1"/>
  <c r="B185" i="1"/>
  <c r="B184" i="3" s="1"/>
  <c r="B212" i="1"/>
  <c r="B211" i="3" s="1"/>
  <c r="B234" i="1"/>
  <c r="B233" i="3" s="1"/>
  <c r="B264" i="1"/>
  <c r="B263" i="3" s="1"/>
  <c r="B283" i="1"/>
  <c r="B282" i="3" s="1"/>
  <c r="B301" i="1"/>
  <c r="B300" i="3" s="1"/>
  <c r="B307" i="1"/>
  <c r="B306" i="3" s="1"/>
  <c r="B79" i="1"/>
  <c r="B78" i="3" s="1"/>
  <c r="B188" i="1"/>
  <c r="B187" i="3" s="1"/>
  <c r="B215" i="1"/>
  <c r="B214" i="3" s="1"/>
  <c r="B240" i="1"/>
  <c r="B239" i="3" s="1"/>
  <c r="B267" i="1"/>
  <c r="B266" i="3" s="1"/>
  <c r="B286" i="1"/>
  <c r="B285" i="3" s="1"/>
  <c r="B308" i="1"/>
  <c r="B307" i="3" s="1"/>
  <c r="B89" i="1"/>
  <c r="B88" i="3" s="1"/>
  <c r="B189" i="1"/>
  <c r="B188" i="3" s="1"/>
  <c r="B216" i="1"/>
  <c r="B215" i="3" s="1"/>
  <c r="B242" i="1"/>
  <c r="B241" i="3" s="1"/>
  <c r="B268" i="1"/>
  <c r="B267" i="3" s="1"/>
  <c r="B287" i="1"/>
  <c r="B286" i="3" s="1"/>
  <c r="B309" i="1"/>
  <c r="B308" i="3" s="1"/>
  <c r="B93" i="1"/>
  <c r="B92" i="3" s="1"/>
  <c r="B190" i="1"/>
  <c r="B189" i="3" s="1"/>
  <c r="B217" i="1"/>
  <c r="B216" i="3" s="1"/>
  <c r="B243" i="1"/>
  <c r="B242" i="3" s="1"/>
  <c r="B269" i="1"/>
  <c r="B268" i="3" s="1"/>
  <c r="B288" i="1"/>
  <c r="B287" i="3" s="1"/>
  <c r="B310" i="1"/>
  <c r="B309" i="3" s="1"/>
  <c r="B102" i="1"/>
  <c r="B101" i="3" s="1"/>
  <c r="B193" i="1"/>
  <c r="B192" i="3" s="1"/>
  <c r="B220" i="1"/>
  <c r="B219" i="3" s="1"/>
  <c r="B249" i="1"/>
  <c r="B248" i="3" s="1"/>
  <c r="B272" i="1"/>
  <c r="B271" i="3" s="1"/>
  <c r="B291" i="1"/>
  <c r="B290" i="3" s="1"/>
  <c r="B311" i="1"/>
  <c r="B310" i="3" s="1"/>
  <c r="B112" i="1"/>
  <c r="B111" i="3" s="1"/>
  <c r="B194" i="1"/>
  <c r="B193" i="3" s="1"/>
  <c r="B221" i="1"/>
  <c r="B220" i="3" s="1"/>
  <c r="B251" i="1"/>
  <c r="B250" i="3" s="1"/>
  <c r="B273" i="1"/>
  <c r="B272" i="3" s="1"/>
  <c r="B292" i="1"/>
  <c r="B291" i="3" s="1"/>
  <c r="B312" i="1"/>
  <c r="B311" i="3" s="1"/>
  <c r="B122" i="1"/>
  <c r="B121" i="3" s="1"/>
  <c r="B195" i="1"/>
  <c r="B194" i="3" s="1"/>
  <c r="B222" i="1"/>
  <c r="B221" i="3" s="1"/>
  <c r="B252" i="1"/>
  <c r="B251" i="3" s="1"/>
  <c r="B274" i="1"/>
  <c r="B273" i="3" s="1"/>
  <c r="B293" i="1"/>
  <c r="B292" i="3" s="1"/>
  <c r="B313" i="1"/>
  <c r="B312" i="3" s="1"/>
  <c r="C195" i="1"/>
  <c r="C194" i="3" s="1"/>
  <c r="C222" i="1"/>
  <c r="C221" i="3" s="1"/>
  <c r="C252" i="1"/>
  <c r="C251" i="3" s="1"/>
  <c r="C274" i="1"/>
  <c r="C273" i="3" s="1"/>
  <c r="C293" i="1"/>
  <c r="C292" i="3" s="1"/>
  <c r="C313" i="1"/>
  <c r="C312" i="3" s="1"/>
  <c r="C123" i="1"/>
  <c r="C122" i="3" s="1"/>
  <c r="C173" i="1"/>
  <c r="C172" i="3" s="1"/>
  <c r="C196" i="1"/>
  <c r="C195" i="3" s="1"/>
  <c r="C124" i="1"/>
  <c r="C123" i="3" s="1"/>
  <c r="C223" i="1"/>
  <c r="C222" i="3" s="1"/>
  <c r="C253" i="1"/>
  <c r="C252" i="3" s="1"/>
  <c r="C125" i="1"/>
  <c r="C124" i="3" s="1"/>
  <c r="C275" i="1"/>
  <c r="C274" i="3" s="1"/>
  <c r="C126" i="1"/>
  <c r="C125" i="3" s="1"/>
  <c r="C294" i="1"/>
  <c r="C293" i="3" s="1"/>
  <c r="C127" i="1"/>
  <c r="C126" i="3" s="1"/>
  <c r="C167" i="1"/>
  <c r="C166" i="3" s="1"/>
  <c r="C128" i="1"/>
  <c r="C127" i="3" s="1"/>
  <c r="C197" i="1"/>
  <c r="C196" i="3" s="1"/>
  <c r="C202" i="1"/>
  <c r="C201" i="3" s="1"/>
  <c r="C224" i="1"/>
  <c r="C223" i="3" s="1"/>
  <c r="C254" i="1"/>
  <c r="C253" i="3" s="1"/>
  <c r="C129" i="1"/>
  <c r="C128" i="3" s="1"/>
  <c r="C255" i="1"/>
  <c r="C254" i="3" s="1"/>
  <c r="C306" i="1"/>
  <c r="C305" i="3" s="1"/>
  <c r="C320" i="1"/>
  <c r="C319" i="3" s="1"/>
  <c r="C130" i="1"/>
  <c r="C129" i="3" s="1"/>
  <c r="C198" i="1"/>
  <c r="C197" i="3" s="1"/>
  <c r="C203" i="1"/>
  <c r="C202" i="3" s="1"/>
  <c r="C225" i="1"/>
  <c r="C224" i="3" s="1"/>
  <c r="C256" i="1"/>
  <c r="C255" i="3" s="1"/>
  <c r="C131" i="1"/>
  <c r="C130" i="3" s="1"/>
  <c r="C168" i="1"/>
  <c r="C167" i="3" s="1"/>
  <c r="C295" i="1"/>
  <c r="C294" i="3" s="1"/>
  <c r="C132" i="1"/>
  <c r="C131" i="3" s="1"/>
  <c r="C276" i="1"/>
  <c r="C275" i="3" s="1"/>
  <c r="C133" i="1"/>
  <c r="C132" i="3" s="1"/>
  <c r="C257" i="1"/>
  <c r="C256" i="3" s="1"/>
  <c r="C226" i="1"/>
  <c r="C225" i="3" s="1"/>
  <c r="C134" i="1"/>
  <c r="C133" i="3" s="1"/>
  <c r="C199" i="1"/>
  <c r="C198" i="3" s="1"/>
  <c r="C174" i="1"/>
  <c r="C173" i="3" s="1"/>
  <c r="C135" i="1"/>
  <c r="C134" i="3" s="1"/>
  <c r="C122" i="1"/>
  <c r="C121" i="3" s="1"/>
  <c r="C120" i="1"/>
  <c r="C119" i="3" s="1"/>
  <c r="C121" i="1"/>
  <c r="C120" i="3" s="1"/>
  <c r="C119" i="1"/>
  <c r="C118" i="3" s="1"/>
  <c r="C118" i="1"/>
  <c r="C117" i="3" s="1"/>
  <c r="C117" i="1"/>
  <c r="C116" i="3" s="1"/>
  <c r="C116" i="1"/>
  <c r="C115" i="3" s="1"/>
  <c r="C194" i="1"/>
  <c r="C193" i="3" s="1"/>
  <c r="C221" i="1"/>
  <c r="C220" i="3" s="1"/>
  <c r="C251" i="1"/>
  <c r="C250" i="3" s="1"/>
  <c r="C273" i="1"/>
  <c r="C272" i="3" s="1"/>
  <c r="C292" i="1"/>
  <c r="C291" i="3" s="1"/>
  <c r="C312" i="1"/>
  <c r="C311" i="3" s="1"/>
  <c r="C113" i="1"/>
  <c r="C112" i="3" s="1"/>
  <c r="C319" i="1"/>
  <c r="C318" i="3" s="1"/>
  <c r="C112" i="1"/>
  <c r="C111" i="3" s="1"/>
  <c r="C102" i="1"/>
  <c r="C101" i="3" s="1"/>
  <c r="C107" i="1"/>
  <c r="C106" i="3" s="1"/>
  <c r="C106" i="1"/>
  <c r="C105" i="3" s="1"/>
  <c r="C305" i="1"/>
  <c r="C304" i="3" s="1"/>
  <c r="C250" i="1"/>
  <c r="C249" i="3" s="1"/>
  <c r="C105" i="1"/>
  <c r="C104" i="3" s="1"/>
  <c r="C104" i="1"/>
  <c r="C103" i="3" s="1"/>
  <c r="C193" i="1"/>
  <c r="C192" i="3" s="1"/>
  <c r="C220" i="1"/>
  <c r="C219" i="3" s="1"/>
  <c r="C249" i="1"/>
  <c r="C248" i="3" s="1"/>
  <c r="C272" i="1"/>
  <c r="C271" i="3" s="1"/>
  <c r="C291" i="1"/>
  <c r="C290" i="3" s="1"/>
  <c r="C311" i="1"/>
  <c r="C310" i="3" s="1"/>
  <c r="C103" i="1"/>
  <c r="C102" i="3" s="1"/>
  <c r="C318" i="1"/>
  <c r="C317" i="3" s="1"/>
  <c r="C101" i="1"/>
  <c r="C100" i="3" s="1"/>
  <c r="C100" i="1"/>
  <c r="C99" i="3" s="1"/>
  <c r="C190" i="1"/>
  <c r="C189" i="3" s="1"/>
  <c r="C217" i="1"/>
  <c r="C216" i="3" s="1"/>
  <c r="C243" i="1"/>
  <c r="C242" i="3" s="1"/>
  <c r="C269" i="1"/>
  <c r="C268" i="3" s="1"/>
  <c r="C288" i="1"/>
  <c r="C287" i="3" s="1"/>
  <c r="C310" i="1"/>
  <c r="C309" i="3" s="1"/>
  <c r="C94" i="1"/>
  <c r="C93" i="3" s="1"/>
  <c r="C95" i="1"/>
  <c r="C94" i="3" s="1"/>
  <c r="C171" i="1"/>
  <c r="C170" i="3" s="1"/>
  <c r="C96" i="1"/>
  <c r="C95" i="3" s="1"/>
  <c r="C191" i="1"/>
  <c r="C190" i="3" s="1"/>
  <c r="C218" i="1"/>
  <c r="C217" i="3" s="1"/>
  <c r="C244" i="1"/>
  <c r="C243" i="3" s="1"/>
  <c r="C270" i="1"/>
  <c r="C269" i="3" s="1"/>
  <c r="C289" i="1"/>
  <c r="C288" i="3" s="1"/>
  <c r="C245" i="1"/>
  <c r="C244" i="3" s="1"/>
  <c r="C140" i="1"/>
  <c r="C139" i="3" s="1"/>
  <c r="C246" i="1"/>
  <c r="C245" i="3" s="1"/>
  <c r="C304" i="1"/>
  <c r="C303" i="3" s="1"/>
  <c r="C317" i="1"/>
  <c r="C316" i="3" s="1"/>
  <c r="C247" i="1"/>
  <c r="C246" i="3" s="1"/>
  <c r="C290" i="1"/>
  <c r="C289" i="3" s="1"/>
  <c r="C271" i="1"/>
  <c r="C270" i="3" s="1"/>
  <c r="C248" i="1"/>
  <c r="C247" i="3" s="1"/>
  <c r="C219" i="1"/>
  <c r="C218" i="3" s="1"/>
  <c r="C192" i="1"/>
  <c r="C191" i="3" s="1"/>
  <c r="C97" i="1"/>
  <c r="C96" i="3" s="1"/>
  <c r="C172" i="1"/>
  <c r="C171" i="3" s="1"/>
  <c r="C98" i="1"/>
  <c r="C97" i="3" s="1"/>
  <c r="C99" i="1"/>
  <c r="C98" i="3" s="1"/>
  <c r="C93" i="1"/>
  <c r="C92" i="3" s="1"/>
  <c r="C92" i="1"/>
  <c r="C91" i="3" s="1"/>
  <c r="C91" i="1"/>
  <c r="C90" i="3" s="1"/>
  <c r="C189" i="1"/>
  <c r="C188" i="3" s="1"/>
  <c r="C216" i="1"/>
  <c r="C215" i="3" s="1"/>
  <c r="C242" i="1"/>
  <c r="C241" i="3" s="1"/>
  <c r="C268" i="1"/>
  <c r="C267" i="3" s="1"/>
  <c r="C287" i="1"/>
  <c r="C286" i="3" s="1"/>
  <c r="C309" i="1"/>
  <c r="C308" i="3" s="1"/>
  <c r="C90" i="1"/>
  <c r="C89" i="3" s="1"/>
  <c r="C316" i="1"/>
  <c r="C315" i="3" s="1"/>
  <c r="C89" i="1"/>
  <c r="C88" i="3" s="1"/>
  <c r="C88" i="1"/>
  <c r="C87" i="3" s="1"/>
  <c r="C87" i="1"/>
  <c r="C86" i="3" s="1"/>
  <c r="C303" i="1"/>
  <c r="C302" i="3" s="1"/>
  <c r="C241" i="1"/>
  <c r="C240" i="3" s="1"/>
  <c r="C86" i="1"/>
  <c r="C85" i="3" s="1"/>
  <c r="C85" i="1"/>
  <c r="C84" i="3" s="1"/>
  <c r="C188" i="1"/>
  <c r="C187" i="3" s="1"/>
  <c r="C215" i="1"/>
  <c r="C214" i="3" s="1"/>
  <c r="C240" i="1"/>
  <c r="C239" i="3" s="1"/>
  <c r="C267" i="1"/>
  <c r="C266" i="3" s="1"/>
  <c r="C286" i="1"/>
  <c r="C285" i="3" s="1"/>
  <c r="C308" i="1"/>
  <c r="C307" i="3" s="1"/>
  <c r="C80" i="1"/>
  <c r="C79" i="3" s="1"/>
  <c r="C315" i="1"/>
  <c r="C314" i="3" s="1"/>
  <c r="C79" i="1"/>
  <c r="C78" i="3" s="1"/>
  <c r="B97" i="1"/>
  <c r="B96" i="3" s="1"/>
  <c r="C76" i="1"/>
  <c r="C75" i="3" s="1"/>
  <c r="C75" i="1"/>
  <c r="C74" i="3" s="1"/>
  <c r="C74" i="1"/>
  <c r="C73" i="3" s="1"/>
  <c r="C72" i="1"/>
  <c r="C71" i="3" s="1"/>
  <c r="C73" i="1"/>
  <c r="C72" i="3" s="1"/>
  <c r="C71" i="1"/>
  <c r="C70" i="3" s="1"/>
  <c r="C148" i="1"/>
  <c r="C147" i="3" s="1"/>
  <c r="C147" i="1"/>
  <c r="C146" i="3" s="1"/>
  <c r="B61" i="1"/>
  <c r="B60" i="3" s="1"/>
  <c r="B57" i="1"/>
  <c r="B56" i="3" s="1"/>
  <c r="B238" i="1"/>
  <c r="B237" i="3" s="1"/>
  <c r="B60" i="1"/>
  <c r="B59" i="3" s="1"/>
  <c r="B302" i="1"/>
  <c r="B301" i="3" s="1"/>
  <c r="B314" i="1"/>
  <c r="B313" i="3" s="1"/>
  <c r="B237" i="1"/>
  <c r="B236" i="3" s="1"/>
  <c r="B236" i="1"/>
  <c r="B235" i="3" s="1"/>
  <c r="B58" i="1"/>
  <c r="B57" i="3" s="1"/>
  <c r="B44" i="1"/>
  <c r="B43" i="3" s="1"/>
  <c r="B56" i="1"/>
  <c r="B55" i="3" s="1"/>
  <c r="B55" i="1"/>
  <c r="B54" i="3" s="1"/>
  <c r="B32" i="1"/>
  <c r="B31" i="3" s="1"/>
  <c r="B260" i="1"/>
  <c r="B259" i="3" s="1"/>
  <c r="B54" i="1"/>
  <c r="B53" i="3" s="1"/>
  <c r="B31" i="1"/>
  <c r="B30" i="3" s="1"/>
  <c r="B53" i="1"/>
  <c r="B52" i="3" s="1"/>
  <c r="B235" i="1"/>
  <c r="B234" i="3" s="1"/>
  <c r="B52" i="1"/>
  <c r="B51" i="3" s="1"/>
  <c r="B30" i="1"/>
  <c r="B29" i="3" s="1"/>
  <c r="B51" i="1"/>
  <c r="B50" i="3" s="1"/>
  <c r="B29" i="1"/>
  <c r="B28" i="3" s="1"/>
  <c r="B205" i="1"/>
  <c r="B204" i="3" s="1"/>
  <c r="B50" i="1"/>
  <c r="B49" i="3" s="1"/>
  <c r="B49" i="1"/>
  <c r="B48" i="3" s="1"/>
  <c r="B28" i="1"/>
  <c r="B27" i="3" s="1"/>
  <c r="B186" i="1"/>
  <c r="B185" i="3" s="1"/>
  <c r="C185" i="1"/>
  <c r="C184" i="3" s="1"/>
  <c r="C212" i="1"/>
  <c r="C211" i="3" s="1"/>
  <c r="C234" i="1"/>
  <c r="C233" i="3" s="1"/>
  <c r="C264" i="1"/>
  <c r="C263" i="3" s="1"/>
  <c r="C283" i="1"/>
  <c r="C282" i="3" s="1"/>
  <c r="C301" i="1"/>
  <c r="C300" i="3" s="1"/>
  <c r="C307" i="1"/>
  <c r="C306" i="3" s="1"/>
  <c r="C48" i="1"/>
  <c r="C47" i="3" s="1"/>
  <c r="C169" i="1"/>
  <c r="C168" i="3" s="1"/>
  <c r="C186" i="1"/>
  <c r="C185" i="3" s="1"/>
  <c r="C49" i="1"/>
  <c r="C48" i="3" s="1"/>
  <c r="C50" i="1"/>
  <c r="C49" i="3" s="1"/>
  <c r="C213" i="1"/>
  <c r="C212" i="3" s="1"/>
  <c r="C51" i="1"/>
  <c r="C50" i="3" s="1"/>
  <c r="C52" i="1"/>
  <c r="C51" i="3" s="1"/>
  <c r="C235" i="1"/>
  <c r="C234" i="3" s="1"/>
  <c r="C53" i="1"/>
  <c r="C52" i="3" s="1"/>
  <c r="C54" i="1"/>
  <c r="C53" i="3" s="1"/>
  <c r="C265" i="1"/>
  <c r="C264" i="3" s="1"/>
  <c r="C55" i="1"/>
  <c r="C54" i="3" s="1"/>
  <c r="C56" i="1"/>
  <c r="C55" i="3" s="1"/>
  <c r="C284" i="1"/>
  <c r="C283" i="3" s="1"/>
  <c r="C57" i="1"/>
  <c r="C56" i="3" s="1"/>
  <c r="C145" i="1"/>
  <c r="C144" i="3" s="1"/>
  <c r="C58" i="1"/>
  <c r="C57" i="3" s="1"/>
  <c r="C236" i="1"/>
  <c r="C235" i="3" s="1"/>
  <c r="C59" i="1"/>
  <c r="C58" i="3" s="1"/>
  <c r="C237" i="1"/>
  <c r="C236" i="3" s="1"/>
  <c r="C302" i="1"/>
  <c r="C301" i="3" s="1"/>
  <c r="C314" i="1"/>
  <c r="C313" i="3" s="1"/>
  <c r="C60" i="1"/>
  <c r="C59" i="3" s="1"/>
  <c r="C238" i="1"/>
  <c r="C237" i="3" s="1"/>
  <c r="C61" i="1"/>
  <c r="C60" i="3" s="1"/>
  <c r="C146" i="1"/>
  <c r="C145" i="3" s="1"/>
  <c r="C285" i="1"/>
  <c r="C284" i="3" s="1"/>
  <c r="C62" i="1"/>
  <c r="C61" i="3" s="1"/>
  <c r="C63" i="1"/>
  <c r="C62" i="3" s="1"/>
  <c r="C266" i="1"/>
  <c r="C265" i="3" s="1"/>
  <c r="C64" i="1"/>
  <c r="C63" i="3" s="1"/>
  <c r="C65" i="1"/>
  <c r="C64" i="3" s="1"/>
  <c r="C66" i="1"/>
  <c r="C65" i="3" s="1"/>
  <c r="C239" i="1"/>
  <c r="C238" i="3" s="1"/>
  <c r="C214" i="1"/>
  <c r="C213" i="3" s="1"/>
  <c r="C67" i="1"/>
  <c r="C66" i="3" s="1"/>
  <c r="C68" i="1"/>
  <c r="C67" i="3" s="1"/>
  <c r="C187" i="1"/>
  <c r="C186" i="3" s="1"/>
  <c r="C69" i="1"/>
  <c r="C68" i="3" s="1"/>
  <c r="C170" i="1"/>
  <c r="C169" i="3" s="1"/>
  <c r="C70" i="1"/>
  <c r="C69" i="3" s="1"/>
  <c r="C47" i="1"/>
  <c r="C46" i="3" s="1"/>
  <c r="B282" i="1"/>
  <c r="B281" i="3" s="1"/>
  <c r="B300" i="1"/>
  <c r="B299" i="3" s="1"/>
  <c r="B263" i="1"/>
  <c r="B262" i="3" s="1"/>
  <c r="B233" i="1"/>
  <c r="B232" i="3" s="1"/>
  <c r="B184" i="1"/>
  <c r="B183" i="3" s="1"/>
  <c r="B211" i="1"/>
  <c r="B210" i="3" s="1"/>
  <c r="B232" i="1"/>
  <c r="B231" i="3" s="1"/>
  <c r="B183" i="1"/>
  <c r="B182" i="3" s="1"/>
  <c r="B181" i="1"/>
  <c r="B180" i="3" s="1"/>
  <c r="B209" i="1"/>
  <c r="B208" i="3" s="1"/>
  <c r="B231" i="1"/>
  <c r="B230" i="3" s="1"/>
  <c r="B262" i="1"/>
  <c r="B261" i="3" s="1"/>
  <c r="B281" i="1"/>
  <c r="B280" i="3" s="1"/>
  <c r="B299" i="1"/>
  <c r="B298" i="3" s="1"/>
  <c r="B46" i="1"/>
  <c r="B45" i="3" s="1"/>
  <c r="B298" i="1"/>
  <c r="B297" i="3" s="1"/>
  <c r="B180" i="1"/>
  <c r="B179" i="3" s="1"/>
  <c r="B201" i="1"/>
  <c r="B200" i="3" s="1"/>
  <c r="B208" i="1"/>
  <c r="B207" i="3" s="1"/>
  <c r="B230" i="1"/>
  <c r="B229" i="3" s="1"/>
  <c r="B45" i="1"/>
  <c r="B44" i="3" s="1"/>
  <c r="B276" i="1"/>
  <c r="B275" i="3" s="1"/>
  <c r="B179" i="1"/>
  <c r="B178" i="3" s="1"/>
  <c r="B200" i="1"/>
  <c r="B199" i="3" s="1"/>
  <c r="B207" i="1"/>
  <c r="B206" i="3" s="1"/>
  <c r="B178" i="1"/>
  <c r="B177" i="3" s="1"/>
  <c r="B206" i="1"/>
  <c r="B205" i="3" s="1"/>
  <c r="B259" i="1"/>
  <c r="B258" i="3" s="1"/>
  <c r="B278" i="1"/>
  <c r="B277" i="3" s="1"/>
  <c r="B297" i="1"/>
  <c r="B296" i="3" s="1"/>
  <c r="B43" i="1"/>
  <c r="B42" i="3" s="1"/>
  <c r="B27" i="1"/>
  <c r="B26" i="3" s="1"/>
  <c r="C175" i="1"/>
  <c r="C174" i="3" s="1"/>
  <c r="C204" i="1"/>
  <c r="C203" i="3" s="1"/>
  <c r="C227" i="1"/>
  <c r="C226" i="3" s="1"/>
  <c r="C258" i="1"/>
  <c r="C257" i="3" s="1"/>
  <c r="C277" i="1"/>
  <c r="C276" i="3" s="1"/>
  <c r="C296" i="1"/>
  <c r="C295" i="3" s="1"/>
  <c r="C42" i="1"/>
  <c r="C41" i="3" s="1"/>
  <c r="C176" i="1"/>
  <c r="C175" i="3" s="1"/>
  <c r="C177" i="1"/>
  <c r="C176" i="3" s="1"/>
  <c r="C205" i="1"/>
  <c r="C204" i="3" s="1"/>
  <c r="C43" i="1"/>
  <c r="C42" i="3" s="1"/>
  <c r="C178" i="1"/>
  <c r="C177" i="3" s="1"/>
  <c r="C206" i="1"/>
  <c r="C205" i="3" s="1"/>
  <c r="C228" i="1"/>
  <c r="C227" i="3" s="1"/>
  <c r="C259" i="1"/>
  <c r="C258" i="3" s="1"/>
  <c r="C278" i="1"/>
  <c r="C277" i="3" s="1"/>
  <c r="C297" i="1"/>
  <c r="C296" i="3" s="1"/>
  <c r="C260" i="1"/>
  <c r="C259" i="3" s="1"/>
  <c r="C279" i="1"/>
  <c r="C278" i="3" s="1"/>
  <c r="C44" i="1"/>
  <c r="C43" i="3" s="1"/>
  <c r="C179" i="1"/>
  <c r="C178" i="3" s="1"/>
  <c r="C200" i="1"/>
  <c r="C199" i="3" s="1"/>
  <c r="C207" i="1"/>
  <c r="C206" i="3" s="1"/>
  <c r="C229" i="1"/>
  <c r="C228" i="3" s="1"/>
  <c r="C298" i="1"/>
  <c r="C297" i="3" s="1"/>
  <c r="C45" i="1"/>
  <c r="C44" i="3" s="1"/>
  <c r="C180" i="1"/>
  <c r="C179" i="3" s="1"/>
  <c r="C201" i="1"/>
  <c r="C200" i="3" s="1"/>
  <c r="C208" i="1"/>
  <c r="C207" i="3" s="1"/>
  <c r="C230" i="1"/>
  <c r="C229" i="3" s="1"/>
  <c r="C280" i="1"/>
  <c r="C279" i="3" s="1"/>
  <c r="C261" i="1"/>
  <c r="C260" i="3" s="1"/>
  <c r="C46" i="1"/>
  <c r="C45" i="3" s="1"/>
  <c r="C181" i="1"/>
  <c r="C180" i="3" s="1"/>
  <c r="C209" i="1"/>
  <c r="C208" i="3" s="1"/>
  <c r="C231" i="1"/>
  <c r="C230" i="3" s="1"/>
  <c r="C262" i="1"/>
  <c r="C261" i="3" s="1"/>
  <c r="C281" i="1"/>
  <c r="C280" i="3" s="1"/>
  <c r="C299" i="1"/>
  <c r="C298" i="3" s="1"/>
  <c r="C210" i="1"/>
  <c r="C209" i="3" s="1"/>
  <c r="C182" i="1"/>
  <c r="C181" i="3" s="1"/>
  <c r="C183" i="1"/>
  <c r="C182" i="3" s="1"/>
  <c r="C211" i="1"/>
  <c r="C210" i="3" s="1"/>
  <c r="C232" i="1"/>
  <c r="C231" i="3" s="1"/>
  <c r="C184" i="1"/>
  <c r="C183" i="3" s="1"/>
  <c r="C233" i="1"/>
  <c r="C232" i="3" s="1"/>
  <c r="C263" i="1"/>
  <c r="C262" i="3" s="1"/>
  <c r="C282" i="1"/>
  <c r="C281" i="3" s="1"/>
  <c r="C300" i="1"/>
  <c r="C299" i="3" s="1"/>
  <c r="C41" i="1"/>
  <c r="C40" i="3" s="1"/>
  <c r="C27" i="1"/>
  <c r="C26" i="3" s="1"/>
  <c r="C28" i="1"/>
  <c r="C27" i="3" s="1"/>
  <c r="C29" i="1"/>
  <c r="C28" i="3" s="1"/>
  <c r="C30" i="1"/>
  <c r="C29" i="3" s="1"/>
  <c r="C31" i="1"/>
  <c r="C30" i="3" s="1"/>
  <c r="C32" i="1"/>
  <c r="C31" i="3" s="1"/>
  <c r="C33" i="1"/>
  <c r="C32" i="3" s="1"/>
  <c r="C34" i="1"/>
  <c r="C33" i="3" s="1"/>
  <c r="C35" i="1"/>
  <c r="C34" i="3" s="1"/>
  <c r="C36" i="1"/>
  <c r="C35" i="3" s="1"/>
  <c r="C37" i="1"/>
  <c r="C36" i="3" s="1"/>
  <c r="C38" i="1"/>
  <c r="C37" i="3" s="1"/>
  <c r="C39" i="1"/>
  <c r="C38" i="3" s="1"/>
  <c r="C40" i="1"/>
  <c r="C39" i="3" s="1"/>
  <c r="C26" i="1"/>
  <c r="C25" i="3" s="1"/>
  <c r="B33" i="1"/>
  <c r="B32" i="3" s="1"/>
  <c r="B26" i="1"/>
  <c r="B25" i="3" s="1"/>
  <c r="A671" i="3" l="1"/>
  <c r="A34" i="8"/>
  <c r="B453" i="3"/>
  <c r="B89" i="2"/>
  <c r="B41" i="2"/>
  <c r="C92" i="2"/>
  <c r="C112" i="2"/>
  <c r="C271" i="2"/>
  <c r="C250" i="2"/>
  <c r="C248" i="2"/>
  <c r="C100" i="2"/>
  <c r="C96" i="2"/>
  <c r="C93" i="2"/>
  <c r="C217" i="2"/>
  <c r="B61" i="2"/>
  <c r="B86" i="2"/>
  <c r="C321" i="2"/>
  <c r="C95" i="2"/>
  <c r="B45" i="2"/>
  <c r="B192" i="2"/>
  <c r="C115" i="2"/>
  <c r="C219" i="2"/>
  <c r="C108" i="2"/>
  <c r="C105" i="2"/>
  <c r="C103" i="2"/>
  <c r="C270" i="2"/>
  <c r="C218" i="2"/>
  <c r="C314" i="2"/>
  <c r="C188" i="2"/>
  <c r="B28" i="2"/>
  <c r="B64" i="2"/>
  <c r="B93" i="2"/>
  <c r="C175" i="2"/>
  <c r="C168" i="2"/>
  <c r="B70" i="2"/>
  <c r="C114" i="2"/>
  <c r="C111" i="2"/>
  <c r="C290" i="2"/>
  <c r="C302" i="2"/>
  <c r="C102" i="2"/>
  <c r="C98" i="2"/>
  <c r="C94" i="2"/>
  <c r="C288" i="2"/>
  <c r="B50" i="2"/>
  <c r="B73" i="2"/>
  <c r="B117" i="2"/>
  <c r="C107" i="2"/>
  <c r="C99" i="2"/>
  <c r="C301" i="2"/>
  <c r="B123" i="2"/>
  <c r="C190" i="2"/>
  <c r="C110" i="2"/>
  <c r="C169" i="2"/>
  <c r="C249" i="2"/>
  <c r="C289" i="2"/>
  <c r="C247" i="2"/>
  <c r="C189" i="2"/>
  <c r="C269" i="2"/>
  <c r="B55" i="2"/>
  <c r="B76" i="2"/>
  <c r="C251" i="2"/>
  <c r="C113" i="2"/>
  <c r="C109" i="2"/>
  <c r="C106" i="2"/>
  <c r="C104" i="2"/>
  <c r="C101" i="2"/>
  <c r="C97" i="2"/>
  <c r="C174" i="2"/>
  <c r="C246" i="2"/>
  <c r="B60" i="2"/>
  <c r="B83" i="2"/>
  <c r="B170" i="2"/>
  <c r="B172" i="2"/>
  <c r="B174" i="2"/>
  <c r="B221" i="2"/>
  <c r="B213" i="2"/>
  <c r="B193" i="2"/>
  <c r="B206" i="2"/>
  <c r="B218" i="2"/>
  <c r="B184" i="2"/>
  <c r="B189" i="2"/>
  <c r="B177" i="2"/>
  <c r="B305" i="2"/>
  <c r="B274" i="2"/>
  <c r="B181" i="2"/>
  <c r="B259" i="2"/>
  <c r="B281" i="2"/>
  <c r="B310" i="2"/>
  <c r="B59" i="2"/>
  <c r="B183" i="2"/>
  <c r="B215" i="2"/>
  <c r="B245" i="2"/>
  <c r="B288" i="2"/>
  <c r="B303" i="2"/>
  <c r="B116" i="2"/>
  <c r="B228" i="2"/>
  <c r="B282" i="2"/>
  <c r="B63" i="2"/>
  <c r="B186" i="2"/>
  <c r="B269" i="2"/>
  <c r="B291" i="2"/>
  <c r="B205" i="2"/>
  <c r="B234" i="2"/>
  <c r="B263" i="2"/>
  <c r="B283" i="2"/>
  <c r="B312" i="2"/>
  <c r="B72" i="2"/>
  <c r="B187" i="2"/>
  <c r="B246" i="2"/>
  <c r="B272" i="2"/>
  <c r="B262" i="2"/>
  <c r="B311" i="2"/>
  <c r="B216" i="2"/>
  <c r="B122" i="2"/>
  <c r="B176" i="2"/>
  <c r="B210" i="2"/>
  <c r="B236" i="2"/>
  <c r="B264" i="2"/>
  <c r="B286" i="2"/>
  <c r="B313" i="2"/>
  <c r="B82" i="2"/>
  <c r="B217" i="2"/>
  <c r="B252" i="2"/>
  <c r="B308" i="2"/>
  <c r="B27" i="2"/>
  <c r="B211" i="2"/>
  <c r="B237" i="2"/>
  <c r="B267" i="2"/>
  <c r="B314" i="2"/>
  <c r="B188" i="2"/>
  <c r="B220" i="2"/>
  <c r="B287" i="2"/>
  <c r="B278" i="2"/>
  <c r="B309" i="2"/>
  <c r="B49" i="2"/>
  <c r="B182" i="2"/>
  <c r="B212" i="2"/>
  <c r="B243" i="2"/>
  <c r="B268" i="2"/>
  <c r="B301" i="2"/>
  <c r="B92" i="2"/>
  <c r="B191" i="2"/>
  <c r="B304" i="2"/>
  <c r="B229" i="2"/>
  <c r="B96" i="2"/>
  <c r="B292" i="2"/>
  <c r="B125" i="2"/>
  <c r="B273" i="2"/>
  <c r="B222" i="2"/>
  <c r="B124" i="2"/>
  <c r="B126" i="2"/>
  <c r="B94" i="2"/>
  <c r="B253" i="2"/>
  <c r="B194" i="2"/>
  <c r="B97" i="2"/>
  <c r="B118" i="2"/>
  <c r="B247" i="2"/>
  <c r="B238" i="2"/>
  <c r="B34" i="8"/>
  <c r="B672" i="3" s="1"/>
  <c r="B128" i="2"/>
  <c r="B203" i="2"/>
  <c r="B254" i="2"/>
  <c r="B33" i="2"/>
  <c r="B195" i="2"/>
  <c r="B127" i="2"/>
  <c r="B239" i="2"/>
  <c r="B103" i="2"/>
  <c r="B230" i="2"/>
  <c r="B119" i="2"/>
  <c r="B99" i="2"/>
  <c r="B248" i="2"/>
  <c r="B207" i="2"/>
  <c r="B201" i="2"/>
  <c r="B129" i="2"/>
  <c r="B33" i="8"/>
  <c r="B671" i="3" s="1"/>
  <c r="B223" i="2"/>
  <c r="B100" i="2"/>
  <c r="B178" i="2"/>
  <c r="B204" i="2"/>
  <c r="B202" i="2"/>
  <c r="B196" i="2"/>
  <c r="B105" i="2"/>
  <c r="B250" i="2"/>
  <c r="B130" i="2"/>
  <c r="B32" i="8"/>
  <c r="B670" i="3" s="1"/>
  <c r="B35" i="2"/>
  <c r="B179" i="2"/>
  <c r="B120" i="2"/>
  <c r="B241" i="2"/>
  <c r="B255" i="2"/>
  <c r="B232" i="2"/>
  <c r="B224" i="2"/>
  <c r="B208" i="2"/>
  <c r="B306" i="2"/>
  <c r="B276" i="2"/>
  <c r="B242" i="2"/>
  <c r="B131" i="2"/>
  <c r="B31" i="8"/>
  <c r="B669" i="3" s="1"/>
  <c r="B251" i="2"/>
  <c r="B225" i="2"/>
  <c r="B108" i="2"/>
  <c r="B256" i="2"/>
  <c r="B121" i="2"/>
  <c r="B197" i="2"/>
  <c r="B30" i="8"/>
  <c r="B668" i="3" s="1"/>
  <c r="B132" i="2"/>
  <c r="B29" i="8"/>
  <c r="B667" i="3" s="1"/>
  <c r="B133" i="2"/>
  <c r="B109" i="2"/>
  <c r="B111" i="2"/>
  <c r="B295" i="2"/>
  <c r="B233" i="2"/>
  <c r="B302" i="2"/>
  <c r="B316" i="2"/>
  <c r="B300" i="2"/>
  <c r="B235" i="2"/>
  <c r="B43" i="2"/>
  <c r="B134" i="2"/>
  <c r="B28" i="8"/>
  <c r="B666" i="3" s="1"/>
  <c r="B180" i="2"/>
  <c r="B171" i="2"/>
  <c r="B40" i="2"/>
  <c r="B77" i="2"/>
  <c r="B320" i="2"/>
  <c r="B185" i="2"/>
  <c r="B46" i="2"/>
  <c r="B261" i="2"/>
  <c r="B104" i="2"/>
  <c r="B317" i="2"/>
  <c r="B231" i="2"/>
  <c r="B141" i="2"/>
  <c r="B226" i="2"/>
  <c r="B27" i="8"/>
  <c r="B665" i="3" s="1"/>
  <c r="B135" i="2"/>
  <c r="B56" i="2"/>
  <c r="B298" i="2"/>
  <c r="B240" i="2"/>
  <c r="B112" i="2"/>
  <c r="B87" i="2"/>
  <c r="B277" i="2"/>
  <c r="B90" i="2"/>
  <c r="B318" i="2"/>
  <c r="B34" i="2"/>
  <c r="B244" i="2"/>
  <c r="B219" i="2"/>
  <c r="B114" i="2"/>
  <c r="B62" i="2"/>
  <c r="B173" i="2"/>
  <c r="B307" i="2"/>
  <c r="B249" i="2"/>
  <c r="B315" i="2"/>
  <c r="B299" i="2"/>
  <c r="B42" i="2"/>
  <c r="B88" i="2"/>
  <c r="B285" i="2"/>
  <c r="B209" i="2"/>
  <c r="B198" i="2"/>
  <c r="B69" i="2"/>
  <c r="B296" i="2"/>
  <c r="B321" i="2"/>
  <c r="B297" i="2"/>
  <c r="B319" i="2"/>
  <c r="B44" i="2"/>
  <c r="B91" i="2"/>
  <c r="B214" i="2"/>
  <c r="B190" i="2"/>
  <c r="B175" i="2"/>
  <c r="B115" i="2"/>
  <c r="B71" i="2"/>
  <c r="B199" i="2"/>
  <c r="B257" i="2"/>
  <c r="B227" i="2"/>
  <c r="B200" i="2"/>
  <c r="B258" i="2"/>
  <c r="C124" i="2"/>
  <c r="C30" i="8"/>
  <c r="C668" i="3" s="1"/>
  <c r="C132" i="2"/>
  <c r="C126" i="2"/>
  <c r="C125" i="2"/>
  <c r="C26" i="8"/>
  <c r="C664" i="3" s="1"/>
  <c r="C136" i="2"/>
  <c r="C129" i="2"/>
  <c r="C33" i="8"/>
  <c r="C671" i="3" s="1"/>
  <c r="C122" i="2"/>
  <c r="C135" i="2"/>
  <c r="C27" i="8"/>
  <c r="C665" i="3" s="1"/>
  <c r="C34" i="8"/>
  <c r="C672" i="3" s="1"/>
  <c r="C128" i="2"/>
  <c r="C131" i="2"/>
  <c r="C31" i="8"/>
  <c r="C669" i="3" s="1"/>
  <c r="C32" i="8"/>
  <c r="C670" i="3" s="1"/>
  <c r="C130" i="2"/>
  <c r="C123" i="2"/>
  <c r="C28" i="8"/>
  <c r="C666" i="3" s="1"/>
  <c r="C134" i="2"/>
  <c r="C133" i="2"/>
  <c r="C29" i="8"/>
  <c r="C667" i="3" s="1"/>
  <c r="C127" i="2"/>
  <c r="C118" i="2"/>
  <c r="C296" i="2"/>
  <c r="C199" i="2"/>
  <c r="C256" i="2"/>
  <c r="C255" i="2"/>
  <c r="C254" i="2"/>
  <c r="C274" i="2"/>
  <c r="C194" i="2"/>
  <c r="C303" i="2"/>
  <c r="C223" i="2"/>
  <c r="C204" i="2"/>
  <c r="C272" i="2"/>
  <c r="C198" i="2"/>
  <c r="C304" i="2"/>
  <c r="C203" i="2"/>
  <c r="C200" i="2"/>
  <c r="C196" i="2"/>
  <c r="C193" i="2"/>
  <c r="C252" i="2"/>
  <c r="C277" i="2"/>
  <c r="C224" i="2"/>
  <c r="C258" i="2"/>
  <c r="C197" i="2"/>
  <c r="C292" i="2"/>
  <c r="C306" i="2"/>
  <c r="C195" i="2"/>
  <c r="C257" i="2"/>
  <c r="C275" i="2"/>
  <c r="C120" i="2"/>
  <c r="C119" i="2"/>
  <c r="C253" i="2"/>
  <c r="C192" i="2"/>
  <c r="C220" i="2"/>
  <c r="C225" i="2"/>
  <c r="C291" i="2"/>
  <c r="C226" i="2"/>
  <c r="C221" i="2"/>
  <c r="C121" i="2"/>
  <c r="C273" i="2"/>
  <c r="C116" i="2"/>
  <c r="C295" i="2"/>
  <c r="C307" i="2"/>
  <c r="C227" i="2"/>
  <c r="C276" i="2"/>
  <c r="C294" i="2"/>
  <c r="C305" i="2"/>
  <c r="C293" i="2"/>
  <c r="C222" i="2"/>
  <c r="C117" i="2"/>
  <c r="C191" i="2"/>
  <c r="C72" i="2"/>
  <c r="C240" i="2"/>
  <c r="C32" i="2"/>
  <c r="C83" i="2"/>
  <c r="C187" i="2"/>
  <c r="C267" i="2"/>
  <c r="C63" i="2"/>
  <c r="C214" i="2"/>
  <c r="C299" i="2"/>
  <c r="C238" i="2"/>
  <c r="C64" i="2"/>
  <c r="C183" i="2"/>
  <c r="C282" i="2"/>
  <c r="C49" i="2"/>
  <c r="C234" i="2"/>
  <c r="C180" i="2"/>
  <c r="C37" i="2"/>
  <c r="C202" i="2"/>
  <c r="C34" i="2"/>
  <c r="C146" i="2"/>
  <c r="C229" i="2"/>
  <c r="C308" i="2"/>
  <c r="C313" i="2"/>
  <c r="C69" i="2"/>
  <c r="C263" i="2"/>
  <c r="C39" i="2"/>
  <c r="C206" i="2"/>
  <c r="C287" i="2"/>
  <c r="C319" i="2"/>
  <c r="C215" i="2"/>
  <c r="C68" i="2"/>
  <c r="C266" i="2"/>
  <c r="C141" i="2"/>
  <c r="C184" i="2"/>
  <c r="C283" i="2"/>
  <c r="C236" i="2"/>
  <c r="C298" i="2"/>
  <c r="C50" i="2"/>
  <c r="C181" i="2"/>
  <c r="C209" i="2"/>
  <c r="C147" i="2"/>
  <c r="C35" i="2"/>
  <c r="C207" i="2"/>
  <c r="C279" i="2"/>
  <c r="C29" i="2"/>
  <c r="C259" i="2"/>
  <c r="C311" i="2"/>
  <c r="C210" i="2"/>
  <c r="C179" i="2"/>
  <c r="C268" i="2"/>
  <c r="C244" i="2"/>
  <c r="C73" i="2"/>
  <c r="C186" i="2"/>
  <c r="C173" i="2"/>
  <c r="C285" i="2"/>
  <c r="C239" i="2"/>
  <c r="C66" i="2"/>
  <c r="C264" i="2"/>
  <c r="C317" i="2"/>
  <c r="C211" i="2"/>
  <c r="C309" i="2"/>
  <c r="C27" i="2"/>
  <c r="C233" i="2"/>
  <c r="C36" i="2"/>
  <c r="C315" i="2"/>
  <c r="C201" i="2"/>
  <c r="C31" i="2"/>
  <c r="C177" i="2"/>
  <c r="C228" i="2"/>
  <c r="C242" i="2"/>
  <c r="C316" i="2"/>
  <c r="C230" i="2"/>
  <c r="C82" i="2"/>
  <c r="C245" i="2"/>
  <c r="C300" i="2"/>
  <c r="C312" i="2"/>
  <c r="C67" i="2"/>
  <c r="C241" i="2"/>
  <c r="C284" i="2"/>
  <c r="C172" i="2"/>
  <c r="C237" i="2"/>
  <c r="C60" i="2"/>
  <c r="C182" i="2"/>
  <c r="C281" i="2"/>
  <c r="C40" i="2"/>
  <c r="C38" i="2"/>
  <c r="C232" i="2"/>
  <c r="C297" i="2"/>
  <c r="C178" i="2"/>
  <c r="C260" i="2"/>
  <c r="C170" i="2"/>
  <c r="C205" i="2"/>
  <c r="C243" i="2"/>
  <c r="C213" i="2"/>
  <c r="C235" i="2"/>
  <c r="C280" i="2"/>
  <c r="C278" i="2"/>
  <c r="C320" i="2"/>
  <c r="C216" i="2"/>
  <c r="C286" i="2"/>
  <c r="C185" i="2"/>
  <c r="C318" i="2"/>
  <c r="C265" i="2"/>
  <c r="C65" i="2"/>
  <c r="C212" i="2"/>
  <c r="C310" i="2"/>
  <c r="C59" i="2"/>
  <c r="C262" i="2"/>
  <c r="C171" i="2"/>
  <c r="C261" i="2"/>
  <c r="C208" i="2"/>
  <c r="C231" i="2"/>
  <c r="C33" i="2"/>
  <c r="C30" i="2"/>
  <c r="C28" i="2"/>
  <c r="C176" i="2"/>
  <c r="B95" i="2"/>
  <c r="B29" i="2"/>
  <c r="B113" i="2"/>
  <c r="B39" i="2"/>
  <c r="B98" i="2"/>
  <c r="B30" i="2"/>
  <c r="B110" i="2"/>
  <c r="B38" i="2"/>
  <c r="B31" i="2"/>
  <c r="B107" i="2"/>
  <c r="B37" i="2"/>
  <c r="B101" i="2"/>
  <c r="C86" i="2"/>
  <c r="C87" i="2"/>
  <c r="C45" i="2"/>
  <c r="C46" i="2"/>
  <c r="C76" i="2"/>
  <c r="C77" i="2"/>
  <c r="C55" i="2"/>
  <c r="C56" i="2"/>
  <c r="C61" i="2"/>
  <c r="C62" i="2"/>
  <c r="C70" i="2"/>
  <c r="C71" i="2"/>
  <c r="C41" i="2"/>
  <c r="C43" i="2"/>
  <c r="C42" i="2"/>
  <c r="C89" i="2"/>
  <c r="C91" i="2"/>
  <c r="C90" i="2"/>
  <c r="C75" i="2"/>
  <c r="C58" i="2"/>
  <c r="C74" i="2"/>
  <c r="C57" i="2"/>
  <c r="C88" i="2"/>
  <c r="B74" i="2"/>
  <c r="B68" i="2"/>
  <c r="B57" i="2"/>
  <c r="B65" i="2"/>
  <c r="B75" i="2"/>
  <c r="B58" i="2"/>
  <c r="B67" i="2"/>
  <c r="C44" i="2"/>
  <c r="B106" i="2"/>
  <c r="B150" i="2"/>
  <c r="B160" i="2"/>
  <c r="B167" i="2"/>
  <c r="B157" i="2"/>
  <c r="B168" i="2"/>
  <c r="B154" i="2"/>
  <c r="B164" i="2"/>
  <c r="B147" i="2"/>
  <c r="B140" i="2"/>
  <c r="B166" i="2"/>
  <c r="B156" i="2"/>
  <c r="B36" i="2"/>
  <c r="B159" i="2"/>
  <c r="B146" i="2"/>
  <c r="B137" i="2"/>
  <c r="B149" i="2"/>
  <c r="B145" i="2"/>
  <c r="B32" i="2"/>
  <c r="B158" i="2"/>
  <c r="B151" i="2"/>
  <c r="B161" i="2"/>
  <c r="B102" i="2"/>
  <c r="B148" i="2"/>
  <c r="B142" i="2"/>
  <c r="B169" i="2"/>
  <c r="B155" i="2"/>
  <c r="B165" i="2"/>
  <c r="B143" i="2"/>
  <c r="B144" i="2"/>
  <c r="B138" i="2"/>
  <c r="B139" i="2"/>
  <c r="C166" i="2"/>
  <c r="C167" i="2"/>
  <c r="A35" i="9"/>
  <c r="A992" i="3" s="1"/>
  <c r="B82" i="1"/>
  <c r="B81" i="3" s="1"/>
  <c r="B270" i="1"/>
  <c r="B269" i="3" s="1"/>
  <c r="B279" i="1"/>
  <c r="B278" i="3" s="1"/>
  <c r="B271" i="1"/>
  <c r="B270" i="3" s="1"/>
  <c r="B289" i="1"/>
  <c r="B288" i="3" s="1"/>
  <c r="B81" i="1"/>
  <c r="B80" i="3" s="1"/>
  <c r="B294" i="1"/>
  <c r="B293" i="3" s="1"/>
  <c r="B83" i="1"/>
  <c r="B82" i="3" s="1"/>
  <c r="C81" i="1"/>
  <c r="C80" i="3" s="1"/>
  <c r="B284" i="1"/>
  <c r="B283" i="3" s="1"/>
  <c r="C84" i="1"/>
  <c r="C83" i="3" s="1"/>
  <c r="C111" i="1"/>
  <c r="C110" i="3" s="1"/>
  <c r="B110" i="1"/>
  <c r="B109" i="3" s="1"/>
  <c r="B261" i="1"/>
  <c r="B260" i="3" s="1"/>
  <c r="B109" i="1"/>
  <c r="B108" i="3" s="1"/>
  <c r="C83" i="1"/>
  <c r="C82" i="3" s="1"/>
  <c r="B265" i="1"/>
  <c r="B264" i="3" s="1"/>
  <c r="B280" i="1"/>
  <c r="B279" i="3" s="1"/>
  <c r="B266" i="1"/>
  <c r="B265" i="3" s="1"/>
  <c r="B111" i="1"/>
  <c r="B110" i="3" s="1"/>
  <c r="C110" i="1"/>
  <c r="C109" i="3" s="1"/>
  <c r="C82" i="1"/>
  <c r="C81" i="3" s="1"/>
  <c r="B108" i="1"/>
  <c r="B107" i="3" s="1"/>
  <c r="B285" i="1"/>
  <c r="B284" i="3" s="1"/>
  <c r="C108" i="1"/>
  <c r="C107" i="3" s="1"/>
  <c r="B96" i="1"/>
  <c r="B95" i="3" s="1"/>
  <c r="B275" i="1"/>
  <c r="B274" i="3" s="1"/>
  <c r="B295" i="1"/>
  <c r="B294" i="3" s="1"/>
  <c r="B84" i="1"/>
  <c r="B83" i="3" s="1"/>
  <c r="C109" i="1"/>
  <c r="C108" i="3" s="1"/>
  <c r="D260" i="1"/>
  <c r="D259" i="3" s="1"/>
  <c r="D315" i="1"/>
  <c r="D314" i="3" s="1"/>
  <c r="D316" i="1"/>
  <c r="D315" i="3" s="1"/>
  <c r="D317" i="1"/>
  <c r="D316" i="3" s="1"/>
  <c r="D318" i="1"/>
  <c r="D317" i="3" s="1"/>
  <c r="D319" i="1"/>
  <c r="D318" i="3" s="1"/>
  <c r="D320" i="1"/>
  <c r="D319" i="3" s="1"/>
  <c r="D314" i="1"/>
  <c r="D313" i="3" s="1"/>
  <c r="D313" i="1"/>
  <c r="D312" i="3" s="1"/>
  <c r="D308" i="1"/>
  <c r="D307" i="3" s="1"/>
  <c r="D309" i="1"/>
  <c r="D308" i="3" s="1"/>
  <c r="D310" i="1"/>
  <c r="D309" i="3" s="1"/>
  <c r="D311" i="1"/>
  <c r="D310" i="3" s="1"/>
  <c r="D312" i="1"/>
  <c r="D311" i="3" s="1"/>
  <c r="D307" i="1"/>
  <c r="D306" i="3" s="1"/>
  <c r="D297" i="1"/>
  <c r="D296" i="3" s="1"/>
  <c r="D298" i="1"/>
  <c r="D297" i="3" s="1"/>
  <c r="D299" i="1"/>
  <c r="D298" i="3" s="1"/>
  <c r="D300" i="1"/>
  <c r="D299" i="3" s="1"/>
  <c r="D301" i="1"/>
  <c r="D300" i="3" s="1"/>
  <c r="D302" i="1"/>
  <c r="D301" i="3" s="1"/>
  <c r="D303" i="1"/>
  <c r="D302" i="3" s="1"/>
  <c r="D304" i="1"/>
  <c r="D303" i="3" s="1"/>
  <c r="D305" i="1"/>
  <c r="D304" i="3" s="1"/>
  <c r="D306" i="1"/>
  <c r="D305" i="3" s="1"/>
  <c r="D296" i="1"/>
  <c r="D295" i="3" s="1"/>
  <c r="D278" i="1"/>
  <c r="D277" i="3" s="1"/>
  <c r="D279" i="1"/>
  <c r="D278" i="3" s="1"/>
  <c r="D280" i="1"/>
  <c r="D279" i="3" s="1"/>
  <c r="D281" i="1"/>
  <c r="D280" i="3" s="1"/>
  <c r="D282" i="1"/>
  <c r="D281" i="3" s="1"/>
  <c r="D283" i="1"/>
  <c r="D282" i="3" s="1"/>
  <c r="D284" i="1"/>
  <c r="D283" i="3" s="1"/>
  <c r="D285" i="1"/>
  <c r="D284" i="3" s="1"/>
  <c r="D286" i="1"/>
  <c r="D285" i="3" s="1"/>
  <c r="D287" i="1"/>
  <c r="D286" i="3" s="1"/>
  <c r="D288" i="1"/>
  <c r="D287" i="3" s="1"/>
  <c r="D289" i="1"/>
  <c r="D288" i="3" s="1"/>
  <c r="D290" i="1"/>
  <c r="D289" i="3" s="1"/>
  <c r="D291" i="1"/>
  <c r="D290" i="3" s="1"/>
  <c r="D292" i="1"/>
  <c r="D291" i="3" s="1"/>
  <c r="D293" i="1"/>
  <c r="D292" i="3" s="1"/>
  <c r="D294" i="1"/>
  <c r="D293" i="3" s="1"/>
  <c r="D295" i="1"/>
  <c r="D294" i="3" s="1"/>
  <c r="D277" i="1"/>
  <c r="D276" i="3" s="1"/>
  <c r="D259" i="1"/>
  <c r="D258" i="3" s="1"/>
  <c r="D261" i="1"/>
  <c r="D260" i="3" s="1"/>
  <c r="D262" i="1"/>
  <c r="D261" i="3" s="1"/>
  <c r="D263" i="1"/>
  <c r="D262" i="3" s="1"/>
  <c r="D264" i="1"/>
  <c r="D263" i="3" s="1"/>
  <c r="D265" i="1"/>
  <c r="D264" i="3" s="1"/>
  <c r="D266" i="1"/>
  <c r="D265" i="3" s="1"/>
  <c r="D267" i="1"/>
  <c r="D266" i="3" s="1"/>
  <c r="D268" i="1"/>
  <c r="D267" i="3" s="1"/>
  <c r="D269" i="1"/>
  <c r="D268" i="3" s="1"/>
  <c r="D270" i="1"/>
  <c r="D269" i="3" s="1"/>
  <c r="D271" i="1"/>
  <c r="D270" i="3" s="1"/>
  <c r="D272" i="1"/>
  <c r="D271" i="3" s="1"/>
  <c r="D273" i="1"/>
  <c r="D272" i="3" s="1"/>
  <c r="D274" i="1"/>
  <c r="D273" i="3" s="1"/>
  <c r="D275" i="1"/>
  <c r="D274" i="3" s="1"/>
  <c r="D276" i="1"/>
  <c r="D275" i="3" s="1"/>
  <c r="D258" i="1"/>
  <c r="D257" i="3" s="1"/>
  <c r="D170" i="1"/>
  <c r="D169" i="3" s="1"/>
  <c r="D171" i="1"/>
  <c r="D170" i="3" s="1"/>
  <c r="D172" i="1"/>
  <c r="D171" i="3" s="1"/>
  <c r="D173" i="1"/>
  <c r="D172" i="3" s="1"/>
  <c r="D174" i="1"/>
  <c r="D173" i="3" s="1"/>
  <c r="D145" i="1"/>
  <c r="D144" i="3" s="1"/>
  <c r="D146" i="1"/>
  <c r="D145" i="3" s="1"/>
  <c r="D147" i="1"/>
  <c r="D146" i="3" s="1"/>
  <c r="D148" i="1"/>
  <c r="D147" i="3" s="1"/>
  <c r="D149" i="1"/>
  <c r="D148" i="3" s="1"/>
  <c r="D150" i="1"/>
  <c r="D149" i="3" s="1"/>
  <c r="D153" i="1"/>
  <c r="D152" i="3" s="1"/>
  <c r="D154" i="1"/>
  <c r="D153" i="3" s="1"/>
  <c r="D155" i="1"/>
  <c r="D154" i="3" s="1"/>
  <c r="D156" i="1"/>
  <c r="D155" i="3" s="1"/>
  <c r="D157" i="1"/>
  <c r="D156" i="3" s="1"/>
  <c r="D158" i="1"/>
  <c r="D157" i="3" s="1"/>
  <c r="D159" i="1"/>
  <c r="D158" i="3" s="1"/>
  <c r="D160" i="1"/>
  <c r="D159" i="3" s="1"/>
  <c r="D163" i="1"/>
  <c r="D162" i="3" s="1"/>
  <c r="D164" i="1"/>
  <c r="D163" i="3" s="1"/>
  <c r="D165" i="1"/>
  <c r="D164" i="3" s="1"/>
  <c r="D166" i="1"/>
  <c r="D165" i="3" s="1"/>
  <c r="D167" i="1"/>
  <c r="D166" i="3" s="1"/>
  <c r="D168" i="1"/>
  <c r="D167" i="3" s="1"/>
  <c r="D27" i="1"/>
  <c r="D26" i="3" s="1"/>
  <c r="D28" i="1"/>
  <c r="D27" i="3" s="1"/>
  <c r="D29" i="1"/>
  <c r="D28" i="3" s="1"/>
  <c r="D30" i="1"/>
  <c r="D29" i="3" s="1"/>
  <c r="D31" i="1"/>
  <c r="D30" i="3" s="1"/>
  <c r="D32" i="1"/>
  <c r="D31" i="3" s="1"/>
  <c r="D33" i="1"/>
  <c r="D32" i="3" s="1"/>
  <c r="D34" i="1"/>
  <c r="D33" i="3" s="1"/>
  <c r="D35" i="1"/>
  <c r="D34" i="3" s="1"/>
  <c r="D36" i="1"/>
  <c r="D35" i="3" s="1"/>
  <c r="D37" i="1"/>
  <c r="D36" i="3" s="1"/>
  <c r="D38" i="1"/>
  <c r="D37" i="3" s="1"/>
  <c r="D39" i="1"/>
  <c r="D38" i="3" s="1"/>
  <c r="D40" i="1"/>
  <c r="D39" i="3" s="1"/>
  <c r="D41" i="1"/>
  <c r="D40" i="3" s="1"/>
  <c r="D42" i="1"/>
  <c r="D41" i="3" s="1"/>
  <c r="D43" i="1"/>
  <c r="D42" i="3" s="1"/>
  <c r="D44" i="1"/>
  <c r="D43" i="3" s="1"/>
  <c r="D45" i="1"/>
  <c r="D44" i="3" s="1"/>
  <c r="D46" i="1"/>
  <c r="D45" i="3" s="1"/>
  <c r="D47" i="1"/>
  <c r="D46" i="3" s="1"/>
  <c r="D48" i="1"/>
  <c r="D47" i="3" s="1"/>
  <c r="D49" i="1"/>
  <c r="D48" i="3" s="1"/>
  <c r="D50" i="1"/>
  <c r="D49" i="3" s="1"/>
  <c r="D51" i="1"/>
  <c r="D50" i="3" s="1"/>
  <c r="D52" i="1"/>
  <c r="D51" i="3" s="1"/>
  <c r="D53" i="1"/>
  <c r="D52" i="3" s="1"/>
  <c r="D54" i="1"/>
  <c r="D53" i="3" s="1"/>
  <c r="D55" i="1"/>
  <c r="D54" i="3" s="1"/>
  <c r="D56" i="1"/>
  <c r="D55" i="3" s="1"/>
  <c r="D57" i="1"/>
  <c r="D56" i="3" s="1"/>
  <c r="D58" i="1"/>
  <c r="D57" i="3" s="1"/>
  <c r="D59" i="1"/>
  <c r="D58" i="3" s="1"/>
  <c r="D60" i="1"/>
  <c r="D59" i="3" s="1"/>
  <c r="D61" i="1"/>
  <c r="D60" i="3" s="1"/>
  <c r="D62" i="1"/>
  <c r="D61" i="3" s="1"/>
  <c r="D63" i="1"/>
  <c r="D62" i="3" s="1"/>
  <c r="D64" i="1"/>
  <c r="D63" i="3" s="1"/>
  <c r="D65" i="1"/>
  <c r="D64" i="3" s="1"/>
  <c r="D66" i="1"/>
  <c r="D65" i="3" s="1"/>
  <c r="D67" i="1"/>
  <c r="D66" i="3" s="1"/>
  <c r="D68" i="1"/>
  <c r="D67" i="3" s="1"/>
  <c r="D69" i="1"/>
  <c r="D68" i="3" s="1"/>
  <c r="D70" i="1"/>
  <c r="D69" i="3" s="1"/>
  <c r="D71" i="1"/>
  <c r="D70" i="3" s="1"/>
  <c r="D72" i="1"/>
  <c r="D71" i="3" s="1"/>
  <c r="D73" i="1"/>
  <c r="D72" i="3" s="1"/>
  <c r="D74" i="1"/>
  <c r="D73" i="3" s="1"/>
  <c r="D75" i="1"/>
  <c r="D74" i="3" s="1"/>
  <c r="D76" i="1"/>
  <c r="D75" i="3" s="1"/>
  <c r="D77" i="1"/>
  <c r="D76" i="3" s="1"/>
  <c r="D78" i="1"/>
  <c r="D77" i="3" s="1"/>
  <c r="D79" i="1"/>
  <c r="D78" i="3" s="1"/>
  <c r="D80" i="1"/>
  <c r="D79" i="3" s="1"/>
  <c r="D81" i="1"/>
  <c r="D80" i="3" s="1"/>
  <c r="D82" i="1"/>
  <c r="D81" i="3" s="1"/>
  <c r="D83" i="1"/>
  <c r="D82" i="3" s="1"/>
  <c r="D84" i="1"/>
  <c r="D83" i="3" s="1"/>
  <c r="D85" i="1"/>
  <c r="D84" i="3" s="1"/>
  <c r="D86" i="1"/>
  <c r="D85" i="3" s="1"/>
  <c r="D87" i="1"/>
  <c r="D86" i="3" s="1"/>
  <c r="D88" i="1"/>
  <c r="D87" i="3" s="1"/>
  <c r="D89" i="1"/>
  <c r="D88" i="3" s="1"/>
  <c r="D90" i="1"/>
  <c r="D89" i="3" s="1"/>
  <c r="D91" i="1"/>
  <c r="D90" i="3" s="1"/>
  <c r="D92" i="1"/>
  <c r="D91" i="3" s="1"/>
  <c r="D93" i="1"/>
  <c r="D92" i="3" s="1"/>
  <c r="D94" i="1"/>
  <c r="D93" i="3" s="1"/>
  <c r="D95" i="1"/>
  <c r="D94" i="3" s="1"/>
  <c r="D96" i="1"/>
  <c r="D95" i="3" s="1"/>
  <c r="D97" i="1"/>
  <c r="D96" i="3" s="1"/>
  <c r="D98" i="1"/>
  <c r="D97" i="3" s="1"/>
  <c r="D99" i="1"/>
  <c r="D98" i="3" s="1"/>
  <c r="D100" i="1"/>
  <c r="D99" i="3" s="1"/>
  <c r="D101" i="1"/>
  <c r="D100" i="3" s="1"/>
  <c r="D102" i="1"/>
  <c r="D101" i="3" s="1"/>
  <c r="D103" i="1"/>
  <c r="D102" i="3" s="1"/>
  <c r="D104" i="1"/>
  <c r="D103" i="3" s="1"/>
  <c r="D105" i="1"/>
  <c r="D104" i="3" s="1"/>
  <c r="D106" i="1"/>
  <c r="D105" i="3" s="1"/>
  <c r="D107" i="1"/>
  <c r="D106" i="3" s="1"/>
  <c r="D108" i="1"/>
  <c r="D107" i="3" s="1"/>
  <c r="D109" i="1"/>
  <c r="D108" i="3" s="1"/>
  <c r="D110" i="1"/>
  <c r="D109" i="3" s="1"/>
  <c r="D111" i="1"/>
  <c r="D110" i="3" s="1"/>
  <c r="D112" i="1"/>
  <c r="D111" i="3" s="1"/>
  <c r="D113" i="1"/>
  <c r="D112" i="3" s="1"/>
  <c r="D114" i="1"/>
  <c r="D113" i="3" s="1"/>
  <c r="D115" i="1"/>
  <c r="D114" i="3" s="1"/>
  <c r="D116" i="1"/>
  <c r="D115" i="3" s="1"/>
  <c r="D117" i="1"/>
  <c r="D116" i="3" s="1"/>
  <c r="D118" i="1"/>
  <c r="D117" i="3" s="1"/>
  <c r="D119" i="1"/>
  <c r="D118" i="3" s="1"/>
  <c r="D120" i="1"/>
  <c r="D119" i="3" s="1"/>
  <c r="D121" i="1"/>
  <c r="D120" i="3" s="1"/>
  <c r="D122" i="1"/>
  <c r="D121" i="3" s="1"/>
  <c r="D123" i="1"/>
  <c r="D122" i="3" s="1"/>
  <c r="D124" i="1"/>
  <c r="D123" i="3" s="1"/>
  <c r="D125" i="1"/>
  <c r="D124" i="3" s="1"/>
  <c r="D126" i="1"/>
  <c r="D125" i="3" s="1"/>
  <c r="D127" i="1"/>
  <c r="D126" i="3" s="1"/>
  <c r="D128" i="1"/>
  <c r="D127" i="3" s="1"/>
  <c r="D129" i="1"/>
  <c r="D128" i="3" s="1"/>
  <c r="D130" i="1"/>
  <c r="D129" i="3" s="1"/>
  <c r="D131" i="1"/>
  <c r="D130" i="3" s="1"/>
  <c r="D132" i="1"/>
  <c r="D131" i="3" s="1"/>
  <c r="D133" i="1"/>
  <c r="D132" i="3" s="1"/>
  <c r="D134" i="1"/>
  <c r="D133" i="3" s="1"/>
  <c r="D135" i="1"/>
  <c r="D134" i="3" s="1"/>
  <c r="D228" i="1"/>
  <c r="D227" i="3" s="1"/>
  <c r="D229" i="1"/>
  <c r="D228" i="3" s="1"/>
  <c r="D230" i="1"/>
  <c r="D229" i="3" s="1"/>
  <c r="D231" i="1"/>
  <c r="D230" i="3" s="1"/>
  <c r="D232" i="1"/>
  <c r="D231" i="3" s="1"/>
  <c r="D233" i="1"/>
  <c r="D232" i="3" s="1"/>
  <c r="D234" i="1"/>
  <c r="D233" i="3" s="1"/>
  <c r="D235" i="1"/>
  <c r="D234" i="3" s="1"/>
  <c r="D236" i="1"/>
  <c r="D235" i="3" s="1"/>
  <c r="D237" i="1"/>
  <c r="D236" i="3" s="1"/>
  <c r="D238" i="1"/>
  <c r="D237" i="3" s="1"/>
  <c r="D239" i="1"/>
  <c r="D238" i="3" s="1"/>
  <c r="D240" i="1"/>
  <c r="D239" i="3" s="1"/>
  <c r="D241" i="1"/>
  <c r="D240" i="3" s="1"/>
  <c r="D242" i="1"/>
  <c r="D241" i="3" s="1"/>
  <c r="D243" i="1"/>
  <c r="D242" i="3" s="1"/>
  <c r="D244" i="1"/>
  <c r="D243" i="3" s="1"/>
  <c r="D245" i="1"/>
  <c r="D244" i="3" s="1"/>
  <c r="D246" i="1"/>
  <c r="D245" i="3" s="1"/>
  <c r="D247" i="1"/>
  <c r="D246" i="3" s="1"/>
  <c r="D248" i="1"/>
  <c r="D247" i="3" s="1"/>
  <c r="D249" i="1"/>
  <c r="D248" i="3" s="1"/>
  <c r="D250" i="1"/>
  <c r="D249" i="3" s="1"/>
  <c r="D251" i="1"/>
  <c r="D250" i="3" s="1"/>
  <c r="D252" i="1"/>
  <c r="D251" i="3" s="1"/>
  <c r="D253" i="1"/>
  <c r="D252" i="3" s="1"/>
  <c r="D254" i="1"/>
  <c r="D253" i="3" s="1"/>
  <c r="D255" i="1"/>
  <c r="D254" i="3" s="1"/>
  <c r="D256" i="1"/>
  <c r="D255" i="3" s="1"/>
  <c r="D257" i="1"/>
  <c r="D256" i="3" s="1"/>
  <c r="D227" i="1"/>
  <c r="D226" i="3" s="1"/>
  <c r="D205" i="1"/>
  <c r="D204" i="3" s="1"/>
  <c r="D206" i="1"/>
  <c r="D205" i="3" s="1"/>
  <c r="D207" i="1"/>
  <c r="D206" i="3" s="1"/>
  <c r="D208" i="1"/>
  <c r="D207" i="3" s="1"/>
  <c r="D209" i="1"/>
  <c r="D208" i="3" s="1"/>
  <c r="D210" i="1"/>
  <c r="D209" i="3" s="1"/>
  <c r="D211" i="1"/>
  <c r="D210" i="3" s="1"/>
  <c r="D212" i="1"/>
  <c r="D211" i="3" s="1"/>
  <c r="D213" i="1"/>
  <c r="D212" i="3" s="1"/>
  <c r="D214" i="1"/>
  <c r="D213" i="3" s="1"/>
  <c r="D215" i="1"/>
  <c r="D214" i="3" s="1"/>
  <c r="D216" i="1"/>
  <c r="D215" i="3" s="1"/>
  <c r="D217" i="1"/>
  <c r="D216" i="3" s="1"/>
  <c r="D218" i="1"/>
  <c r="D217" i="3" s="1"/>
  <c r="D219" i="1"/>
  <c r="D218" i="3" s="1"/>
  <c r="D220" i="1"/>
  <c r="D219" i="3" s="1"/>
  <c r="D221" i="1"/>
  <c r="D220" i="3" s="1"/>
  <c r="D222" i="1"/>
  <c r="D221" i="3" s="1"/>
  <c r="D223" i="1"/>
  <c r="D222" i="3" s="1"/>
  <c r="D224" i="1"/>
  <c r="D223" i="3" s="1"/>
  <c r="D225" i="1"/>
  <c r="D224" i="3" s="1"/>
  <c r="D226" i="1"/>
  <c r="D225" i="3" s="1"/>
  <c r="D204" i="1"/>
  <c r="D203" i="3" s="1"/>
  <c r="D201" i="1"/>
  <c r="D200" i="3" s="1"/>
  <c r="D202" i="1"/>
  <c r="D201" i="3" s="1"/>
  <c r="D203" i="1"/>
  <c r="D202" i="3" s="1"/>
  <c r="D200" i="1"/>
  <c r="D199" i="3" s="1"/>
  <c r="D176" i="1"/>
  <c r="D175" i="3" s="1"/>
  <c r="D177" i="1"/>
  <c r="D176" i="3" s="1"/>
  <c r="D178" i="1"/>
  <c r="D177" i="3" s="1"/>
  <c r="D179" i="1"/>
  <c r="D178" i="3" s="1"/>
  <c r="D180" i="1"/>
  <c r="D179" i="3" s="1"/>
  <c r="D181" i="1"/>
  <c r="D180" i="3" s="1"/>
  <c r="D182" i="1"/>
  <c r="D181" i="3" s="1"/>
  <c r="D183" i="1"/>
  <c r="D182" i="3" s="1"/>
  <c r="D184" i="1"/>
  <c r="D183" i="3" s="1"/>
  <c r="D185" i="1"/>
  <c r="D184" i="3" s="1"/>
  <c r="D186" i="1"/>
  <c r="D185" i="3" s="1"/>
  <c r="D187" i="1"/>
  <c r="D186" i="3" s="1"/>
  <c r="D188" i="1"/>
  <c r="D187" i="3" s="1"/>
  <c r="D189" i="1"/>
  <c r="D188" i="3" s="1"/>
  <c r="D190" i="1"/>
  <c r="D189" i="3" s="1"/>
  <c r="D191" i="1"/>
  <c r="D190" i="3" s="1"/>
  <c r="D192" i="1"/>
  <c r="D191" i="3" s="1"/>
  <c r="D193" i="1"/>
  <c r="D192" i="3" s="1"/>
  <c r="D194" i="1"/>
  <c r="D193" i="3" s="1"/>
  <c r="D195" i="1"/>
  <c r="D194" i="3" s="1"/>
  <c r="D196" i="1"/>
  <c r="D195" i="3" s="1"/>
  <c r="D197" i="1"/>
  <c r="D196" i="3" s="1"/>
  <c r="D198" i="1"/>
  <c r="D197" i="3" s="1"/>
  <c r="D199" i="1"/>
  <c r="D198" i="3" s="1"/>
  <c r="D175" i="1"/>
  <c r="D174" i="3" s="1"/>
  <c r="D169" i="1"/>
  <c r="D168" i="3" s="1"/>
  <c r="D26" i="1"/>
  <c r="D25" i="3" s="1"/>
  <c r="A672" i="3" l="1"/>
  <c r="A35" i="8"/>
  <c r="C345" i="3"/>
  <c r="B373" i="3"/>
  <c r="B550" i="3"/>
  <c r="B437" i="3"/>
  <c r="B414" i="3"/>
  <c r="B619" i="3"/>
  <c r="B581" i="3"/>
  <c r="C486" i="3"/>
  <c r="C415" i="3"/>
  <c r="C484" i="3"/>
  <c r="B455" i="3"/>
  <c r="B459" i="3"/>
  <c r="B478" i="3"/>
  <c r="B34" i="9"/>
  <c r="B991" i="3" s="1"/>
  <c r="B349" i="3"/>
  <c r="B454" i="3"/>
  <c r="B30" i="9"/>
  <c r="B987" i="3" s="1"/>
  <c r="B353" i="3"/>
  <c r="B484" i="3"/>
  <c r="B423" i="3"/>
  <c r="B374" i="3"/>
  <c r="C405" i="3"/>
  <c r="C375" i="3"/>
  <c r="C408" i="3"/>
  <c r="C360" i="3"/>
  <c r="C387" i="3"/>
  <c r="C393" i="3"/>
  <c r="C404" i="3"/>
  <c r="B29" i="9"/>
  <c r="B986" i="3" s="1"/>
  <c r="B354" i="3"/>
  <c r="B28" i="9"/>
  <c r="B985" i="3" s="1"/>
  <c r="B355" i="3"/>
  <c r="C628" i="3"/>
  <c r="C604" i="3"/>
  <c r="C596" i="3"/>
  <c r="C377" i="3"/>
  <c r="C602" i="3"/>
  <c r="C630" i="3"/>
  <c r="C559" i="3"/>
  <c r="C30" i="9"/>
  <c r="C987" i="3" s="1"/>
  <c r="C353" i="3"/>
  <c r="C582" i="3"/>
  <c r="C390" i="3"/>
  <c r="C616" i="3"/>
  <c r="C501" i="3"/>
  <c r="C626" i="3"/>
  <c r="C32" i="9"/>
  <c r="C989" i="3" s="1"/>
  <c r="C351" i="3"/>
  <c r="C497" i="3"/>
  <c r="C600" i="3"/>
  <c r="C555" i="3"/>
  <c r="C380" i="3"/>
  <c r="C389" i="3"/>
  <c r="C539" i="3"/>
  <c r="C612" i="3"/>
  <c r="C591" i="3"/>
  <c r="C543" i="3"/>
  <c r="C574" i="3"/>
  <c r="C610" i="3"/>
  <c r="C541" i="3"/>
  <c r="C520" i="3"/>
  <c r="C571" i="3"/>
  <c r="C445" i="3"/>
  <c r="C443" i="3"/>
  <c r="B574" i="3"/>
  <c r="B637" i="3"/>
  <c r="B614" i="3"/>
  <c r="B566" i="3"/>
  <c r="B379" i="3"/>
  <c r="B429" i="3"/>
  <c r="B502" i="3"/>
  <c r="B26" i="9"/>
  <c r="B983" i="3" s="1"/>
  <c r="B357" i="3"/>
  <c r="B426" i="3"/>
  <c r="B514" i="3"/>
  <c r="B425" i="3"/>
  <c r="B624" i="3"/>
  <c r="B513" i="3"/>
  <c r="B495" i="3"/>
  <c r="B547" i="3"/>
  <c r="B444" i="3"/>
  <c r="B571" i="3"/>
  <c r="B555" i="3"/>
  <c r="B539" i="3"/>
  <c r="B622" i="3"/>
  <c r="B529" i="3"/>
  <c r="B537" i="3"/>
  <c r="B344" i="3"/>
  <c r="B534" i="3"/>
  <c r="B389" i="3"/>
  <c r="B380" i="3"/>
  <c r="B433" i="3"/>
  <c r="B376" i="3"/>
  <c r="B577" i="3"/>
  <c r="B623" i="3"/>
  <c r="B501" i="3"/>
  <c r="B510" i="3"/>
  <c r="B491" i="3"/>
  <c r="C491" i="3"/>
  <c r="B372" i="3"/>
  <c r="C564" i="3"/>
  <c r="B440" i="3"/>
  <c r="C424" i="3"/>
  <c r="B387" i="3"/>
  <c r="B410" i="3"/>
  <c r="C505" i="3"/>
  <c r="C425" i="3"/>
  <c r="B509" i="3"/>
  <c r="C639" i="3"/>
  <c r="C534" i="3"/>
  <c r="C589" i="3"/>
  <c r="B358" i="3"/>
  <c r="B457" i="3"/>
  <c r="B346" i="3"/>
  <c r="C583" i="3"/>
  <c r="C487" i="3"/>
  <c r="C26" i="9"/>
  <c r="C983" i="3" s="1"/>
  <c r="C357" i="3"/>
  <c r="C399" i="3"/>
  <c r="C496" i="3"/>
  <c r="C526" i="3"/>
  <c r="C621" i="3"/>
  <c r="B575" i="3"/>
  <c r="B446" i="3"/>
  <c r="B610" i="3"/>
  <c r="B585" i="3"/>
  <c r="B533" i="3"/>
  <c r="B400" i="3"/>
  <c r="C430" i="3"/>
  <c r="C588" i="3"/>
  <c r="C483" i="3"/>
  <c r="B462" i="3"/>
  <c r="B485" i="3"/>
  <c r="C361" i="3"/>
  <c r="B392" i="3"/>
  <c r="B385" i="3"/>
  <c r="C374" i="3"/>
  <c r="C392" i="3"/>
  <c r="C406" i="3"/>
  <c r="C358" i="3"/>
  <c r="C379" i="3"/>
  <c r="C372" i="3"/>
  <c r="C363" i="3"/>
  <c r="C403" i="3"/>
  <c r="B427" i="3"/>
  <c r="B412" i="3"/>
  <c r="C525" i="3"/>
  <c r="C580" i="3"/>
  <c r="C529" i="3"/>
  <c r="C533" i="3"/>
  <c r="C598" i="3"/>
  <c r="C578" i="3"/>
  <c r="C549" i="3"/>
  <c r="C618" i="3"/>
  <c r="C547" i="3"/>
  <c r="C545" i="3"/>
  <c r="C561" i="3"/>
  <c r="C527" i="3"/>
  <c r="C31" i="9"/>
  <c r="C988" i="3" s="1"/>
  <c r="C352" i="3"/>
  <c r="C553" i="3"/>
  <c r="C458" i="3"/>
  <c r="C523" i="3"/>
  <c r="C386" i="3"/>
  <c r="C551" i="3"/>
  <c r="C509" i="3"/>
  <c r="C437" i="3"/>
  <c r="C512" i="3"/>
  <c r="C595" i="3"/>
  <c r="C513" i="3"/>
  <c r="C622" i="3"/>
  <c r="C521" i="3"/>
  <c r="C511" i="3"/>
  <c r="C572" i="3"/>
  <c r="C614" i="3"/>
  <c r="C447" i="3"/>
  <c r="C453" i="3"/>
  <c r="C449" i="3"/>
  <c r="B516" i="3"/>
  <c r="B492" i="3"/>
  <c r="B603" i="3"/>
  <c r="B595" i="3"/>
  <c r="B452" i="3"/>
  <c r="B579" i="3"/>
  <c r="B638" i="3"/>
  <c r="B488" i="3"/>
  <c r="B360" i="3"/>
  <c r="B613" i="3"/>
  <c r="B450" i="3"/>
  <c r="B438" i="3"/>
  <c r="B542" i="3"/>
  <c r="B525" i="3"/>
  <c r="B496" i="3"/>
  <c r="B567" i="3"/>
  <c r="B519" i="3"/>
  <c r="B417" i="3"/>
  <c r="B420" i="3"/>
  <c r="B564" i="3"/>
  <c r="B443" i="3"/>
  <c r="B591" i="3"/>
  <c r="B508" i="3"/>
  <c r="B554" i="3"/>
  <c r="B399" i="3"/>
  <c r="B582" i="3"/>
  <c r="B493" i="3"/>
  <c r="B563" i="3"/>
  <c r="B600" i="3"/>
  <c r="B621" i="3"/>
  <c r="B532" i="3"/>
  <c r="B498" i="3"/>
  <c r="B535" i="3"/>
  <c r="B530" i="3"/>
  <c r="C414" i="3"/>
  <c r="C587" i="3"/>
  <c r="C607" i="3"/>
  <c r="C419" i="3"/>
  <c r="C428" i="3"/>
  <c r="C485" i="3"/>
  <c r="C632" i="3"/>
  <c r="C420" i="3"/>
  <c r="B362" i="3"/>
  <c r="B403" i="3"/>
  <c r="C410" i="3"/>
  <c r="C565" i="3"/>
  <c r="B406" i="3"/>
  <c r="B471" i="3"/>
  <c r="C373" i="3"/>
  <c r="C548" i="3"/>
  <c r="C627" i="3"/>
  <c r="C524" i="3"/>
  <c r="C605" i="3"/>
  <c r="C400" i="3"/>
  <c r="C625" i="3"/>
  <c r="C516" i="3"/>
  <c r="B432" i="3"/>
  <c r="B526" i="3"/>
  <c r="B407" i="3"/>
  <c r="B618" i="3"/>
  <c r="B448" i="3"/>
  <c r="B411" i="3"/>
  <c r="B627" i="3"/>
  <c r="B604" i="3"/>
  <c r="B609" i="3"/>
  <c r="B472" i="3"/>
  <c r="B461" i="3"/>
  <c r="B465" i="3"/>
  <c r="B468" i="3"/>
  <c r="B463" i="3"/>
  <c r="B473" i="3"/>
  <c r="B464" i="3"/>
  <c r="B477" i="3"/>
  <c r="B424" i="3"/>
  <c r="B27" i="9"/>
  <c r="B984" i="3" s="1"/>
  <c r="B356" i="3"/>
  <c r="C347" i="3"/>
  <c r="C636" i="3"/>
  <c r="C560" i="3"/>
  <c r="C599" i="3"/>
  <c r="C554" i="3"/>
  <c r="C558" i="3"/>
  <c r="C518" i="3"/>
  <c r="C550" i="3"/>
  <c r="C528" i="3"/>
  <c r="C383" i="3"/>
  <c r="C490" i="3"/>
  <c r="C346" i="3"/>
  <c r="C498" i="3"/>
  <c r="C532" i="3"/>
  <c r="C546" i="3"/>
  <c r="C519" i="3"/>
  <c r="C500" i="3"/>
  <c r="C617" i="3"/>
  <c r="C585" i="3"/>
  <c r="C34" i="9"/>
  <c r="C991" i="3" s="1"/>
  <c r="C349" i="3"/>
  <c r="C508" i="3"/>
  <c r="C611" i="3"/>
  <c r="C594" i="3"/>
  <c r="C613" i="3"/>
  <c r="C438" i="3"/>
  <c r="C609" i="3"/>
  <c r="C514" i="3"/>
  <c r="C450" i="3"/>
  <c r="C452" i="3"/>
  <c r="B517" i="3"/>
  <c r="B408" i="3"/>
  <c r="B615" i="3"/>
  <c r="B386" i="3"/>
  <c r="B617" i="3"/>
  <c r="B625" i="3"/>
  <c r="B431" i="3"/>
  <c r="B32" i="9"/>
  <c r="B989" i="3" s="1"/>
  <c r="B351" i="3"/>
  <c r="B557" i="3"/>
  <c r="B548" i="3"/>
  <c r="B634" i="3"/>
  <c r="B559" i="3"/>
  <c r="B572" i="3"/>
  <c r="B518" i="3"/>
  <c r="B416" i="3"/>
  <c r="B512" i="3"/>
  <c r="B520" i="3"/>
  <c r="B511" i="3"/>
  <c r="B413" i="3"/>
  <c r="B586" i="3"/>
  <c r="B499" i="3"/>
  <c r="B596" i="3"/>
  <c r="B505" i="3"/>
  <c r="B626" i="3"/>
  <c r="B629" i="3"/>
  <c r="B630" i="3"/>
  <c r="B551" i="3"/>
  <c r="B587" i="3"/>
  <c r="B628" i="3"/>
  <c r="B494" i="3"/>
  <c r="B489" i="3"/>
  <c r="B377" i="3"/>
  <c r="C423" i="3"/>
  <c r="C568" i="3"/>
  <c r="C427" i="3"/>
  <c r="C619" i="3"/>
  <c r="B434" i="3"/>
  <c r="C606" i="3"/>
  <c r="B381" i="3"/>
  <c r="C536" i="3"/>
  <c r="C429" i="3"/>
  <c r="B482" i="3"/>
  <c r="B375" i="3"/>
  <c r="B415" i="3"/>
  <c r="C488" i="3"/>
  <c r="C530" i="3"/>
  <c r="C577" i="3"/>
  <c r="C385" i="3"/>
  <c r="C537" i="3"/>
  <c r="C590" i="3"/>
  <c r="C444" i="3"/>
  <c r="B531" i="3"/>
  <c r="B561" i="3"/>
  <c r="B447" i="3"/>
  <c r="B527" i="3"/>
  <c r="C421" i="3"/>
  <c r="C608" i="3"/>
  <c r="C417" i="3"/>
  <c r="B460" i="3"/>
  <c r="B486" i="3"/>
  <c r="B419" i="3"/>
  <c r="B475" i="3"/>
  <c r="B466" i="3"/>
  <c r="B481" i="3"/>
  <c r="B384" i="3"/>
  <c r="B382" i="3"/>
  <c r="B391" i="3"/>
  <c r="C407" i="3"/>
  <c r="C359" i="3"/>
  <c r="C388" i="3"/>
  <c r="C378" i="3"/>
  <c r="B418" i="3"/>
  <c r="B430" i="3"/>
  <c r="C493" i="3"/>
  <c r="C33" i="9"/>
  <c r="C990" i="3" s="1"/>
  <c r="C350" i="3"/>
  <c r="C376" i="3"/>
  <c r="C495" i="3"/>
  <c r="C28" i="9"/>
  <c r="C985" i="3" s="1"/>
  <c r="C355" i="3"/>
  <c r="C499" i="3"/>
  <c r="C634" i="3"/>
  <c r="C503" i="3"/>
  <c r="C586" i="3"/>
  <c r="C584" i="3"/>
  <c r="C27" i="9"/>
  <c r="C984" i="3" s="1"/>
  <c r="C356" i="3"/>
  <c r="C381" i="3"/>
  <c r="C531" i="3"/>
  <c r="C557" i="3"/>
  <c r="C544" i="3"/>
  <c r="C433" i="3"/>
  <c r="C538" i="3"/>
  <c r="C542" i="3"/>
  <c r="C570" i="3"/>
  <c r="C593" i="3"/>
  <c r="C624" i="3"/>
  <c r="C575" i="3"/>
  <c r="C569" i="3"/>
  <c r="C517" i="3"/>
  <c r="C515" i="3"/>
  <c r="C540" i="3"/>
  <c r="C573" i="3"/>
  <c r="C435" i="3"/>
  <c r="C451" i="3"/>
  <c r="C439" i="3"/>
  <c r="C441" i="3"/>
  <c r="B388" i="3"/>
  <c r="B507" i="3"/>
  <c r="B361" i="3"/>
  <c r="B633" i="3"/>
  <c r="B490" i="3"/>
  <c r="B616" i="3"/>
  <c r="B363" i="3"/>
  <c r="B394" i="3"/>
  <c r="B497" i="3"/>
  <c r="B449" i="3"/>
  <c r="B568" i="3"/>
  <c r="B594" i="3"/>
  <c r="B541" i="3"/>
  <c r="B558" i="3"/>
  <c r="B521" i="3"/>
  <c r="B524" i="3"/>
  <c r="B33" i="9"/>
  <c r="B990" i="3" s="1"/>
  <c r="B350" i="3"/>
  <c r="B445" i="3"/>
  <c r="B570" i="3"/>
  <c r="B560" i="3"/>
  <c r="B605" i="3"/>
  <c r="B528" i="3"/>
  <c r="B569" i="3"/>
  <c r="B631" i="3"/>
  <c r="B439" i="3"/>
  <c r="B580" i="3"/>
  <c r="B601" i="3"/>
  <c r="B503" i="3"/>
  <c r="B545" i="3"/>
  <c r="B500" i="3"/>
  <c r="B506" i="3"/>
  <c r="B523" i="3"/>
  <c r="B487" i="3"/>
  <c r="C418" i="3"/>
  <c r="C426" i="3"/>
  <c r="B393" i="3"/>
  <c r="C566" i="3"/>
  <c r="C416" i="3"/>
  <c r="C492" i="3"/>
  <c r="B345" i="3"/>
  <c r="C535" i="3"/>
  <c r="C422" i="3"/>
  <c r="C432" i="3"/>
  <c r="C412" i="3"/>
  <c r="B378" i="3"/>
  <c r="C413" i="3"/>
  <c r="C567" i="3"/>
  <c r="C409" i="3"/>
  <c r="C615" i="3"/>
  <c r="C35" i="9"/>
  <c r="C992" i="3" s="1"/>
  <c r="C348" i="3"/>
  <c r="C603" i="3"/>
  <c r="C581" i="3"/>
  <c r="C436" i="3"/>
  <c r="C510" i="3"/>
  <c r="C440" i="3"/>
  <c r="C446" i="3"/>
  <c r="B359" i="3"/>
  <c r="B458" i="3"/>
  <c r="B421" i="3"/>
  <c r="B451" i="3"/>
  <c r="B549" i="3"/>
  <c r="B565" i="3"/>
  <c r="B590" i="3"/>
  <c r="B562" i="3"/>
  <c r="B367" i="3"/>
  <c r="B456" i="3"/>
  <c r="B476" i="3"/>
  <c r="B483" i="3"/>
  <c r="B474" i="3"/>
  <c r="B467" i="3"/>
  <c r="C391" i="3"/>
  <c r="C394" i="3"/>
  <c r="C362" i="3"/>
  <c r="B35" i="9"/>
  <c r="B992" i="3" s="1"/>
  <c r="B348" i="3"/>
  <c r="B347" i="3"/>
  <c r="C579" i="3"/>
  <c r="C382" i="3"/>
  <c r="C502" i="3"/>
  <c r="C638" i="3"/>
  <c r="C552" i="3"/>
  <c r="C522" i="3"/>
  <c r="C489" i="3"/>
  <c r="C384" i="3"/>
  <c r="C562" i="3"/>
  <c r="C494" i="3"/>
  <c r="C633" i="3"/>
  <c r="C344" i="3"/>
  <c r="C635" i="3"/>
  <c r="C556" i="3"/>
  <c r="C629" i="3"/>
  <c r="C597" i="3"/>
  <c r="C464" i="3"/>
  <c r="C367" i="3"/>
  <c r="C601" i="3"/>
  <c r="C637" i="3"/>
  <c r="C631" i="3"/>
  <c r="C463" i="3"/>
  <c r="C29" i="9"/>
  <c r="C986" i="3" s="1"/>
  <c r="C354" i="3"/>
  <c r="C366" i="3"/>
  <c r="C504" i="3"/>
  <c r="C434" i="3"/>
  <c r="C623" i="3"/>
  <c r="C592" i="3"/>
  <c r="C448" i="3"/>
  <c r="C442" i="3"/>
  <c r="B544" i="3"/>
  <c r="B639" i="3"/>
  <c r="B515" i="3"/>
  <c r="B405" i="3"/>
  <c r="B536" i="3"/>
  <c r="B636" i="3"/>
  <c r="B404" i="3"/>
  <c r="B543" i="3"/>
  <c r="B635" i="3"/>
  <c r="B552" i="3"/>
  <c r="B620" i="3"/>
  <c r="B428" i="3"/>
  <c r="B573" i="3"/>
  <c r="B31" i="9"/>
  <c r="B988" i="3" s="1"/>
  <c r="B352" i="3"/>
  <c r="B422" i="3"/>
  <c r="B540" i="3"/>
  <c r="B436" i="3"/>
  <c r="B556" i="3"/>
  <c r="B435" i="3"/>
  <c r="B441" i="3"/>
  <c r="B442" i="3"/>
  <c r="B546" i="3"/>
  <c r="B409" i="3"/>
  <c r="B366" i="3"/>
  <c r="B632" i="3"/>
  <c r="B553" i="3"/>
  <c r="B504" i="3"/>
  <c r="B522" i="3"/>
  <c r="B606" i="3"/>
  <c r="B599" i="3"/>
  <c r="B592" i="3"/>
  <c r="B538" i="3"/>
  <c r="C563" i="3"/>
  <c r="C506" i="3"/>
  <c r="C507" i="3"/>
  <c r="B390" i="3"/>
  <c r="C411" i="3"/>
  <c r="C620" i="3"/>
  <c r="C431" i="3"/>
  <c r="D122" i="2"/>
  <c r="D44" i="2"/>
  <c r="D81" i="2"/>
  <c r="D121" i="2"/>
  <c r="D82" i="2"/>
  <c r="D49" i="2"/>
  <c r="D61" i="2"/>
  <c r="D75" i="2"/>
  <c r="D87" i="2"/>
  <c r="D109" i="2"/>
  <c r="D97" i="2"/>
  <c r="D26" i="8"/>
  <c r="D664" i="3" s="1"/>
  <c r="D136" i="2"/>
  <c r="D124" i="2"/>
  <c r="D38" i="2"/>
  <c r="D32" i="2"/>
  <c r="D43" i="2"/>
  <c r="D48" i="2"/>
  <c r="D54" i="2"/>
  <c r="D60" i="2"/>
  <c r="D67" i="2"/>
  <c r="D70" i="2"/>
  <c r="D76" i="2"/>
  <c r="D91" i="2"/>
  <c r="D112" i="2"/>
  <c r="D106" i="2"/>
  <c r="D100" i="2"/>
  <c r="D94" i="2"/>
  <c r="D118" i="2"/>
  <c r="D133" i="2"/>
  <c r="D29" i="8"/>
  <c r="D667" i="3" s="1"/>
  <c r="D127" i="2"/>
  <c r="D35" i="8"/>
  <c r="D673" i="3" s="1"/>
  <c r="D37" i="2"/>
  <c r="D31" i="2"/>
  <c r="D42" i="2"/>
  <c r="D47" i="2"/>
  <c r="D53" i="2"/>
  <c r="D59" i="2"/>
  <c r="D66" i="2"/>
  <c r="D73" i="2"/>
  <c r="D79" i="2"/>
  <c r="D85" i="2"/>
  <c r="D90" i="2"/>
  <c r="D111" i="2"/>
  <c r="D105" i="2"/>
  <c r="D99" i="2"/>
  <c r="D93" i="2"/>
  <c r="D117" i="2"/>
  <c r="D30" i="8"/>
  <c r="D668" i="3" s="1"/>
  <c r="D132" i="2"/>
  <c r="D126" i="2"/>
  <c r="D36" i="2"/>
  <c r="D30" i="2"/>
  <c r="D41" i="2"/>
  <c r="D50" i="2"/>
  <c r="D56" i="2"/>
  <c r="D62" i="2"/>
  <c r="D65" i="2"/>
  <c r="D72" i="2"/>
  <c r="D78" i="2"/>
  <c r="D84" i="2"/>
  <c r="D89" i="2"/>
  <c r="D110" i="2"/>
  <c r="D104" i="2"/>
  <c r="D98" i="2"/>
  <c r="D92" i="2"/>
  <c r="D116" i="2"/>
  <c r="D31" i="8"/>
  <c r="D669" i="3" s="1"/>
  <c r="D131" i="2"/>
  <c r="D125" i="2"/>
  <c r="D29" i="2"/>
  <c r="D103" i="2"/>
  <c r="D34" i="2"/>
  <c r="D46" i="2"/>
  <c r="D69" i="2"/>
  <c r="D74" i="2"/>
  <c r="D86" i="2"/>
  <c r="D102" i="2"/>
  <c r="D27" i="8"/>
  <c r="D665" i="3" s="1"/>
  <c r="D135" i="2"/>
  <c r="D40" i="2"/>
  <c r="D28" i="2"/>
  <c r="D52" i="2"/>
  <c r="D58" i="2"/>
  <c r="D63" i="2"/>
  <c r="D80" i="2"/>
  <c r="D114" i="2"/>
  <c r="D108" i="2"/>
  <c r="D96" i="2"/>
  <c r="D120" i="2"/>
  <c r="D33" i="8"/>
  <c r="D671" i="3" s="1"/>
  <c r="D129" i="2"/>
  <c r="D123" i="2"/>
  <c r="D39" i="2"/>
  <c r="D33" i="2"/>
  <c r="D27" i="2"/>
  <c r="D45" i="2"/>
  <c r="D51" i="2"/>
  <c r="D57" i="2"/>
  <c r="D68" i="2"/>
  <c r="D71" i="2"/>
  <c r="D77" i="2"/>
  <c r="D83" i="2"/>
  <c r="D88" i="2"/>
  <c r="D113" i="2"/>
  <c r="D107" i="2"/>
  <c r="D101" i="2"/>
  <c r="D95" i="2"/>
  <c r="D119" i="2"/>
  <c r="D134" i="2"/>
  <c r="D28" i="8"/>
  <c r="D666" i="3" s="1"/>
  <c r="D128" i="2"/>
  <c r="D34" i="8"/>
  <c r="D672" i="3" s="1"/>
  <c r="D35" i="2"/>
  <c r="D55" i="2"/>
  <c r="D64" i="2"/>
  <c r="D115" i="2"/>
  <c r="D32" i="8"/>
  <c r="D670" i="3" s="1"/>
  <c r="D130" i="2"/>
  <c r="D149" i="2"/>
  <c r="D157" i="2"/>
  <c r="D165" i="2"/>
  <c r="D167" i="2"/>
  <c r="D148" i="2"/>
  <c r="D156" i="2"/>
  <c r="D164" i="2"/>
  <c r="D151" i="2"/>
  <c r="D147" i="2"/>
  <c r="D159" i="2"/>
  <c r="D150" i="2"/>
  <c r="D158" i="2"/>
  <c r="D166" i="2"/>
  <c r="D155" i="2"/>
  <c r="D161" i="2"/>
  <c r="D169" i="2"/>
  <c r="D146" i="2"/>
  <c r="D154" i="2"/>
  <c r="D160" i="2"/>
  <c r="D168" i="2"/>
  <c r="D173" i="2"/>
  <c r="D171" i="2"/>
  <c r="D170" i="2"/>
  <c r="D174" i="2"/>
  <c r="D172" i="2"/>
  <c r="D175" i="2"/>
  <c r="D184" i="2"/>
  <c r="D195" i="2"/>
  <c r="D212" i="2"/>
  <c r="D177" i="2"/>
  <c r="D215" i="2"/>
  <c r="D179" i="2"/>
  <c r="D185" i="2"/>
  <c r="D189" i="2"/>
  <c r="D196" i="2"/>
  <c r="D207" i="2"/>
  <c r="D213" i="2"/>
  <c r="D217" i="2"/>
  <c r="D222" i="2"/>
  <c r="D178" i="2"/>
  <c r="D221" i="2"/>
  <c r="D220" i="2"/>
  <c r="D227" i="2"/>
  <c r="D200" i="2"/>
  <c r="D193" i="2"/>
  <c r="D181" i="2"/>
  <c r="D192" i="2"/>
  <c r="D219" i="2"/>
  <c r="D188" i="2"/>
  <c r="D206" i="2"/>
  <c r="D183" i="2"/>
  <c r="D194" i="2"/>
  <c r="D205" i="2"/>
  <c r="D226" i="2"/>
  <c r="D176" i="2"/>
  <c r="D186" i="2"/>
  <c r="D199" i="2"/>
  <c r="D210" i="2"/>
  <c r="D216" i="2"/>
  <c r="D225" i="2"/>
  <c r="D191" i="2"/>
  <c r="D187" i="2"/>
  <c r="D198" i="2"/>
  <c r="D209" i="2"/>
  <c r="D211" i="2"/>
  <c r="D224" i="2"/>
  <c r="D180" i="2"/>
  <c r="D182" i="2"/>
  <c r="D190" i="2"/>
  <c r="D197" i="2"/>
  <c r="D208" i="2"/>
  <c r="D214" i="2"/>
  <c r="D218" i="2"/>
  <c r="D223" i="2"/>
  <c r="D204" i="2"/>
  <c r="D203" i="2"/>
  <c r="D202" i="2"/>
  <c r="D201" i="2"/>
  <c r="D233" i="2"/>
  <c r="D234" i="2"/>
  <c r="D258" i="2"/>
  <c r="D262" i="2"/>
  <c r="D268" i="2"/>
  <c r="D275" i="2"/>
  <c r="D281" i="2"/>
  <c r="D294" i="2"/>
  <c r="D299" i="2"/>
  <c r="D305" i="2"/>
  <c r="B270" i="2"/>
  <c r="D252" i="2"/>
  <c r="D228" i="2"/>
  <c r="D240" i="2"/>
  <c r="D245" i="2"/>
  <c r="D246" i="2"/>
  <c r="D253" i="2"/>
  <c r="D259" i="2"/>
  <c r="D267" i="2"/>
  <c r="D276" i="2"/>
  <c r="D278" i="2"/>
  <c r="D286" i="2"/>
  <c r="D295" i="2"/>
  <c r="D298" i="2"/>
  <c r="D306" i="2"/>
  <c r="B279" i="2"/>
  <c r="B265" i="2"/>
  <c r="D251" i="2"/>
  <c r="D287" i="2"/>
  <c r="D232" i="2"/>
  <c r="D263" i="2"/>
  <c r="D239" i="2"/>
  <c r="D235" i="2"/>
  <c r="D238" i="2"/>
  <c r="D250" i="2"/>
  <c r="D257" i="2"/>
  <c r="D271" i="2"/>
  <c r="D273" i="2"/>
  <c r="D282" i="2"/>
  <c r="D290" i="2"/>
  <c r="D293" i="2"/>
  <c r="D300" i="2"/>
  <c r="D304" i="2"/>
  <c r="B289" i="2"/>
  <c r="B284" i="2"/>
  <c r="D231" i="2"/>
  <c r="D236" i="2"/>
  <c r="D237" i="2"/>
  <c r="D249" i="2"/>
  <c r="D256" i="2"/>
  <c r="D272" i="2"/>
  <c r="D266" i="2"/>
  <c r="D270" i="2"/>
  <c r="D291" i="2"/>
  <c r="D285" i="2"/>
  <c r="D289" i="2"/>
  <c r="D292" i="2"/>
  <c r="D302" i="2"/>
  <c r="B260" i="2"/>
  <c r="D242" i="2"/>
  <c r="D248" i="2"/>
  <c r="D261" i="2"/>
  <c r="D265" i="2"/>
  <c r="D269" i="2"/>
  <c r="D284" i="2"/>
  <c r="D288" i="2"/>
  <c r="D303" i="2"/>
  <c r="D301" i="2"/>
  <c r="D230" i="2"/>
  <c r="D243" i="2"/>
  <c r="D255" i="2"/>
  <c r="D280" i="2"/>
  <c r="D229" i="2"/>
  <c r="D241" i="2"/>
  <c r="D244" i="2"/>
  <c r="D247" i="2"/>
  <c r="D254" i="2"/>
  <c r="D260" i="2"/>
  <c r="D264" i="2"/>
  <c r="D277" i="2"/>
  <c r="D279" i="2"/>
  <c r="D283" i="2"/>
  <c r="D296" i="2"/>
  <c r="D297" i="2"/>
  <c r="D307" i="2"/>
  <c r="D274" i="2"/>
  <c r="B293" i="2"/>
  <c r="D313" i="2"/>
  <c r="D309" i="2"/>
  <c r="D314" i="2"/>
  <c r="D308" i="2"/>
  <c r="D310" i="2"/>
  <c r="D311" i="2"/>
  <c r="D312" i="2"/>
  <c r="D318" i="2"/>
  <c r="D319" i="2"/>
  <c r="D321" i="2"/>
  <c r="D320" i="2"/>
  <c r="D315" i="2"/>
  <c r="D316" i="2"/>
  <c r="D317" i="2"/>
  <c r="B271" i="2"/>
  <c r="B275" i="2"/>
  <c r="B266" i="2"/>
  <c r="B290" i="2"/>
  <c r="B294" i="2"/>
  <c r="B280" i="2"/>
  <c r="B53" i="2"/>
  <c r="B66" i="2"/>
  <c r="C53" i="2"/>
  <c r="B78" i="2"/>
  <c r="B79" i="2"/>
  <c r="C54" i="2"/>
  <c r="C79" i="2"/>
  <c r="C78" i="2"/>
  <c r="B54" i="2"/>
  <c r="B81" i="2"/>
  <c r="C52" i="2"/>
  <c r="B80" i="2"/>
  <c r="C81" i="2"/>
  <c r="C51" i="2"/>
  <c r="C80" i="2"/>
  <c r="B52" i="2"/>
  <c r="B51" i="2"/>
  <c r="A36" i="9"/>
  <c r="B115" i="1"/>
  <c r="B114" i="3" s="1"/>
  <c r="B78" i="1"/>
  <c r="B77" i="3" s="1"/>
  <c r="C115" i="1"/>
  <c r="C114" i="3" s="1"/>
  <c r="B114" i="1"/>
  <c r="B113" i="3" s="1"/>
  <c r="C114" i="1"/>
  <c r="C113" i="3" s="1"/>
  <c r="C78" i="1"/>
  <c r="C77" i="3" s="1"/>
  <c r="B77" i="1"/>
  <c r="B76" i="3" s="1"/>
  <c r="C77" i="1"/>
  <c r="C76" i="3" s="1"/>
  <c r="A993" i="3" l="1"/>
  <c r="C36" i="9"/>
  <c r="C993" i="3" s="1"/>
  <c r="B36" i="9"/>
  <c r="B993" i="3" s="1"/>
  <c r="A673" i="3"/>
  <c r="A36" i="8"/>
  <c r="B35" i="8"/>
  <c r="B673" i="3" s="1"/>
  <c r="C35" i="8"/>
  <c r="C673" i="3" s="1"/>
  <c r="C371" i="3"/>
  <c r="D636" i="3"/>
  <c r="D595" i="3"/>
  <c r="D553" i="3"/>
  <c r="D513" i="3"/>
  <c r="D468" i="3"/>
  <c r="D363" i="3"/>
  <c r="D30" i="9"/>
  <c r="D987" i="3" s="1"/>
  <c r="D353" i="3"/>
  <c r="D629" i="3"/>
  <c r="D547" i="3"/>
  <c r="D590" i="3"/>
  <c r="D554" i="3"/>
  <c r="D618" i="3"/>
  <c r="D616" i="3"/>
  <c r="D593" i="3"/>
  <c r="D518" i="3"/>
  <c r="D542" i="3"/>
  <c r="D543" i="3"/>
  <c r="D536" i="3"/>
  <c r="D524" i="3"/>
  <c r="D494" i="3"/>
  <c r="D491" i="3"/>
  <c r="D471" i="3"/>
  <c r="D368" i="3"/>
  <c r="D419" i="3"/>
  <c r="D373" i="3"/>
  <c r="D390" i="3"/>
  <c r="D450" i="3"/>
  <c r="C397" i="3"/>
  <c r="B397" i="3"/>
  <c r="B371" i="3"/>
  <c r="C370" i="3"/>
  <c r="D628" i="3"/>
  <c r="D627" i="3"/>
  <c r="D558" i="3"/>
  <c r="D602" i="3"/>
  <c r="B578" i="3"/>
  <c r="D607" i="3"/>
  <c r="D588" i="3"/>
  <c r="D573" i="3"/>
  <c r="B607" i="3"/>
  <c r="D611" i="3"/>
  <c r="D591" i="3"/>
  <c r="D556" i="3"/>
  <c r="B597" i="3"/>
  <c r="D594" i="3"/>
  <c r="D570" i="3"/>
  <c r="D557" i="3"/>
  <c r="D586" i="3"/>
  <c r="D551" i="3"/>
  <c r="D540" i="3"/>
  <c r="D528" i="3"/>
  <c r="D503" i="3"/>
  <c r="D522" i="3"/>
  <c r="D523" i="3"/>
  <c r="D496" i="3"/>
  <c r="D492" i="3"/>
  <c r="D485" i="3"/>
  <c r="D472" i="3"/>
  <c r="D467" i="3"/>
  <c r="D474" i="3"/>
  <c r="D432" i="3"/>
  <c r="D436" i="3"/>
  <c r="D424" i="3"/>
  <c r="D385" i="3"/>
  <c r="D362" i="3"/>
  <c r="D27" i="9"/>
  <c r="D984" i="3" s="1"/>
  <c r="D356" i="3"/>
  <c r="D437" i="3"/>
  <c r="D375" i="3"/>
  <c r="D26" i="9"/>
  <c r="D983" i="3" s="1"/>
  <c r="D357" i="3"/>
  <c r="D403" i="3"/>
  <c r="D433" i="3"/>
  <c r="D421" i="3"/>
  <c r="D367" i="3"/>
  <c r="D383" i="3"/>
  <c r="D364" i="3"/>
  <c r="D29" i="9"/>
  <c r="D986" i="3" s="1"/>
  <c r="D354" i="3"/>
  <c r="D435" i="3"/>
  <c r="D423" i="3"/>
  <c r="D393" i="3"/>
  <c r="D377" i="3"/>
  <c r="D360" i="3"/>
  <c r="D441" i="3"/>
  <c r="D426" i="3"/>
  <c r="D438" i="3"/>
  <c r="B584" i="3"/>
  <c r="D571" i="3"/>
  <c r="B588" i="3"/>
  <c r="D519" i="3"/>
  <c r="D504" i="3"/>
  <c r="D509" i="3"/>
  <c r="D400" i="3"/>
  <c r="D431" i="3"/>
  <c r="D422" i="3"/>
  <c r="D378" i="3"/>
  <c r="B368" i="3"/>
  <c r="C368" i="3"/>
  <c r="C369" i="3"/>
  <c r="B396" i="3"/>
  <c r="B383" i="3"/>
  <c r="B612" i="3"/>
  <c r="D634" i="3"/>
  <c r="D639" i="3"/>
  <c r="D630" i="3"/>
  <c r="D631" i="3"/>
  <c r="D582" i="3"/>
  <c r="D546" i="3"/>
  <c r="D565" i="3"/>
  <c r="D620" i="3"/>
  <c r="D603" i="3"/>
  <c r="D566" i="3"/>
  <c r="D589" i="3"/>
  <c r="D555" i="3"/>
  <c r="D568" i="3"/>
  <c r="D624" i="3"/>
  <c r="D604" i="3"/>
  <c r="D585" i="3"/>
  <c r="D563" i="3"/>
  <c r="D545" i="3"/>
  <c r="D623" i="3"/>
  <c r="D599" i="3"/>
  <c r="D580" i="3"/>
  <c r="D550" i="3"/>
  <c r="D520" i="3"/>
  <c r="D535" i="3"/>
  <c r="D514" i="3"/>
  <c r="D526" i="3"/>
  <c r="D527" i="3"/>
  <c r="D493" i="3"/>
  <c r="D498" i="3"/>
  <c r="D544" i="3"/>
  <c r="D495" i="3"/>
  <c r="D506" i="3"/>
  <c r="D532" i="3"/>
  <c r="D512" i="3"/>
  <c r="D489" i="3"/>
  <c r="D481" i="3"/>
  <c r="D484" i="3"/>
  <c r="D466" i="3"/>
  <c r="D381" i="3"/>
  <c r="D412" i="3"/>
  <c r="D430" i="3"/>
  <c r="D394" i="3"/>
  <c r="D374" i="3"/>
  <c r="D344" i="3"/>
  <c r="D369" i="3"/>
  <c r="D452" i="3"/>
  <c r="D32" i="9"/>
  <c r="D989" i="3" s="1"/>
  <c r="D351" i="3"/>
  <c r="D442" i="3"/>
  <c r="D427" i="3"/>
  <c r="D395" i="3"/>
  <c r="D379" i="3"/>
  <c r="D443" i="3"/>
  <c r="D376" i="3"/>
  <c r="D359" i="3"/>
  <c r="D411" i="3"/>
  <c r="D429" i="3"/>
  <c r="D371" i="3"/>
  <c r="D34" i="9"/>
  <c r="D991" i="3" s="1"/>
  <c r="D349" i="3"/>
  <c r="D453" i="3"/>
  <c r="D404" i="3"/>
  <c r="D366" i="3"/>
  <c r="D398" i="3"/>
  <c r="D638" i="3"/>
  <c r="D614" i="3"/>
  <c r="D572" i="3"/>
  <c r="D579" i="3"/>
  <c r="D567" i="3"/>
  <c r="D499" i="3"/>
  <c r="D538" i="3"/>
  <c r="D31" i="9"/>
  <c r="D988" i="3" s="1"/>
  <c r="D352" i="3"/>
  <c r="D382" i="3"/>
  <c r="D439" i="3"/>
  <c r="C395" i="3"/>
  <c r="B593" i="3"/>
  <c r="D626" i="3"/>
  <c r="D625" i="3"/>
  <c r="D601" i="3"/>
  <c r="D560" i="3"/>
  <c r="D587" i="3"/>
  <c r="D584" i="3"/>
  <c r="D622" i="3"/>
  <c r="D581" i="3"/>
  <c r="D511" i="3"/>
  <c r="D488" i="3"/>
  <c r="D486" i="3"/>
  <c r="D476" i="3"/>
  <c r="D413" i="3"/>
  <c r="D397" i="3"/>
  <c r="D391" i="3"/>
  <c r="D358" i="3"/>
  <c r="D428" i="3"/>
  <c r="D444" i="3"/>
  <c r="B598" i="3"/>
  <c r="D605" i="3"/>
  <c r="D533" i="3"/>
  <c r="D517" i="3"/>
  <c r="D529" i="3"/>
  <c r="D463" i="3"/>
  <c r="D465" i="3"/>
  <c r="D346" i="3"/>
  <c r="D401" i="3"/>
  <c r="D564" i="3"/>
  <c r="D621" i="3"/>
  <c r="D548" i="3"/>
  <c r="D608" i="3"/>
  <c r="D497" i="3"/>
  <c r="D508" i="3"/>
  <c r="D505" i="3"/>
  <c r="D530" i="3"/>
  <c r="D477" i="3"/>
  <c r="D483" i="3"/>
  <c r="D445" i="3"/>
  <c r="D440" i="3"/>
  <c r="D409" i="3"/>
  <c r="D410" i="3"/>
  <c r="D396" i="3"/>
  <c r="D387" i="3"/>
  <c r="B369" i="3"/>
  <c r="C398" i="3"/>
  <c r="B398" i="3"/>
  <c r="C396" i="3"/>
  <c r="B395" i="3"/>
  <c r="B370" i="3"/>
  <c r="B608" i="3"/>
  <c r="D633" i="3"/>
  <c r="D637" i="3"/>
  <c r="B611" i="3"/>
  <c r="D615" i="3"/>
  <c r="D597" i="3"/>
  <c r="D578" i="3"/>
  <c r="D561" i="3"/>
  <c r="D598" i="3"/>
  <c r="D606" i="3"/>
  <c r="D583" i="3"/>
  <c r="D610" i="3"/>
  <c r="B602" i="3"/>
  <c r="D574" i="3"/>
  <c r="D552" i="3"/>
  <c r="D549" i="3"/>
  <c r="B583" i="3"/>
  <c r="D596" i="3"/>
  <c r="D577" i="3"/>
  <c r="D562" i="3"/>
  <c r="D569" i="3"/>
  <c r="D617" i="3"/>
  <c r="D575" i="3"/>
  <c r="D521" i="3"/>
  <c r="D531" i="3"/>
  <c r="D541" i="3"/>
  <c r="D515" i="3"/>
  <c r="D510" i="3"/>
  <c r="D537" i="3"/>
  <c r="D539" i="3"/>
  <c r="D502" i="3"/>
  <c r="D501" i="3"/>
  <c r="D478" i="3"/>
  <c r="D475" i="3"/>
  <c r="D473" i="3"/>
  <c r="D447" i="3"/>
  <c r="D372" i="3"/>
  <c r="D418" i="3"/>
  <c r="D405" i="3"/>
  <c r="D388" i="3"/>
  <c r="D33" i="9"/>
  <c r="D990" i="3" s="1"/>
  <c r="D350" i="3"/>
  <c r="D446" i="3"/>
  <c r="D380" i="3"/>
  <c r="D386" i="3"/>
  <c r="D420" i="3"/>
  <c r="D448" i="3"/>
  <c r="D415" i="3"/>
  <c r="D389" i="3"/>
  <c r="D449" i="3"/>
  <c r="D407" i="3"/>
  <c r="D370" i="3"/>
  <c r="D35" i="9"/>
  <c r="D992" i="3" s="1"/>
  <c r="D348" i="3"/>
  <c r="D417" i="3"/>
  <c r="D408" i="3"/>
  <c r="D384" i="3"/>
  <c r="D365" i="3"/>
  <c r="D28" i="9"/>
  <c r="D985" i="3" s="1"/>
  <c r="D355" i="3"/>
  <c r="D414" i="3"/>
  <c r="D399" i="3"/>
  <c r="D361" i="3"/>
  <c r="D635" i="3"/>
  <c r="D592" i="3"/>
  <c r="D619" i="3"/>
  <c r="D613" i="3"/>
  <c r="D612" i="3"/>
  <c r="D525" i="3"/>
  <c r="D534" i="3"/>
  <c r="D487" i="3"/>
  <c r="D434" i="3"/>
  <c r="D402" i="3"/>
  <c r="B589" i="3"/>
  <c r="D632" i="3"/>
  <c r="D559" i="3"/>
  <c r="D609" i="3"/>
  <c r="D600" i="3"/>
  <c r="D507" i="3"/>
  <c r="D516" i="3"/>
  <c r="D500" i="3"/>
  <c r="D490" i="3"/>
  <c r="D464" i="3"/>
  <c r="D482" i="3"/>
  <c r="D451" i="3"/>
  <c r="D425" i="3"/>
  <c r="D345" i="3"/>
  <c r="D406" i="3"/>
  <c r="D36" i="9"/>
  <c r="D993" i="3" s="1"/>
  <c r="D347" i="3"/>
  <c r="D416" i="3"/>
  <c r="D392" i="3"/>
  <c r="B47" i="2"/>
  <c r="C84" i="2"/>
  <c r="C85" i="2"/>
  <c r="C47" i="2"/>
  <c r="C48" i="2"/>
  <c r="B85" i="2"/>
  <c r="B84" i="2"/>
  <c r="B48" i="2"/>
  <c r="A37" i="9"/>
  <c r="A994" i="3" l="1"/>
  <c r="C37" i="9"/>
  <c r="C994" i="3" s="1"/>
  <c r="B37" i="9"/>
  <c r="B994" i="3" s="1"/>
  <c r="D37" i="9"/>
  <c r="D994" i="3" s="1"/>
  <c r="A674" i="3"/>
  <c r="A37" i="8"/>
  <c r="C36" i="8"/>
  <c r="C674" i="3" s="1"/>
  <c r="B36" i="8"/>
  <c r="B674" i="3" s="1"/>
  <c r="D36" i="8"/>
  <c r="D674" i="3" s="1"/>
  <c r="B402" i="3"/>
  <c r="C402" i="3"/>
  <c r="B365" i="3"/>
  <c r="C365" i="3"/>
  <c r="C401" i="3"/>
  <c r="B401" i="3"/>
  <c r="C364" i="3"/>
  <c r="B364" i="3"/>
  <c r="A38" i="9"/>
  <c r="A675" i="3" l="1"/>
  <c r="A38" i="8"/>
  <c r="B37" i="8"/>
  <c r="B675" i="3" s="1"/>
  <c r="C37" i="8"/>
  <c r="C675" i="3" s="1"/>
  <c r="D37" i="8"/>
  <c r="D675" i="3" s="1"/>
  <c r="A995" i="3"/>
  <c r="B38" i="9"/>
  <c r="B995" i="3" s="1"/>
  <c r="C38" i="9"/>
  <c r="C995" i="3" s="1"/>
  <c r="D38" i="9"/>
  <c r="D995" i="3" s="1"/>
  <c r="A39" i="9"/>
  <c r="A996" i="3" l="1"/>
  <c r="B39" i="9"/>
  <c r="B996" i="3" s="1"/>
  <c r="C39" i="9"/>
  <c r="C996" i="3" s="1"/>
  <c r="D39" i="9"/>
  <c r="D996" i="3" s="1"/>
  <c r="A676" i="3"/>
  <c r="A39" i="8"/>
  <c r="C38" i="8"/>
  <c r="C676" i="3" s="1"/>
  <c r="B38" i="8"/>
  <c r="B676" i="3" s="1"/>
  <c r="D38" i="8"/>
  <c r="D676" i="3" s="1"/>
  <c r="A40" i="9"/>
  <c r="A997" i="3" l="1"/>
  <c r="B40" i="9"/>
  <c r="B997" i="3" s="1"/>
  <c r="C40" i="9"/>
  <c r="C997" i="3" s="1"/>
  <c r="D40" i="9"/>
  <c r="D997" i="3" s="1"/>
  <c r="A677" i="3"/>
  <c r="A40" i="8"/>
  <c r="B39" i="8"/>
  <c r="B677" i="3" s="1"/>
  <c r="C39" i="8"/>
  <c r="C677" i="3" s="1"/>
  <c r="D39" i="8"/>
  <c r="D677" i="3" s="1"/>
  <c r="A41" i="9"/>
  <c r="A998" i="3" l="1"/>
  <c r="C41" i="9"/>
  <c r="C998" i="3" s="1"/>
  <c r="B41" i="9"/>
  <c r="B998" i="3" s="1"/>
  <c r="D41" i="9"/>
  <c r="D998" i="3" s="1"/>
  <c r="A678" i="3"/>
  <c r="A41" i="8"/>
  <c r="B40" i="8"/>
  <c r="B678" i="3" s="1"/>
  <c r="C40" i="8"/>
  <c r="C678" i="3" s="1"/>
  <c r="D40" i="8"/>
  <c r="D678" i="3" s="1"/>
  <c r="A42" i="9"/>
  <c r="A999" i="3" l="1"/>
  <c r="B42" i="9"/>
  <c r="B999" i="3" s="1"/>
  <c r="C42" i="9"/>
  <c r="C999" i="3" s="1"/>
  <c r="D42" i="9"/>
  <c r="D999" i="3" s="1"/>
  <c r="A679" i="3"/>
  <c r="A42" i="8"/>
  <c r="B41" i="8"/>
  <c r="B679" i="3" s="1"/>
  <c r="C41" i="8"/>
  <c r="C679" i="3" s="1"/>
  <c r="D41" i="8"/>
  <c r="D679" i="3" s="1"/>
  <c r="A43" i="9"/>
  <c r="A1000" i="3" l="1"/>
  <c r="C43" i="9"/>
  <c r="C1000" i="3" s="1"/>
  <c r="B43" i="9"/>
  <c r="B1000" i="3" s="1"/>
  <c r="D43" i="9"/>
  <c r="D1000" i="3" s="1"/>
  <c r="A680" i="3"/>
  <c r="A43" i="8"/>
  <c r="B42" i="8"/>
  <c r="B680" i="3" s="1"/>
  <c r="C42" i="8"/>
  <c r="C680" i="3" s="1"/>
  <c r="D42" i="8"/>
  <c r="D680" i="3" s="1"/>
  <c r="A44" i="9"/>
  <c r="A1001" i="3" l="1"/>
  <c r="C44" i="9"/>
  <c r="C1001" i="3" s="1"/>
  <c r="B44" i="9"/>
  <c r="B1001" i="3" s="1"/>
  <c r="D44" i="9"/>
  <c r="D1001" i="3" s="1"/>
  <c r="A681" i="3"/>
  <c r="A44" i="8"/>
  <c r="C43" i="8"/>
  <c r="C681" i="3" s="1"/>
  <c r="B43" i="8"/>
  <c r="B681" i="3" s="1"/>
  <c r="D43" i="8"/>
  <c r="D681" i="3" s="1"/>
  <c r="A45" i="9"/>
  <c r="A1002" i="3" l="1"/>
  <c r="C45" i="9"/>
  <c r="C1002" i="3" s="1"/>
  <c r="B45" i="9"/>
  <c r="B1002" i="3" s="1"/>
  <c r="D45" i="9"/>
  <c r="D1002" i="3" s="1"/>
  <c r="A682" i="3"/>
  <c r="A45" i="8"/>
  <c r="C44" i="8"/>
  <c r="C682" i="3" s="1"/>
  <c r="B44" i="8"/>
  <c r="B682" i="3" s="1"/>
  <c r="D44" i="8"/>
  <c r="D682" i="3" s="1"/>
  <c r="A46" i="9"/>
  <c r="A1003" i="3" l="1"/>
  <c r="D46" i="9"/>
  <c r="D1003" i="3" s="1"/>
  <c r="B46" i="9"/>
  <c r="B1003" i="3" s="1"/>
  <c r="C46" i="9"/>
  <c r="C1003" i="3" s="1"/>
  <c r="A683" i="3"/>
  <c r="A46" i="8"/>
  <c r="C45" i="8"/>
  <c r="C683" i="3" s="1"/>
  <c r="B45" i="8"/>
  <c r="B683" i="3" s="1"/>
  <c r="D45" i="8"/>
  <c r="D683" i="3" s="1"/>
  <c r="A47" i="9"/>
  <c r="A1004" i="3" l="1"/>
  <c r="D47" i="9"/>
  <c r="D1004" i="3" s="1"/>
  <c r="C47" i="9"/>
  <c r="C1004" i="3" s="1"/>
  <c r="B47" i="9"/>
  <c r="B1004" i="3" s="1"/>
  <c r="A684" i="3"/>
  <c r="A47" i="8"/>
  <c r="B46" i="8"/>
  <c r="B684" i="3" s="1"/>
  <c r="C46" i="8"/>
  <c r="C684" i="3" s="1"/>
  <c r="D46" i="8"/>
  <c r="D684" i="3" s="1"/>
  <c r="A48" i="9"/>
  <c r="A1005" i="3" l="1"/>
  <c r="B48" i="9"/>
  <c r="B1005" i="3" s="1"/>
  <c r="C48" i="9"/>
  <c r="C1005" i="3" s="1"/>
  <c r="D48" i="9"/>
  <c r="D1005" i="3" s="1"/>
  <c r="A685" i="3"/>
  <c r="A48" i="8"/>
  <c r="B47" i="8"/>
  <c r="B685" i="3" s="1"/>
  <c r="C47" i="8"/>
  <c r="C685" i="3" s="1"/>
  <c r="D47" i="8"/>
  <c r="D685" i="3" s="1"/>
  <c r="A49" i="9"/>
  <c r="A1006" i="3" l="1"/>
  <c r="C49" i="9"/>
  <c r="C1006" i="3" s="1"/>
  <c r="B49" i="9"/>
  <c r="B1006" i="3" s="1"/>
  <c r="D49" i="9"/>
  <c r="D1006" i="3" s="1"/>
  <c r="A686" i="3"/>
  <c r="C48" i="8"/>
  <c r="C686" i="3" s="1"/>
  <c r="B48" i="8"/>
  <c r="B686" i="3" s="1"/>
  <c r="A49" i="8"/>
  <c r="D48" i="8"/>
  <c r="D686" i="3" s="1"/>
  <c r="A50" i="9"/>
  <c r="A1007" i="3" l="1"/>
  <c r="C50" i="9"/>
  <c r="C1007" i="3" s="1"/>
  <c r="D50" i="9"/>
  <c r="D1007" i="3" s="1"/>
  <c r="B50" i="9"/>
  <c r="B1007" i="3" s="1"/>
  <c r="A687" i="3"/>
  <c r="C49" i="8"/>
  <c r="C687" i="3" s="1"/>
  <c r="B49" i="8"/>
  <c r="B687" i="3" s="1"/>
  <c r="D49" i="8"/>
  <c r="D687" i="3" s="1"/>
  <c r="A50" i="8"/>
  <c r="A51" i="9"/>
  <c r="A1008" i="3" l="1"/>
  <c r="C51" i="9"/>
  <c r="C1008" i="3" s="1"/>
  <c r="D51" i="9"/>
  <c r="D1008" i="3" s="1"/>
  <c r="B51" i="9"/>
  <c r="B1008" i="3" s="1"/>
  <c r="A688" i="3"/>
  <c r="B50" i="8"/>
  <c r="B688" i="3" s="1"/>
  <c r="C50" i="8"/>
  <c r="C688" i="3" s="1"/>
  <c r="D50" i="8"/>
  <c r="D688" i="3" s="1"/>
  <c r="A51" i="8"/>
  <c r="A52" i="9"/>
  <c r="A1009" i="3" l="1"/>
  <c r="C52" i="9"/>
  <c r="C1009" i="3" s="1"/>
  <c r="B52" i="9"/>
  <c r="B1009" i="3" s="1"/>
  <c r="D52" i="9"/>
  <c r="D1009" i="3" s="1"/>
  <c r="A689" i="3"/>
  <c r="B51" i="8"/>
  <c r="B689" i="3" s="1"/>
  <c r="C51" i="8"/>
  <c r="C689" i="3" s="1"/>
  <c r="D51" i="8"/>
  <c r="D689" i="3" s="1"/>
  <c r="A52" i="8"/>
  <c r="A53" i="9"/>
  <c r="A1010" i="3" l="1"/>
  <c r="C53" i="9"/>
  <c r="C1010" i="3" s="1"/>
  <c r="B53" i="9"/>
  <c r="B1010" i="3" s="1"/>
  <c r="D53" i="9"/>
  <c r="D1010" i="3" s="1"/>
  <c r="A690" i="3"/>
  <c r="B52" i="8"/>
  <c r="B690" i="3" s="1"/>
  <c r="C52" i="8"/>
  <c r="C690" i="3" s="1"/>
  <c r="D52" i="8"/>
  <c r="D690" i="3" s="1"/>
  <c r="A53" i="8"/>
  <c r="A54" i="9"/>
  <c r="A1011" i="3" l="1"/>
  <c r="B54" i="9"/>
  <c r="B1011" i="3" s="1"/>
  <c r="C54" i="9"/>
  <c r="C1011" i="3" s="1"/>
  <c r="D54" i="9"/>
  <c r="D1011" i="3" s="1"/>
  <c r="A691" i="3"/>
  <c r="B53" i="8"/>
  <c r="B691" i="3" s="1"/>
  <c r="C53" i="8"/>
  <c r="C691" i="3" s="1"/>
  <c r="D53" i="8"/>
  <c r="D691" i="3" s="1"/>
  <c r="A54" i="8"/>
  <c r="A55" i="9"/>
  <c r="A692" i="3" l="1"/>
  <c r="C54" i="8"/>
  <c r="C692" i="3" s="1"/>
  <c r="B54" i="8"/>
  <c r="B692" i="3" s="1"/>
  <c r="D54" i="8"/>
  <c r="D692" i="3" s="1"/>
  <c r="A55" i="8"/>
  <c r="A1012" i="3"/>
  <c r="B55" i="9"/>
  <c r="B1012" i="3" s="1"/>
  <c r="C55" i="9"/>
  <c r="C1012" i="3" s="1"/>
  <c r="D55" i="9"/>
  <c r="D1012" i="3" s="1"/>
  <c r="A56" i="9"/>
  <c r="A693" i="3" l="1"/>
  <c r="C55" i="8"/>
  <c r="C693" i="3" s="1"/>
  <c r="B55" i="8"/>
  <c r="B693" i="3" s="1"/>
  <c r="D55" i="8"/>
  <c r="D693" i="3" s="1"/>
  <c r="A56" i="8"/>
  <c r="A1013" i="3"/>
  <c r="C56" i="9"/>
  <c r="C1013" i="3" s="1"/>
  <c r="B56" i="9"/>
  <c r="B1013" i="3" s="1"/>
  <c r="D56" i="9"/>
  <c r="D1013" i="3" s="1"/>
  <c r="A57" i="9"/>
  <c r="A1014" i="3" l="1"/>
  <c r="C57" i="9"/>
  <c r="C1014" i="3" s="1"/>
  <c r="B57" i="9"/>
  <c r="B1014" i="3" s="1"/>
  <c r="D57" i="9"/>
  <c r="D1014" i="3" s="1"/>
  <c r="A694" i="3"/>
  <c r="B56" i="8"/>
  <c r="B694" i="3" s="1"/>
  <c r="C56" i="8"/>
  <c r="C694" i="3" s="1"/>
  <c r="D56" i="8"/>
  <c r="D694" i="3" s="1"/>
  <c r="A57" i="8"/>
  <c r="A58" i="9"/>
  <c r="A1015" i="3" l="1"/>
  <c r="C58" i="9"/>
  <c r="C1015" i="3" s="1"/>
  <c r="B58" i="9"/>
  <c r="B1015" i="3" s="1"/>
  <c r="D58" i="9"/>
  <c r="D1015" i="3" s="1"/>
  <c r="A695" i="3"/>
  <c r="C57" i="8"/>
  <c r="C695" i="3" s="1"/>
  <c r="B57" i="8"/>
  <c r="B695" i="3" s="1"/>
  <c r="D57" i="8"/>
  <c r="D695" i="3" s="1"/>
  <c r="A58" i="8"/>
  <c r="A59" i="9"/>
  <c r="A1016" i="3" l="1"/>
  <c r="C59" i="9"/>
  <c r="C1016" i="3" s="1"/>
  <c r="B59" i="9"/>
  <c r="B1016" i="3" s="1"/>
  <c r="D59" i="9"/>
  <c r="D1016" i="3" s="1"/>
  <c r="A696" i="3"/>
  <c r="C58" i="8"/>
  <c r="C696" i="3" s="1"/>
  <c r="B58" i="8"/>
  <c r="B696" i="3" s="1"/>
  <c r="D58" i="8"/>
  <c r="D696" i="3" s="1"/>
  <c r="A59" i="8"/>
  <c r="A60" i="9"/>
  <c r="A1017" i="3" l="1"/>
  <c r="B60" i="9"/>
  <c r="B1017" i="3" s="1"/>
  <c r="C60" i="9"/>
  <c r="C1017" i="3" s="1"/>
  <c r="D60" i="9"/>
  <c r="D1017" i="3" s="1"/>
  <c r="A697" i="3"/>
  <c r="C59" i="8"/>
  <c r="C697" i="3" s="1"/>
  <c r="B59" i="8"/>
  <c r="B697" i="3" s="1"/>
  <c r="D59" i="8"/>
  <c r="D697" i="3" s="1"/>
  <c r="A60" i="8"/>
  <c r="A61" i="9"/>
  <c r="A698" i="3" l="1"/>
  <c r="C60" i="8"/>
  <c r="C698" i="3" s="1"/>
  <c r="B60" i="8"/>
  <c r="B698" i="3" s="1"/>
  <c r="D60" i="8"/>
  <c r="D698" i="3" s="1"/>
  <c r="A61" i="8"/>
  <c r="A1018" i="3"/>
  <c r="C61" i="9"/>
  <c r="C1018" i="3" s="1"/>
  <c r="B61" i="9"/>
  <c r="B1018" i="3" s="1"/>
  <c r="D61" i="9"/>
  <c r="D1018" i="3" s="1"/>
  <c r="A62" i="9"/>
  <c r="A1019" i="3" l="1"/>
  <c r="B62" i="9"/>
  <c r="B1019" i="3" s="1"/>
  <c r="C62" i="9"/>
  <c r="C1019" i="3" s="1"/>
  <c r="D62" i="9"/>
  <c r="D1019" i="3" s="1"/>
  <c r="A699" i="3"/>
  <c r="C61" i="8"/>
  <c r="C699" i="3" s="1"/>
  <c r="B61" i="8"/>
  <c r="B699" i="3" s="1"/>
  <c r="D61" i="8"/>
  <c r="D699" i="3" s="1"/>
  <c r="A62" i="8"/>
  <c r="A63" i="9"/>
  <c r="A700" i="3" l="1"/>
  <c r="C62" i="8"/>
  <c r="C700" i="3" s="1"/>
  <c r="B62" i="8"/>
  <c r="B700" i="3" s="1"/>
  <c r="D62" i="8"/>
  <c r="D700" i="3" s="1"/>
  <c r="A63" i="8"/>
  <c r="A1020" i="3"/>
  <c r="C63" i="9"/>
  <c r="C1020" i="3" s="1"/>
  <c r="B63" i="9"/>
  <c r="B1020" i="3" s="1"/>
  <c r="D63" i="9"/>
  <c r="D1020" i="3" s="1"/>
  <c r="A64" i="9"/>
  <c r="A701" i="3" l="1"/>
  <c r="C63" i="8"/>
  <c r="C701" i="3" s="1"/>
  <c r="B63" i="8"/>
  <c r="B701" i="3" s="1"/>
  <c r="D63" i="8"/>
  <c r="D701" i="3" s="1"/>
  <c r="A64" i="8"/>
  <c r="A1021" i="3"/>
  <c r="C64" i="9"/>
  <c r="C1021" i="3" s="1"/>
  <c r="B64" i="9"/>
  <c r="B1021" i="3" s="1"/>
  <c r="D64" i="9"/>
  <c r="D1021" i="3" s="1"/>
  <c r="A65" i="9"/>
  <c r="A1022" i="3" l="1"/>
  <c r="C65" i="9"/>
  <c r="C1022" i="3" s="1"/>
  <c r="B65" i="9"/>
  <c r="B1022" i="3" s="1"/>
  <c r="D65" i="9"/>
  <c r="D1022" i="3" s="1"/>
  <c r="A702" i="3"/>
  <c r="C64" i="8"/>
  <c r="C702" i="3" s="1"/>
  <c r="B64" i="8"/>
  <c r="B702" i="3" s="1"/>
  <c r="D64" i="8"/>
  <c r="D702" i="3" s="1"/>
  <c r="A65" i="8"/>
  <c r="A66" i="9"/>
  <c r="A1023" i="3" l="1"/>
  <c r="B66" i="9"/>
  <c r="B1023" i="3" s="1"/>
  <c r="C66" i="9"/>
  <c r="C1023" i="3" s="1"/>
  <c r="D66" i="9"/>
  <c r="D1023" i="3" s="1"/>
  <c r="A703" i="3"/>
  <c r="B65" i="8"/>
  <c r="B703" i="3" s="1"/>
  <c r="C65" i="8"/>
  <c r="C703" i="3" s="1"/>
  <c r="D65" i="8"/>
  <c r="D703" i="3" s="1"/>
  <c r="A66" i="8"/>
  <c r="A67" i="9"/>
  <c r="A1024" i="3" l="1"/>
  <c r="B67" i="9"/>
  <c r="B1024" i="3" s="1"/>
  <c r="C67" i="9"/>
  <c r="C1024" i="3" s="1"/>
  <c r="D67" i="9"/>
  <c r="D1024" i="3" s="1"/>
  <c r="A704" i="3"/>
  <c r="C66" i="8"/>
  <c r="C704" i="3" s="1"/>
  <c r="B66" i="8"/>
  <c r="B704" i="3" s="1"/>
  <c r="D66" i="8"/>
  <c r="D704" i="3" s="1"/>
  <c r="A67" i="8"/>
  <c r="A68" i="9"/>
  <c r="A705" i="3" l="1"/>
  <c r="C67" i="8"/>
  <c r="C705" i="3" s="1"/>
  <c r="B67" i="8"/>
  <c r="B705" i="3" s="1"/>
  <c r="D67" i="8"/>
  <c r="D705" i="3" s="1"/>
  <c r="A68" i="8"/>
  <c r="A1025" i="3"/>
  <c r="B68" i="9"/>
  <c r="B1025" i="3" s="1"/>
  <c r="C68" i="9"/>
  <c r="C1025" i="3" s="1"/>
  <c r="D68" i="9"/>
  <c r="D1025" i="3" s="1"/>
  <c r="A69" i="9"/>
  <c r="A1026" i="3" l="1"/>
  <c r="B69" i="9"/>
  <c r="B1026" i="3" s="1"/>
  <c r="C69" i="9"/>
  <c r="C1026" i="3" s="1"/>
  <c r="D69" i="9"/>
  <c r="D1026" i="3" s="1"/>
  <c r="A706" i="3"/>
  <c r="B68" i="8"/>
  <c r="B706" i="3" s="1"/>
  <c r="C68" i="8"/>
  <c r="C706" i="3" s="1"/>
  <c r="D68" i="8"/>
  <c r="D706" i="3" s="1"/>
  <c r="A69" i="8"/>
  <c r="A70" i="9"/>
  <c r="A707" i="3" l="1"/>
  <c r="B69" i="8"/>
  <c r="B707" i="3" s="1"/>
  <c r="C69" i="8"/>
  <c r="C707" i="3" s="1"/>
  <c r="D69" i="8"/>
  <c r="D707" i="3" s="1"/>
  <c r="A70" i="8"/>
  <c r="A1027" i="3"/>
  <c r="C70" i="9"/>
  <c r="C1027" i="3" s="1"/>
  <c r="B70" i="9"/>
  <c r="B1027" i="3" s="1"/>
  <c r="D70" i="9"/>
  <c r="D1027" i="3" s="1"/>
  <c r="A71" i="9"/>
  <c r="A1028" i="3" l="1"/>
  <c r="C71" i="9"/>
  <c r="C1028" i="3" s="1"/>
  <c r="B71" i="9"/>
  <c r="B1028" i="3" s="1"/>
  <c r="D71" i="9"/>
  <c r="D1028" i="3" s="1"/>
  <c r="A708" i="3"/>
  <c r="C70" i="8"/>
  <c r="C708" i="3" s="1"/>
  <c r="B70" i="8"/>
  <c r="B708" i="3" s="1"/>
  <c r="D70" i="8"/>
  <c r="D708" i="3" s="1"/>
  <c r="A71" i="8"/>
  <c r="A72" i="9"/>
  <c r="A1029" i="3" l="1"/>
  <c r="C72" i="9"/>
  <c r="C1029" i="3" s="1"/>
  <c r="B72" i="9"/>
  <c r="B1029" i="3" s="1"/>
  <c r="D72" i="9"/>
  <c r="D1029" i="3" s="1"/>
  <c r="A709" i="3"/>
  <c r="C71" i="8"/>
  <c r="C709" i="3" s="1"/>
  <c r="B71" i="8"/>
  <c r="B709" i="3" s="1"/>
  <c r="D71" i="8"/>
  <c r="D709" i="3" s="1"/>
  <c r="A72" i="8"/>
  <c r="A73" i="9"/>
  <c r="A710" i="3" l="1"/>
  <c r="B72" i="8"/>
  <c r="B710" i="3" s="1"/>
  <c r="C72" i="8"/>
  <c r="C710" i="3" s="1"/>
  <c r="D72" i="8"/>
  <c r="D710" i="3" s="1"/>
  <c r="A73" i="8"/>
  <c r="A1030" i="3"/>
  <c r="B73" i="9"/>
  <c r="B1030" i="3" s="1"/>
  <c r="C73" i="9"/>
  <c r="C1030" i="3" s="1"/>
  <c r="D73" i="9"/>
  <c r="D1030" i="3" s="1"/>
  <c r="A74" i="9"/>
  <c r="A1031" i="3" l="1"/>
  <c r="B74" i="9"/>
  <c r="B1031" i="3" s="1"/>
  <c r="C74" i="9"/>
  <c r="C1031" i="3" s="1"/>
  <c r="D74" i="9"/>
  <c r="D1031" i="3" s="1"/>
  <c r="A711" i="3"/>
  <c r="B73" i="8"/>
  <c r="B711" i="3" s="1"/>
  <c r="C73" i="8"/>
  <c r="C711" i="3" s="1"/>
  <c r="D73" i="8"/>
  <c r="D711" i="3" s="1"/>
  <c r="A74" i="8"/>
  <c r="A75" i="9"/>
  <c r="A1032" i="3" l="1"/>
  <c r="B75" i="9"/>
  <c r="B1032" i="3" s="1"/>
  <c r="C75" i="9"/>
  <c r="C1032" i="3" s="1"/>
  <c r="D75" i="9"/>
  <c r="D1032" i="3" s="1"/>
  <c r="A712" i="3"/>
  <c r="C74" i="8"/>
  <c r="C712" i="3" s="1"/>
  <c r="B74" i="8"/>
  <c r="B712" i="3" s="1"/>
  <c r="D74" i="8"/>
  <c r="D712" i="3" s="1"/>
  <c r="A75" i="8"/>
  <c r="A76" i="9"/>
  <c r="A1033" i="3" l="1"/>
  <c r="C76" i="9"/>
  <c r="C1033" i="3" s="1"/>
  <c r="B76" i="9"/>
  <c r="B1033" i="3" s="1"/>
  <c r="D76" i="9"/>
  <c r="D1033" i="3" s="1"/>
  <c r="A713" i="3"/>
  <c r="C75" i="8"/>
  <c r="C713" i="3" s="1"/>
  <c r="B75" i="8"/>
  <c r="B713" i="3" s="1"/>
  <c r="D75" i="8"/>
  <c r="D713" i="3" s="1"/>
  <c r="A76" i="8"/>
  <c r="A77" i="9"/>
  <c r="A1034" i="3" l="1"/>
  <c r="D77" i="9"/>
  <c r="D1034" i="3" s="1"/>
  <c r="B77" i="9"/>
  <c r="B1034" i="3" s="1"/>
  <c r="C77" i="9"/>
  <c r="C1034" i="3" s="1"/>
  <c r="A714" i="3"/>
  <c r="B76" i="8"/>
  <c r="B714" i="3" s="1"/>
  <c r="C76" i="8"/>
  <c r="C714" i="3" s="1"/>
  <c r="D76" i="8"/>
  <c r="D714" i="3" s="1"/>
  <c r="A77" i="8"/>
  <c r="A78" i="9"/>
  <c r="A1035" i="3" l="1"/>
  <c r="D78" i="9"/>
  <c r="D1035" i="3" s="1"/>
  <c r="B78" i="9"/>
  <c r="B1035" i="3" s="1"/>
  <c r="C78" i="9"/>
  <c r="C1035" i="3" s="1"/>
  <c r="A715" i="3"/>
  <c r="D77" i="8"/>
  <c r="D715" i="3" s="1"/>
  <c r="C77" i="8"/>
  <c r="C715" i="3" s="1"/>
  <c r="B77" i="8"/>
  <c r="B715" i="3" s="1"/>
  <c r="A78" i="8"/>
  <c r="A79" i="9"/>
  <c r="A716" i="3" l="1"/>
  <c r="D78" i="8"/>
  <c r="D716" i="3" s="1"/>
  <c r="C78" i="8"/>
  <c r="C716" i="3" s="1"/>
  <c r="B78" i="8"/>
  <c r="B716" i="3" s="1"/>
  <c r="A79" i="8"/>
  <c r="A1036" i="3"/>
  <c r="D79" i="9"/>
  <c r="D1036" i="3" s="1"/>
  <c r="C79" i="9"/>
  <c r="C1036" i="3" s="1"/>
  <c r="B79" i="9"/>
  <c r="B1036" i="3" s="1"/>
  <c r="A80" i="9"/>
  <c r="A717" i="3" l="1"/>
  <c r="B79" i="8"/>
  <c r="B717" i="3" s="1"/>
  <c r="C79" i="8"/>
  <c r="C717" i="3" s="1"/>
  <c r="D79" i="8"/>
  <c r="D717" i="3" s="1"/>
  <c r="A80" i="8"/>
  <c r="A1037" i="3"/>
  <c r="C80" i="9"/>
  <c r="C1037" i="3" s="1"/>
  <c r="B80" i="9"/>
  <c r="B1037" i="3" s="1"/>
  <c r="D80" i="9"/>
  <c r="D1037" i="3" s="1"/>
  <c r="A81" i="9"/>
  <c r="A1038" i="3" l="1"/>
  <c r="B81" i="9"/>
  <c r="B1038" i="3" s="1"/>
  <c r="C81" i="9"/>
  <c r="C1038" i="3" s="1"/>
  <c r="D81" i="9"/>
  <c r="D1038" i="3" s="1"/>
  <c r="A718" i="3"/>
  <c r="C80" i="8"/>
  <c r="C718" i="3" s="1"/>
  <c r="B80" i="8"/>
  <c r="B718" i="3" s="1"/>
  <c r="D80" i="8"/>
  <c r="D718" i="3" s="1"/>
  <c r="A81" i="8"/>
  <c r="A82" i="9"/>
  <c r="A1039" i="3" l="1"/>
  <c r="C82" i="9"/>
  <c r="C1039" i="3" s="1"/>
  <c r="B82" i="9"/>
  <c r="B1039" i="3" s="1"/>
  <c r="D82" i="9"/>
  <c r="D1039" i="3" s="1"/>
  <c r="A719" i="3"/>
  <c r="B81" i="8"/>
  <c r="B719" i="3" s="1"/>
  <c r="C81" i="8"/>
  <c r="C719" i="3" s="1"/>
  <c r="D81" i="8"/>
  <c r="D719" i="3" s="1"/>
  <c r="A82" i="8"/>
  <c r="A83" i="9"/>
  <c r="A1040" i="3" l="1"/>
  <c r="D83" i="9"/>
  <c r="D1040" i="3" s="1"/>
  <c r="B83" i="9"/>
  <c r="B1040" i="3" s="1"/>
  <c r="C83" i="9"/>
  <c r="C1040" i="3" s="1"/>
  <c r="A720" i="3"/>
  <c r="D82" i="8"/>
  <c r="D720" i="3" s="1"/>
  <c r="B82" i="8"/>
  <c r="B720" i="3" s="1"/>
  <c r="C82" i="8"/>
  <c r="C720" i="3" s="1"/>
  <c r="A83" i="8"/>
  <c r="A84" i="9"/>
  <c r="A1041" i="3" l="1"/>
  <c r="D84" i="9"/>
  <c r="D1041" i="3" s="1"/>
  <c r="B84" i="9"/>
  <c r="B1041" i="3" s="1"/>
  <c r="C84" i="9"/>
  <c r="C1041" i="3" s="1"/>
  <c r="A721" i="3"/>
  <c r="C83" i="8"/>
  <c r="C721" i="3" s="1"/>
  <c r="B83" i="8"/>
  <c r="B721" i="3" s="1"/>
  <c r="D83" i="8"/>
  <c r="D721" i="3" s="1"/>
  <c r="A84" i="8"/>
  <c r="A85" i="9"/>
  <c r="A1042" i="3" l="1"/>
  <c r="C85" i="9"/>
  <c r="C1042" i="3" s="1"/>
  <c r="B85" i="9"/>
  <c r="B1042" i="3" s="1"/>
  <c r="D85" i="9"/>
  <c r="D1042" i="3" s="1"/>
  <c r="A722" i="3"/>
  <c r="B84" i="8"/>
  <c r="B722" i="3" s="1"/>
  <c r="D84" i="8"/>
  <c r="D722" i="3" s="1"/>
  <c r="C84" i="8"/>
  <c r="C722" i="3" s="1"/>
  <c r="A85" i="8"/>
  <c r="A86" i="9"/>
  <c r="A1043" i="3" l="1"/>
  <c r="B86" i="9"/>
  <c r="B1043" i="3" s="1"/>
  <c r="C86" i="9"/>
  <c r="C1043" i="3" s="1"/>
  <c r="D86" i="9"/>
  <c r="D1043" i="3" s="1"/>
  <c r="A723" i="3"/>
  <c r="B85" i="8"/>
  <c r="B723" i="3" s="1"/>
  <c r="C85" i="8"/>
  <c r="C723" i="3" s="1"/>
  <c r="D85" i="8"/>
  <c r="D723" i="3" s="1"/>
  <c r="A86" i="8"/>
  <c r="A87" i="9"/>
  <c r="A1044" i="3" l="1"/>
  <c r="C87" i="9"/>
  <c r="C1044" i="3" s="1"/>
  <c r="B87" i="9"/>
  <c r="B1044" i="3" s="1"/>
  <c r="D87" i="9"/>
  <c r="D1044" i="3" s="1"/>
  <c r="A724" i="3"/>
  <c r="C86" i="8"/>
  <c r="C724" i="3" s="1"/>
  <c r="B86" i="8"/>
  <c r="B724" i="3" s="1"/>
  <c r="D86" i="8"/>
  <c r="D724" i="3" s="1"/>
  <c r="A87" i="8"/>
  <c r="A88" i="9"/>
  <c r="A1045" i="3" l="1"/>
  <c r="C88" i="9"/>
  <c r="C1045" i="3" s="1"/>
  <c r="B88" i="9"/>
  <c r="B1045" i="3" s="1"/>
  <c r="D88" i="9"/>
  <c r="D1045" i="3" s="1"/>
  <c r="A725" i="3"/>
  <c r="C87" i="8"/>
  <c r="C725" i="3" s="1"/>
  <c r="B87" i="8"/>
  <c r="B725" i="3" s="1"/>
  <c r="D87" i="8"/>
  <c r="D725" i="3" s="1"/>
  <c r="A88" i="8"/>
  <c r="A89" i="9"/>
  <c r="A1046" i="3" l="1"/>
  <c r="B89" i="9"/>
  <c r="B1046" i="3" s="1"/>
  <c r="C89" i="9"/>
  <c r="C1046" i="3" s="1"/>
  <c r="D89" i="9"/>
  <c r="D1046" i="3" s="1"/>
  <c r="A726" i="3"/>
  <c r="B88" i="8"/>
  <c r="B726" i="3" s="1"/>
  <c r="C88" i="8"/>
  <c r="C726" i="3" s="1"/>
  <c r="D88" i="8"/>
  <c r="D726" i="3" s="1"/>
  <c r="A89" i="8"/>
  <c r="A90" i="9"/>
  <c r="A1047" i="3" l="1"/>
  <c r="B90" i="9"/>
  <c r="B1047" i="3" s="1"/>
  <c r="C90" i="9"/>
  <c r="C1047" i="3" s="1"/>
  <c r="D90" i="9"/>
  <c r="D1047" i="3" s="1"/>
  <c r="A727" i="3"/>
  <c r="C89" i="8"/>
  <c r="C727" i="3" s="1"/>
  <c r="B89" i="8"/>
  <c r="B727" i="3" s="1"/>
  <c r="D89" i="8"/>
  <c r="D727" i="3" s="1"/>
  <c r="A90" i="8"/>
  <c r="A91" i="9"/>
  <c r="A728" i="3" l="1"/>
  <c r="B90" i="8"/>
  <c r="B728" i="3" s="1"/>
  <c r="C90" i="8"/>
  <c r="C728" i="3" s="1"/>
  <c r="D90" i="8"/>
  <c r="D728" i="3" s="1"/>
  <c r="A91" i="8"/>
  <c r="A1048" i="3"/>
  <c r="C91" i="9"/>
  <c r="C1048" i="3" s="1"/>
  <c r="B91" i="9"/>
  <c r="B1048" i="3" s="1"/>
  <c r="D91" i="9"/>
  <c r="D1048" i="3" s="1"/>
  <c r="A92" i="9"/>
  <c r="A1049" i="3" l="1"/>
  <c r="B92" i="9"/>
  <c r="B1049" i="3" s="1"/>
  <c r="C92" i="9"/>
  <c r="C1049" i="3" s="1"/>
  <c r="D92" i="9"/>
  <c r="D1049" i="3" s="1"/>
  <c r="A729" i="3"/>
  <c r="B91" i="8"/>
  <c r="B729" i="3" s="1"/>
  <c r="C91" i="8"/>
  <c r="C729" i="3" s="1"/>
  <c r="D91" i="8"/>
  <c r="D729" i="3" s="1"/>
  <c r="A92" i="8"/>
  <c r="A93" i="9"/>
  <c r="A1050" i="3" l="1"/>
  <c r="C93" i="9"/>
  <c r="C1050" i="3" s="1"/>
  <c r="B93" i="9"/>
  <c r="B1050" i="3" s="1"/>
  <c r="D93" i="9"/>
  <c r="D1050" i="3" s="1"/>
  <c r="A730" i="3"/>
  <c r="B92" i="8"/>
  <c r="B730" i="3" s="1"/>
  <c r="C92" i="8"/>
  <c r="C730" i="3" s="1"/>
  <c r="D92" i="8"/>
  <c r="D730" i="3" s="1"/>
  <c r="A93" i="8"/>
  <c r="A94" i="9"/>
  <c r="A1051" i="3" l="1"/>
  <c r="B94" i="9"/>
  <c r="B1051" i="3" s="1"/>
  <c r="C94" i="9"/>
  <c r="C1051" i="3" s="1"/>
  <c r="D94" i="9"/>
  <c r="D1051" i="3" s="1"/>
  <c r="A731" i="3"/>
  <c r="C93" i="8"/>
  <c r="C731" i="3" s="1"/>
  <c r="B93" i="8"/>
  <c r="B731" i="3" s="1"/>
  <c r="D93" i="8"/>
  <c r="D731" i="3" s="1"/>
  <c r="A94" i="8"/>
  <c r="A95" i="9"/>
  <c r="A1052" i="3" l="1"/>
  <c r="C95" i="9"/>
  <c r="C1052" i="3" s="1"/>
  <c r="B95" i="9"/>
  <c r="B1052" i="3" s="1"/>
  <c r="D95" i="9"/>
  <c r="D1052" i="3" s="1"/>
  <c r="A732" i="3"/>
  <c r="C94" i="8"/>
  <c r="C732" i="3" s="1"/>
  <c r="B94" i="8"/>
  <c r="B732" i="3" s="1"/>
  <c r="D94" i="8"/>
  <c r="D732" i="3" s="1"/>
  <c r="A95" i="8"/>
  <c r="A96" i="9"/>
  <c r="A1053" i="3" l="1"/>
  <c r="B96" i="9"/>
  <c r="B1053" i="3" s="1"/>
  <c r="C96" i="9"/>
  <c r="C1053" i="3" s="1"/>
  <c r="D96" i="9"/>
  <c r="D1053" i="3" s="1"/>
  <c r="A733" i="3"/>
  <c r="B95" i="8"/>
  <c r="B733" i="3" s="1"/>
  <c r="C95" i="8"/>
  <c r="C733" i="3" s="1"/>
  <c r="D95" i="8"/>
  <c r="D733" i="3" s="1"/>
  <c r="A96" i="8"/>
  <c r="A97" i="9"/>
  <c r="A1054" i="3" l="1"/>
  <c r="B97" i="9"/>
  <c r="B1054" i="3" s="1"/>
  <c r="C97" i="9"/>
  <c r="C1054" i="3" s="1"/>
  <c r="D97" i="9"/>
  <c r="D1054" i="3" s="1"/>
  <c r="A734" i="3"/>
  <c r="C96" i="8"/>
  <c r="C734" i="3" s="1"/>
  <c r="B96" i="8"/>
  <c r="B734" i="3" s="1"/>
  <c r="D96" i="8"/>
  <c r="D734" i="3" s="1"/>
  <c r="A97" i="8"/>
  <c r="A98" i="9"/>
  <c r="A1055" i="3" l="1"/>
  <c r="B98" i="9"/>
  <c r="B1055" i="3" s="1"/>
  <c r="C98" i="9"/>
  <c r="C1055" i="3" s="1"/>
  <c r="D98" i="9"/>
  <c r="D1055" i="3" s="1"/>
  <c r="A735" i="3"/>
  <c r="B97" i="8"/>
  <c r="B735" i="3" s="1"/>
  <c r="C97" i="8"/>
  <c r="C735" i="3" s="1"/>
  <c r="D97" i="8"/>
  <c r="D735" i="3" s="1"/>
  <c r="A98" i="8"/>
  <c r="A99" i="9"/>
  <c r="A1056" i="3" l="1"/>
  <c r="C99" i="9"/>
  <c r="C1056" i="3" s="1"/>
  <c r="B99" i="9"/>
  <c r="B1056" i="3" s="1"/>
  <c r="D99" i="9"/>
  <c r="D1056" i="3" s="1"/>
  <c r="A736" i="3"/>
  <c r="C98" i="8"/>
  <c r="C736" i="3" s="1"/>
  <c r="B98" i="8"/>
  <c r="B736" i="3" s="1"/>
  <c r="D98" i="8"/>
  <c r="D736" i="3" s="1"/>
  <c r="A99" i="8"/>
  <c r="A100" i="9"/>
  <c r="A1057" i="3" l="1"/>
  <c r="B100" i="9"/>
  <c r="B1057" i="3" s="1"/>
  <c r="C100" i="9"/>
  <c r="C1057" i="3" s="1"/>
  <c r="D100" i="9"/>
  <c r="D1057" i="3" s="1"/>
  <c r="A737" i="3"/>
  <c r="B99" i="8"/>
  <c r="B737" i="3" s="1"/>
  <c r="C99" i="8"/>
  <c r="C737" i="3" s="1"/>
  <c r="D99" i="8"/>
  <c r="D737" i="3" s="1"/>
  <c r="A100" i="8"/>
  <c r="A101" i="9"/>
  <c r="A1058" i="3" l="1"/>
  <c r="C101" i="9"/>
  <c r="C1058" i="3" s="1"/>
  <c r="B101" i="9"/>
  <c r="B1058" i="3" s="1"/>
  <c r="D101" i="9"/>
  <c r="D1058" i="3" s="1"/>
  <c r="A738" i="3"/>
  <c r="B100" i="8"/>
  <c r="B738" i="3" s="1"/>
  <c r="C100" i="8"/>
  <c r="C738" i="3" s="1"/>
  <c r="D100" i="8"/>
  <c r="D738" i="3" s="1"/>
  <c r="A101" i="8"/>
  <c r="A102" i="9"/>
  <c r="A1059" i="3" l="1"/>
  <c r="B102" i="9"/>
  <c r="B1059" i="3" s="1"/>
  <c r="C102" i="9"/>
  <c r="C1059" i="3" s="1"/>
  <c r="D102" i="9"/>
  <c r="D1059" i="3" s="1"/>
  <c r="A739" i="3"/>
  <c r="B101" i="8"/>
  <c r="B739" i="3" s="1"/>
  <c r="C101" i="8"/>
  <c r="C739" i="3" s="1"/>
  <c r="D101" i="8"/>
  <c r="D739" i="3" s="1"/>
  <c r="A102" i="8"/>
  <c r="A103" i="9"/>
  <c r="A1060" i="3" l="1"/>
  <c r="C103" i="9"/>
  <c r="C1060" i="3" s="1"/>
  <c r="B103" i="9"/>
  <c r="B1060" i="3" s="1"/>
  <c r="D103" i="9"/>
  <c r="D1060" i="3" s="1"/>
  <c r="A740" i="3"/>
  <c r="C102" i="8"/>
  <c r="C740" i="3" s="1"/>
  <c r="B102" i="8"/>
  <c r="B740" i="3" s="1"/>
  <c r="D102" i="8"/>
  <c r="D740" i="3" s="1"/>
  <c r="A103" i="8"/>
  <c r="A104" i="9"/>
  <c r="A1061" i="3" l="1"/>
  <c r="C104" i="9"/>
  <c r="C1061" i="3" s="1"/>
  <c r="B104" i="9"/>
  <c r="B1061" i="3" s="1"/>
  <c r="D104" i="9"/>
  <c r="D1061" i="3" s="1"/>
  <c r="A741" i="3"/>
  <c r="B103" i="8"/>
  <c r="B741" i="3" s="1"/>
  <c r="C103" i="8"/>
  <c r="C741" i="3" s="1"/>
  <c r="D103" i="8"/>
  <c r="D741" i="3" s="1"/>
  <c r="A104" i="8"/>
  <c r="A105" i="9"/>
  <c r="A1062" i="3" l="1"/>
  <c r="B105" i="9"/>
  <c r="B1062" i="3" s="1"/>
  <c r="C105" i="9"/>
  <c r="C1062" i="3" s="1"/>
  <c r="D105" i="9"/>
  <c r="D1062" i="3" s="1"/>
  <c r="A742" i="3"/>
  <c r="C104" i="8"/>
  <c r="C742" i="3" s="1"/>
  <c r="B104" i="8"/>
  <c r="B742" i="3" s="1"/>
  <c r="D104" i="8"/>
  <c r="D742" i="3" s="1"/>
  <c r="A105" i="8"/>
  <c r="A106" i="9"/>
  <c r="A1063" i="3" l="1"/>
  <c r="B106" i="9"/>
  <c r="B1063" i="3" s="1"/>
  <c r="C106" i="9"/>
  <c r="C1063" i="3" s="1"/>
  <c r="D106" i="9"/>
  <c r="D1063" i="3" s="1"/>
  <c r="A743" i="3"/>
  <c r="B105" i="8"/>
  <c r="B743" i="3" s="1"/>
  <c r="C105" i="8"/>
  <c r="C743" i="3" s="1"/>
  <c r="D105" i="8"/>
  <c r="D743" i="3" s="1"/>
  <c r="A106" i="8"/>
  <c r="A107" i="9"/>
  <c r="A1064" i="3" l="1"/>
  <c r="B107" i="9"/>
  <c r="B1064" i="3" s="1"/>
  <c r="C107" i="9"/>
  <c r="C1064" i="3" s="1"/>
  <c r="D107" i="9"/>
  <c r="D1064" i="3" s="1"/>
  <c r="A744" i="3"/>
  <c r="B106" i="8"/>
  <c r="B744" i="3" s="1"/>
  <c r="C106" i="8"/>
  <c r="C744" i="3" s="1"/>
  <c r="D106" i="8"/>
  <c r="D744" i="3" s="1"/>
  <c r="A107" i="8"/>
  <c r="A108" i="9"/>
  <c r="A1065" i="3" l="1"/>
  <c r="C108" i="9"/>
  <c r="C1065" i="3" s="1"/>
  <c r="B108" i="9"/>
  <c r="B1065" i="3" s="1"/>
  <c r="D108" i="9"/>
  <c r="D1065" i="3" s="1"/>
  <c r="A745" i="3"/>
  <c r="B107" i="8"/>
  <c r="B745" i="3" s="1"/>
  <c r="C107" i="8"/>
  <c r="C745" i="3" s="1"/>
  <c r="D107" i="8"/>
  <c r="D745" i="3" s="1"/>
  <c r="A108" i="8"/>
  <c r="A109" i="9"/>
  <c r="A1066" i="3" l="1"/>
  <c r="C109" i="9"/>
  <c r="C1066" i="3" s="1"/>
  <c r="B109" i="9"/>
  <c r="B1066" i="3" s="1"/>
  <c r="D109" i="9"/>
  <c r="D1066" i="3" s="1"/>
  <c r="A746" i="3"/>
  <c r="D108" i="8"/>
  <c r="D746" i="3" s="1"/>
  <c r="B108" i="8"/>
  <c r="B746" i="3" s="1"/>
  <c r="C108" i="8"/>
  <c r="C746" i="3" s="1"/>
  <c r="A109" i="8"/>
  <c r="A110" i="9"/>
  <c r="A1067" i="3" l="1"/>
  <c r="C110" i="9"/>
  <c r="C1067" i="3" s="1"/>
  <c r="B110" i="9"/>
  <c r="B1067" i="3" s="1"/>
  <c r="D110" i="9"/>
  <c r="D1067" i="3" s="1"/>
  <c r="A747" i="3"/>
  <c r="D109" i="8"/>
  <c r="D747" i="3" s="1"/>
  <c r="B109" i="8"/>
  <c r="B747" i="3" s="1"/>
  <c r="C109" i="8"/>
  <c r="C747" i="3" s="1"/>
  <c r="A110" i="8"/>
  <c r="A111" i="9"/>
  <c r="A1068" i="3" l="1"/>
  <c r="B111" i="9"/>
  <c r="B1068" i="3" s="1"/>
  <c r="C111" i="9"/>
  <c r="C1068" i="3" s="1"/>
  <c r="D111" i="9"/>
  <c r="D1068" i="3" s="1"/>
  <c r="A748" i="3"/>
  <c r="B110" i="8"/>
  <c r="B748" i="3" s="1"/>
  <c r="D110" i="8"/>
  <c r="D748" i="3" s="1"/>
  <c r="C110" i="8"/>
  <c r="C748" i="3" s="1"/>
  <c r="A111" i="8"/>
  <c r="A112" i="9"/>
  <c r="A1069" i="3" l="1"/>
  <c r="B112" i="9"/>
  <c r="B1069" i="3" s="1"/>
  <c r="C112" i="9"/>
  <c r="C1069" i="3" s="1"/>
  <c r="D112" i="9"/>
  <c r="D1069" i="3" s="1"/>
  <c r="A749" i="3"/>
  <c r="D111" i="8"/>
  <c r="D749" i="3" s="1"/>
  <c r="C111" i="8"/>
  <c r="C749" i="3" s="1"/>
  <c r="B111" i="8"/>
  <c r="B749" i="3" s="1"/>
  <c r="A112" i="8"/>
  <c r="A113" i="9"/>
  <c r="A1070" i="3" l="1"/>
  <c r="C113" i="9"/>
  <c r="C1070" i="3" s="1"/>
  <c r="B113" i="9"/>
  <c r="B1070" i="3" s="1"/>
  <c r="D113" i="9"/>
  <c r="D1070" i="3" s="1"/>
  <c r="A750" i="3"/>
  <c r="B112" i="8"/>
  <c r="B750" i="3" s="1"/>
  <c r="C112" i="8"/>
  <c r="C750" i="3" s="1"/>
  <c r="D112" i="8"/>
  <c r="D750" i="3" s="1"/>
  <c r="A113" i="8"/>
  <c r="A114" i="9"/>
  <c r="A1071" i="3" l="1"/>
  <c r="C114" i="9"/>
  <c r="C1071" i="3" s="1"/>
  <c r="B114" i="9"/>
  <c r="B1071" i="3" s="1"/>
  <c r="D114" i="9"/>
  <c r="D1071" i="3" s="1"/>
  <c r="A751" i="3"/>
  <c r="B113" i="8"/>
  <c r="B751" i="3" s="1"/>
  <c r="C113" i="8"/>
  <c r="C751" i="3" s="1"/>
  <c r="D113" i="8"/>
  <c r="D751" i="3" s="1"/>
  <c r="A114" i="8"/>
  <c r="A115" i="9"/>
  <c r="A752" i="3" l="1"/>
  <c r="D114" i="8"/>
  <c r="D752" i="3" s="1"/>
  <c r="C114" i="8"/>
  <c r="C752" i="3" s="1"/>
  <c r="B114" i="8"/>
  <c r="B752" i="3" s="1"/>
  <c r="A115" i="8"/>
  <c r="A1072" i="3"/>
  <c r="B115" i="9"/>
  <c r="B1072" i="3" s="1"/>
  <c r="C115" i="9"/>
  <c r="C1072" i="3" s="1"/>
  <c r="D115" i="9"/>
  <c r="D1072" i="3" s="1"/>
  <c r="A116" i="9"/>
  <c r="A753" i="3" l="1"/>
  <c r="D115" i="8"/>
  <c r="D753" i="3" s="1"/>
  <c r="B115" i="8"/>
  <c r="B753" i="3" s="1"/>
  <c r="C115" i="8"/>
  <c r="C753" i="3" s="1"/>
  <c r="A116" i="8"/>
  <c r="A1073" i="3"/>
  <c r="B116" i="9"/>
  <c r="B1073" i="3" s="1"/>
  <c r="C116" i="9"/>
  <c r="C1073" i="3" s="1"/>
  <c r="D116" i="9"/>
  <c r="D1073" i="3" s="1"/>
  <c r="A117" i="9"/>
  <c r="A754" i="3" l="1"/>
  <c r="B116" i="8"/>
  <c r="B754" i="3" s="1"/>
  <c r="C116" i="8"/>
  <c r="C754" i="3" s="1"/>
  <c r="D116" i="8"/>
  <c r="D754" i="3" s="1"/>
  <c r="A117" i="8"/>
  <c r="A1074" i="3"/>
  <c r="C117" i="9"/>
  <c r="C1074" i="3" s="1"/>
  <c r="B117" i="9"/>
  <c r="B1074" i="3" s="1"/>
  <c r="D117" i="9"/>
  <c r="D1074" i="3" s="1"/>
  <c r="A118" i="9"/>
  <c r="A755" i="3" l="1"/>
  <c r="C117" i="8"/>
  <c r="C755" i="3" s="1"/>
  <c r="B117" i="8"/>
  <c r="B755" i="3" s="1"/>
  <c r="D117" i="8"/>
  <c r="D755" i="3" s="1"/>
  <c r="A118" i="8"/>
  <c r="A1075" i="3"/>
  <c r="C118" i="9"/>
  <c r="C1075" i="3" s="1"/>
  <c r="B118" i="9"/>
  <c r="B1075" i="3" s="1"/>
  <c r="D118" i="9"/>
  <c r="D1075" i="3" s="1"/>
  <c r="A119" i="9"/>
  <c r="A756" i="3" l="1"/>
  <c r="B118" i="8"/>
  <c r="B756" i="3" s="1"/>
  <c r="C118" i="8"/>
  <c r="C756" i="3" s="1"/>
  <c r="D118" i="8"/>
  <c r="D756" i="3" s="1"/>
  <c r="A119" i="8"/>
  <c r="A1076" i="3"/>
  <c r="B119" i="9"/>
  <c r="B1076" i="3" s="1"/>
  <c r="C119" i="9"/>
  <c r="C1076" i="3" s="1"/>
  <c r="D119" i="9"/>
  <c r="D1076" i="3" s="1"/>
  <c r="A120" i="9"/>
  <c r="A757" i="3" l="1"/>
  <c r="C119" i="8"/>
  <c r="C757" i="3" s="1"/>
  <c r="B119" i="8"/>
  <c r="B757" i="3" s="1"/>
  <c r="D119" i="8"/>
  <c r="D757" i="3" s="1"/>
  <c r="A120" i="8"/>
  <c r="A1077" i="3"/>
  <c r="B120" i="9"/>
  <c r="B1077" i="3" s="1"/>
  <c r="C120" i="9"/>
  <c r="C1077" i="3" s="1"/>
  <c r="D120" i="9"/>
  <c r="D1077" i="3" s="1"/>
  <c r="A121" i="9"/>
  <c r="A758" i="3" l="1"/>
  <c r="B120" i="8"/>
  <c r="B758" i="3" s="1"/>
  <c r="C120" i="8"/>
  <c r="C758" i="3" s="1"/>
  <c r="D120" i="8"/>
  <c r="D758" i="3" s="1"/>
  <c r="A121" i="8"/>
  <c r="A1078" i="3"/>
  <c r="B121" i="9"/>
  <c r="B1078" i="3" s="1"/>
  <c r="C121" i="9"/>
  <c r="C1078" i="3" s="1"/>
  <c r="D121" i="9"/>
  <c r="D1078" i="3" s="1"/>
  <c r="A122" i="9"/>
  <c r="A759" i="3" l="1"/>
  <c r="B121" i="8"/>
  <c r="B759" i="3" s="1"/>
  <c r="C121" i="8"/>
  <c r="C759" i="3" s="1"/>
  <c r="D121" i="8"/>
  <c r="D759" i="3" s="1"/>
  <c r="A122" i="8"/>
  <c r="A1079" i="3"/>
  <c r="B122" i="9"/>
  <c r="B1079" i="3" s="1"/>
  <c r="C122" i="9"/>
  <c r="C1079" i="3" s="1"/>
  <c r="D122" i="9"/>
  <c r="D1079" i="3" s="1"/>
  <c r="A123" i="9"/>
  <c r="A760" i="3" l="1"/>
  <c r="B122" i="8"/>
  <c r="B760" i="3" s="1"/>
  <c r="C122" i="8"/>
  <c r="C760" i="3" s="1"/>
  <c r="D122" i="8"/>
  <c r="D760" i="3" s="1"/>
  <c r="A123" i="8"/>
  <c r="A1080" i="3"/>
  <c r="C123" i="9"/>
  <c r="C1080" i="3" s="1"/>
  <c r="B123" i="9"/>
  <c r="B1080" i="3" s="1"/>
  <c r="D123" i="9"/>
  <c r="D1080" i="3" s="1"/>
  <c r="A124" i="9"/>
  <c r="A761" i="3" l="1"/>
  <c r="C123" i="8"/>
  <c r="C761" i="3" s="1"/>
  <c r="B123" i="8"/>
  <c r="B761" i="3" s="1"/>
  <c r="D123" i="8"/>
  <c r="D761" i="3" s="1"/>
  <c r="A124" i="8"/>
  <c r="A1081" i="3"/>
  <c r="B124" i="9"/>
  <c r="B1081" i="3" s="1"/>
  <c r="C124" i="9"/>
  <c r="C1081" i="3" s="1"/>
  <c r="D124" i="9"/>
  <c r="D1081" i="3" s="1"/>
  <c r="A125" i="9"/>
  <c r="A1082" i="3" l="1"/>
  <c r="B125" i="9"/>
  <c r="B1082" i="3" s="1"/>
  <c r="C125" i="9"/>
  <c r="C1082" i="3" s="1"/>
  <c r="D125" i="9"/>
  <c r="D1082" i="3" s="1"/>
  <c r="A762" i="3"/>
  <c r="B124" i="8"/>
  <c r="B762" i="3" s="1"/>
  <c r="C124" i="8"/>
  <c r="C762" i="3" s="1"/>
  <c r="D124" i="8"/>
  <c r="D762" i="3" s="1"/>
  <c r="A125" i="8"/>
  <c r="A126" i="9"/>
  <c r="A1083" i="3" l="1"/>
  <c r="B126" i="9"/>
  <c r="B1083" i="3" s="1"/>
  <c r="C126" i="9"/>
  <c r="C1083" i="3" s="1"/>
  <c r="D126" i="9"/>
  <c r="D1083" i="3" s="1"/>
  <c r="A763" i="3"/>
  <c r="B125" i="8"/>
  <c r="B763" i="3" s="1"/>
  <c r="C125" i="8"/>
  <c r="C763" i="3" s="1"/>
  <c r="D125" i="8"/>
  <c r="D763" i="3" s="1"/>
  <c r="A126" i="8"/>
  <c r="A127" i="9"/>
  <c r="A1084" i="3" l="1"/>
  <c r="B127" i="9"/>
  <c r="B1084" i="3" s="1"/>
  <c r="C127" i="9"/>
  <c r="C1084" i="3" s="1"/>
  <c r="D127" i="9"/>
  <c r="D1084" i="3" s="1"/>
  <c r="A764" i="3"/>
  <c r="C126" i="8"/>
  <c r="C764" i="3" s="1"/>
  <c r="B126" i="8"/>
  <c r="B764" i="3" s="1"/>
  <c r="D126" i="8"/>
  <c r="D764" i="3" s="1"/>
  <c r="A127" i="8"/>
  <c r="A128" i="9"/>
  <c r="A765" i="3" l="1"/>
  <c r="B127" i="8"/>
  <c r="B765" i="3" s="1"/>
  <c r="C127" i="8"/>
  <c r="C765" i="3" s="1"/>
  <c r="D127" i="8"/>
  <c r="D765" i="3" s="1"/>
  <c r="A128" i="8"/>
  <c r="A1085" i="3"/>
  <c r="C128" i="9"/>
  <c r="C1085" i="3" s="1"/>
  <c r="B128" i="9"/>
  <c r="B1085" i="3" s="1"/>
  <c r="D128" i="9"/>
  <c r="D1085" i="3" s="1"/>
  <c r="A129" i="9"/>
  <c r="A1086" i="3" l="1"/>
  <c r="C129" i="9"/>
  <c r="C1086" i="3" s="1"/>
  <c r="B129" i="9"/>
  <c r="B1086" i="3" s="1"/>
  <c r="D129" i="9"/>
  <c r="D1086" i="3" s="1"/>
  <c r="A766" i="3"/>
  <c r="C128" i="8"/>
  <c r="C766" i="3" s="1"/>
  <c r="B128" i="8"/>
  <c r="B766" i="3" s="1"/>
  <c r="D128" i="8"/>
  <c r="D766" i="3" s="1"/>
  <c r="A129" i="8"/>
  <c r="A130" i="9"/>
  <c r="A1087" i="3" l="1"/>
  <c r="C130" i="9"/>
  <c r="C1087" i="3" s="1"/>
  <c r="B130" i="9"/>
  <c r="B1087" i="3" s="1"/>
  <c r="D130" i="9"/>
  <c r="D1087" i="3" s="1"/>
  <c r="A767" i="3"/>
  <c r="B129" i="8"/>
  <c r="B767" i="3" s="1"/>
  <c r="C129" i="8"/>
  <c r="C767" i="3" s="1"/>
  <c r="D129" i="8"/>
  <c r="D767" i="3" s="1"/>
  <c r="A130" i="8"/>
  <c r="A131" i="9"/>
  <c r="A1088" i="3" l="1"/>
  <c r="C131" i="9"/>
  <c r="C1088" i="3" s="1"/>
  <c r="B131" i="9"/>
  <c r="B1088" i="3" s="1"/>
  <c r="D131" i="9"/>
  <c r="D1088" i="3" s="1"/>
  <c r="A768" i="3"/>
  <c r="B130" i="8"/>
  <c r="B768" i="3" s="1"/>
  <c r="C130" i="8"/>
  <c r="C768" i="3" s="1"/>
  <c r="D130" i="8"/>
  <c r="D768" i="3" s="1"/>
  <c r="A131" i="8"/>
  <c r="A132" i="9"/>
  <c r="A1089" i="3" l="1"/>
  <c r="C132" i="9"/>
  <c r="C1089" i="3" s="1"/>
  <c r="B132" i="9"/>
  <c r="B1089" i="3" s="1"/>
  <c r="D132" i="9"/>
  <c r="D1089" i="3" s="1"/>
  <c r="A769" i="3"/>
  <c r="C131" i="8"/>
  <c r="C769" i="3" s="1"/>
  <c r="B131" i="8"/>
  <c r="B769" i="3" s="1"/>
  <c r="D131" i="8"/>
  <c r="D769" i="3" s="1"/>
  <c r="A132" i="8"/>
  <c r="A133" i="9"/>
  <c r="A1090" i="3" l="1"/>
  <c r="C133" i="9"/>
  <c r="C1090" i="3" s="1"/>
  <c r="B133" i="9"/>
  <c r="B1090" i="3" s="1"/>
  <c r="D133" i="9"/>
  <c r="D1090" i="3" s="1"/>
  <c r="A770" i="3"/>
  <c r="B132" i="8"/>
  <c r="B770" i="3" s="1"/>
  <c r="C132" i="8"/>
  <c r="C770" i="3" s="1"/>
  <c r="D132" i="8"/>
  <c r="D770" i="3" s="1"/>
  <c r="A133" i="8"/>
  <c r="A134" i="9"/>
  <c r="A1091" i="3" l="1"/>
  <c r="C134" i="9"/>
  <c r="C1091" i="3" s="1"/>
  <c r="B134" i="9"/>
  <c r="B1091" i="3" s="1"/>
  <c r="D134" i="9"/>
  <c r="D1091" i="3" s="1"/>
  <c r="A771" i="3"/>
  <c r="B133" i="8"/>
  <c r="B771" i="3" s="1"/>
  <c r="C133" i="8"/>
  <c r="C771" i="3" s="1"/>
  <c r="D133" i="8"/>
  <c r="D771" i="3" s="1"/>
  <c r="A134" i="8"/>
  <c r="A135" i="9"/>
  <c r="A1092" i="3" l="1"/>
  <c r="B135" i="9"/>
  <c r="B1092" i="3" s="1"/>
  <c r="C135" i="9"/>
  <c r="C1092" i="3" s="1"/>
  <c r="D135" i="9"/>
  <c r="D1092" i="3" s="1"/>
  <c r="A772" i="3"/>
  <c r="C134" i="8"/>
  <c r="C772" i="3" s="1"/>
  <c r="B134" i="8"/>
  <c r="B772" i="3" s="1"/>
  <c r="D134" i="8"/>
  <c r="D772" i="3" s="1"/>
  <c r="A135" i="8"/>
  <c r="A136" i="9"/>
  <c r="A1093" i="3" l="1"/>
  <c r="D136" i="9"/>
  <c r="D1093" i="3" s="1"/>
  <c r="C136" i="9"/>
  <c r="C1093" i="3" s="1"/>
  <c r="B136" i="9"/>
  <c r="B1093" i="3" s="1"/>
  <c r="A773" i="3"/>
  <c r="B135" i="8"/>
  <c r="B773" i="3" s="1"/>
  <c r="C135" i="8"/>
  <c r="C773" i="3" s="1"/>
  <c r="D135" i="8"/>
  <c r="D773" i="3" s="1"/>
  <c r="A136" i="8"/>
  <c r="A137" i="9"/>
  <c r="A1094" i="3" l="1"/>
  <c r="C137" i="9"/>
  <c r="C1094" i="3" s="1"/>
  <c r="D137" i="9"/>
  <c r="D1094" i="3" s="1"/>
  <c r="B137" i="9"/>
  <c r="B1094" i="3" s="1"/>
  <c r="A774" i="3"/>
  <c r="C136" i="8"/>
  <c r="C774" i="3" s="1"/>
  <c r="D136" i="8"/>
  <c r="D774" i="3" s="1"/>
  <c r="B136" i="8"/>
  <c r="B774" i="3" s="1"/>
  <c r="A137" i="8"/>
  <c r="A138" i="9"/>
  <c r="A1095" i="3" l="1"/>
  <c r="C138" i="9"/>
  <c r="C1095" i="3" s="1"/>
  <c r="D138" i="9"/>
  <c r="D1095" i="3" s="1"/>
  <c r="B138" i="9"/>
  <c r="B1095" i="3" s="1"/>
  <c r="A775" i="3"/>
  <c r="C137" i="8"/>
  <c r="C775" i="3" s="1"/>
  <c r="D137" i="8"/>
  <c r="D775" i="3" s="1"/>
  <c r="B137" i="8"/>
  <c r="B775" i="3" s="1"/>
  <c r="A138" i="8"/>
  <c r="A139" i="9"/>
  <c r="A1096" i="3" l="1"/>
  <c r="D139" i="9"/>
  <c r="D1096" i="3" s="1"/>
  <c r="C139" i="9"/>
  <c r="C1096" i="3" s="1"/>
  <c r="B139" i="9"/>
  <c r="B1096" i="3" s="1"/>
  <c r="A776" i="3"/>
  <c r="C138" i="8"/>
  <c r="C776" i="3" s="1"/>
  <c r="D138" i="8"/>
  <c r="D776" i="3" s="1"/>
  <c r="B138" i="8"/>
  <c r="B776" i="3" s="1"/>
  <c r="A139" i="8"/>
  <c r="A140" i="9"/>
  <c r="A1097" i="3" l="1"/>
  <c r="D140" i="9"/>
  <c r="D1097" i="3" s="1"/>
  <c r="C140" i="9"/>
  <c r="C1097" i="3" s="1"/>
  <c r="B140" i="9"/>
  <c r="B1097" i="3" s="1"/>
  <c r="A777" i="3"/>
  <c r="D139" i="8"/>
  <c r="D777" i="3" s="1"/>
  <c r="C139" i="8"/>
  <c r="C777" i="3" s="1"/>
  <c r="B139" i="8"/>
  <c r="B777" i="3" s="1"/>
  <c r="A140" i="8"/>
  <c r="A141" i="9"/>
  <c r="A1098" i="3" l="1"/>
  <c r="C141" i="9"/>
  <c r="C1098" i="3" s="1"/>
  <c r="D141" i="9"/>
  <c r="D1098" i="3" s="1"/>
  <c r="B141" i="9"/>
  <c r="B1098" i="3" s="1"/>
  <c r="A778" i="3"/>
  <c r="D140" i="8"/>
  <c r="D778" i="3" s="1"/>
  <c r="B140" i="8"/>
  <c r="B778" i="3" s="1"/>
  <c r="C140" i="8"/>
  <c r="C778" i="3" s="1"/>
  <c r="A141" i="8"/>
  <c r="A142" i="9"/>
  <c r="A1099" i="3" l="1"/>
  <c r="D142" i="9"/>
  <c r="D1099" i="3" s="1"/>
  <c r="C142" i="9"/>
  <c r="C1099" i="3" s="1"/>
  <c r="B142" i="9"/>
  <c r="B1099" i="3" s="1"/>
  <c r="A779" i="3"/>
  <c r="C141" i="8"/>
  <c r="C779" i="3" s="1"/>
  <c r="D141" i="8"/>
  <c r="D779" i="3" s="1"/>
  <c r="B141" i="8"/>
  <c r="B779" i="3" s="1"/>
  <c r="A142" i="8"/>
  <c r="A143" i="9"/>
  <c r="A1100" i="3" l="1"/>
  <c r="C143" i="9"/>
  <c r="C1100" i="3" s="1"/>
  <c r="D143" i="9"/>
  <c r="D1100" i="3" s="1"/>
  <c r="B143" i="9"/>
  <c r="B1100" i="3" s="1"/>
  <c r="A780" i="3"/>
  <c r="C142" i="8"/>
  <c r="C780" i="3" s="1"/>
  <c r="D142" i="8"/>
  <c r="D780" i="3" s="1"/>
  <c r="B142" i="8"/>
  <c r="B780" i="3" s="1"/>
  <c r="A143" i="8"/>
  <c r="A144" i="9"/>
  <c r="A1101" i="3" l="1"/>
  <c r="D144" i="9"/>
  <c r="D1101" i="3" s="1"/>
  <c r="C144" i="9"/>
  <c r="C1101" i="3" s="1"/>
  <c r="B144" i="9"/>
  <c r="B1101" i="3" s="1"/>
  <c r="A781" i="3"/>
  <c r="D143" i="8"/>
  <c r="D781" i="3" s="1"/>
  <c r="C143" i="8"/>
  <c r="C781" i="3" s="1"/>
  <c r="B143" i="8"/>
  <c r="B781" i="3" s="1"/>
  <c r="A144" i="8"/>
  <c r="A145" i="9"/>
  <c r="A1102" i="3" l="1"/>
  <c r="B145" i="9"/>
  <c r="B1102" i="3" s="1"/>
  <c r="C145" i="9"/>
  <c r="C1102" i="3" s="1"/>
  <c r="D145" i="9"/>
  <c r="D1102" i="3" s="1"/>
  <c r="A782" i="3"/>
  <c r="C144" i="8"/>
  <c r="C782" i="3" s="1"/>
  <c r="D144" i="8"/>
  <c r="D782" i="3" s="1"/>
  <c r="B144" i="8"/>
  <c r="B782" i="3" s="1"/>
  <c r="A145" i="8"/>
  <c r="A146" i="9"/>
  <c r="A1103" i="3" l="1"/>
  <c r="C146" i="9"/>
  <c r="C1103" i="3" s="1"/>
  <c r="B146" i="9"/>
  <c r="B1103" i="3" s="1"/>
  <c r="D146" i="9"/>
  <c r="D1103" i="3" s="1"/>
  <c r="A783" i="3"/>
  <c r="C145" i="8"/>
  <c r="C783" i="3" s="1"/>
  <c r="B145" i="8"/>
  <c r="B783" i="3" s="1"/>
  <c r="D145" i="8"/>
  <c r="D783" i="3" s="1"/>
  <c r="A146" i="8"/>
  <c r="A147" i="9"/>
  <c r="A1104" i="3" l="1"/>
  <c r="C147" i="9"/>
  <c r="C1104" i="3" s="1"/>
  <c r="B147" i="9"/>
  <c r="B1104" i="3" s="1"/>
  <c r="D147" i="9"/>
  <c r="D1104" i="3" s="1"/>
  <c r="A784" i="3"/>
  <c r="C146" i="8"/>
  <c r="C784" i="3" s="1"/>
  <c r="B146" i="8"/>
  <c r="B784" i="3" s="1"/>
  <c r="D146" i="8"/>
  <c r="D784" i="3" s="1"/>
  <c r="A147" i="8"/>
  <c r="A148" i="9"/>
  <c r="A1105" i="3" l="1"/>
  <c r="C148" i="9"/>
  <c r="C1105" i="3" s="1"/>
  <c r="B148" i="9"/>
  <c r="B1105" i="3" s="1"/>
  <c r="D148" i="9"/>
  <c r="D1105" i="3" s="1"/>
  <c r="A785" i="3"/>
  <c r="B147" i="8"/>
  <c r="B785" i="3" s="1"/>
  <c r="C147" i="8"/>
  <c r="C785" i="3" s="1"/>
  <c r="D147" i="8"/>
  <c r="D785" i="3" s="1"/>
  <c r="A148" i="8"/>
  <c r="A149" i="9"/>
  <c r="A1106" i="3" l="1"/>
  <c r="C149" i="9"/>
  <c r="C1106" i="3" s="1"/>
  <c r="B149" i="9"/>
  <c r="B1106" i="3" s="1"/>
  <c r="D149" i="9"/>
  <c r="D1106" i="3" s="1"/>
  <c r="A786" i="3"/>
  <c r="B148" i="8"/>
  <c r="B786" i="3" s="1"/>
  <c r="C148" i="8"/>
  <c r="C786" i="3" s="1"/>
  <c r="D148" i="8"/>
  <c r="D786" i="3" s="1"/>
  <c r="A149" i="8"/>
  <c r="A150" i="9"/>
  <c r="A787" i="3" l="1"/>
  <c r="C149" i="8"/>
  <c r="C787" i="3" s="1"/>
  <c r="B149" i="8"/>
  <c r="B787" i="3" s="1"/>
  <c r="D149" i="8"/>
  <c r="D787" i="3" s="1"/>
  <c r="A150" i="8"/>
  <c r="A1107" i="3"/>
  <c r="C150" i="9"/>
  <c r="C1107" i="3" s="1"/>
  <c r="B150" i="9"/>
  <c r="B1107" i="3" s="1"/>
  <c r="D150" i="9"/>
  <c r="D1107" i="3" s="1"/>
  <c r="A151" i="9"/>
  <c r="A788" i="3" l="1"/>
  <c r="C150" i="8"/>
  <c r="C788" i="3" s="1"/>
  <c r="B150" i="8"/>
  <c r="B788" i="3" s="1"/>
  <c r="D150" i="8"/>
  <c r="D788" i="3" s="1"/>
  <c r="A151" i="8"/>
  <c r="A1108" i="3"/>
  <c r="D151" i="9"/>
  <c r="D1108" i="3" s="1"/>
  <c r="C151" i="9"/>
  <c r="C1108" i="3" s="1"/>
  <c r="B151" i="9"/>
  <c r="B1108" i="3" s="1"/>
  <c r="A152" i="9"/>
  <c r="A789" i="3" l="1"/>
  <c r="C151" i="8"/>
  <c r="C789" i="3" s="1"/>
  <c r="D151" i="8"/>
  <c r="D789" i="3" s="1"/>
  <c r="B151" i="8"/>
  <c r="B789" i="3" s="1"/>
  <c r="A152" i="8"/>
  <c r="A1109" i="3"/>
  <c r="C152" i="9"/>
  <c r="C1109" i="3" s="1"/>
  <c r="B152" i="9"/>
  <c r="B1109" i="3" s="1"/>
  <c r="D152" i="9"/>
  <c r="D1109" i="3" s="1"/>
  <c r="A153" i="9"/>
  <c r="A790" i="3" l="1"/>
  <c r="D152" i="8"/>
  <c r="D790" i="3" s="1"/>
  <c r="C152" i="8"/>
  <c r="C790" i="3" s="1"/>
  <c r="B152" i="8"/>
  <c r="B790" i="3" s="1"/>
  <c r="A153" i="8"/>
  <c r="A1110" i="3"/>
  <c r="C153" i="9"/>
  <c r="C1110" i="3" s="1"/>
  <c r="B153" i="9"/>
  <c r="B1110" i="3" s="1"/>
  <c r="D153" i="9"/>
  <c r="D1110" i="3" s="1"/>
  <c r="A154" i="9"/>
  <c r="A791" i="3" l="1"/>
  <c r="C153" i="8"/>
  <c r="C791" i="3" s="1"/>
  <c r="B153" i="8"/>
  <c r="B791" i="3" s="1"/>
  <c r="D153" i="8"/>
  <c r="D791" i="3" s="1"/>
  <c r="A154" i="8"/>
  <c r="A1111" i="3"/>
  <c r="C154" i="9"/>
  <c r="C1111" i="3" s="1"/>
  <c r="B154" i="9"/>
  <c r="B1111" i="3" s="1"/>
  <c r="D154" i="9"/>
  <c r="D1111" i="3" s="1"/>
  <c r="A155" i="9"/>
  <c r="A792" i="3" l="1"/>
  <c r="C154" i="8"/>
  <c r="C792" i="3" s="1"/>
  <c r="B154" i="8"/>
  <c r="B792" i="3" s="1"/>
  <c r="D154" i="8"/>
  <c r="D792" i="3" s="1"/>
  <c r="A155" i="8"/>
  <c r="A1112" i="3"/>
  <c r="C155" i="9"/>
  <c r="C1112" i="3" s="1"/>
  <c r="B155" i="9"/>
  <c r="B1112" i="3" s="1"/>
  <c r="D155" i="9"/>
  <c r="D1112" i="3" s="1"/>
  <c r="A156" i="9"/>
  <c r="A793" i="3" l="1"/>
  <c r="C155" i="8"/>
  <c r="C793" i="3" s="1"/>
  <c r="B155" i="8"/>
  <c r="B793" i="3" s="1"/>
  <c r="D155" i="8"/>
  <c r="D793" i="3" s="1"/>
  <c r="A156" i="8"/>
  <c r="A1113" i="3"/>
  <c r="C156" i="9"/>
  <c r="C1113" i="3" s="1"/>
  <c r="B156" i="9"/>
  <c r="B1113" i="3" s="1"/>
  <c r="D156" i="9"/>
  <c r="D1113" i="3" s="1"/>
  <c r="A157" i="9"/>
  <c r="A794" i="3" l="1"/>
  <c r="C156" i="8"/>
  <c r="C794" i="3" s="1"/>
  <c r="B156" i="8"/>
  <c r="B794" i="3" s="1"/>
  <c r="D156" i="8"/>
  <c r="D794" i="3" s="1"/>
  <c r="A157" i="8"/>
  <c r="A1114" i="3"/>
  <c r="C157" i="9"/>
  <c r="C1114" i="3" s="1"/>
  <c r="B157" i="9"/>
  <c r="B1114" i="3" s="1"/>
  <c r="D157" i="9"/>
  <c r="D1114" i="3" s="1"/>
  <c r="A158" i="9"/>
  <c r="A795" i="3" l="1"/>
  <c r="C157" i="8"/>
  <c r="C795" i="3" s="1"/>
  <c r="B157" i="8"/>
  <c r="B795" i="3" s="1"/>
  <c r="D157" i="8"/>
  <c r="D795" i="3" s="1"/>
  <c r="A158" i="8"/>
  <c r="A1115" i="3"/>
  <c r="C158" i="9"/>
  <c r="C1115" i="3" s="1"/>
  <c r="B158" i="9"/>
  <c r="B1115" i="3" s="1"/>
  <c r="D158" i="9"/>
  <c r="D1115" i="3" s="1"/>
  <c r="A159" i="9"/>
  <c r="A796" i="3" l="1"/>
  <c r="C158" i="8"/>
  <c r="C796" i="3" s="1"/>
  <c r="B158" i="8"/>
  <c r="B796" i="3" s="1"/>
  <c r="D158" i="8"/>
  <c r="D796" i="3" s="1"/>
  <c r="A159" i="8"/>
  <c r="A1116" i="3"/>
  <c r="C159" i="9"/>
  <c r="C1116" i="3" s="1"/>
  <c r="B159" i="9"/>
  <c r="B1116" i="3" s="1"/>
  <c r="D159" i="9"/>
  <c r="D1116" i="3" s="1"/>
  <c r="A160" i="9"/>
  <c r="A797" i="3" l="1"/>
  <c r="C159" i="8"/>
  <c r="C797" i="3" s="1"/>
  <c r="B159" i="8"/>
  <c r="B797" i="3" s="1"/>
  <c r="D159" i="8"/>
  <c r="D797" i="3" s="1"/>
  <c r="A160" i="8"/>
  <c r="A1117" i="3"/>
  <c r="C160" i="9"/>
  <c r="C1117" i="3" s="1"/>
  <c r="B160" i="9"/>
  <c r="B1117" i="3" s="1"/>
  <c r="D160" i="9"/>
  <c r="D1117" i="3" s="1"/>
  <c r="A161" i="9"/>
  <c r="A798" i="3" l="1"/>
  <c r="C160" i="8"/>
  <c r="C798" i="3" s="1"/>
  <c r="B160" i="8"/>
  <c r="B798" i="3" s="1"/>
  <c r="D160" i="8"/>
  <c r="D798" i="3" s="1"/>
  <c r="A161" i="8"/>
  <c r="A1118" i="3"/>
  <c r="C161" i="9"/>
  <c r="C1118" i="3" s="1"/>
  <c r="D161" i="9"/>
  <c r="D1118" i="3" s="1"/>
  <c r="B161" i="9"/>
  <c r="B1118" i="3" s="1"/>
  <c r="A162" i="9"/>
  <c r="A799" i="3" l="1"/>
  <c r="B161" i="8"/>
  <c r="B799" i="3" s="1"/>
  <c r="C161" i="8"/>
  <c r="C799" i="3" s="1"/>
  <c r="D161" i="8"/>
  <c r="D799" i="3" s="1"/>
  <c r="A162" i="8"/>
  <c r="A1119" i="3"/>
  <c r="C162" i="9"/>
  <c r="C1119" i="3" s="1"/>
  <c r="D162" i="9"/>
  <c r="D1119" i="3" s="1"/>
  <c r="B162" i="9"/>
  <c r="B1119" i="3" s="1"/>
  <c r="A163" i="9"/>
  <c r="A800" i="3" l="1"/>
  <c r="B162" i="8"/>
  <c r="B800" i="3" s="1"/>
  <c r="C162" i="8"/>
  <c r="C800" i="3" s="1"/>
  <c r="D162" i="8"/>
  <c r="D800" i="3" s="1"/>
  <c r="A163" i="8"/>
  <c r="A1120" i="3"/>
  <c r="C163" i="9"/>
  <c r="C1120" i="3" s="1"/>
  <c r="B163" i="9"/>
  <c r="B1120" i="3" s="1"/>
  <c r="D163" i="9"/>
  <c r="D1120" i="3" s="1"/>
  <c r="A164" i="9"/>
  <c r="A801" i="3" l="1"/>
  <c r="C163" i="8"/>
  <c r="C801" i="3" s="1"/>
  <c r="B163" i="8"/>
  <c r="B801" i="3" s="1"/>
  <c r="D163" i="8"/>
  <c r="D801" i="3" s="1"/>
  <c r="A164" i="8"/>
  <c r="A1121" i="3"/>
  <c r="C164" i="9"/>
  <c r="C1121" i="3" s="1"/>
  <c r="B164" i="9"/>
  <c r="B1121" i="3" s="1"/>
  <c r="D164" i="9"/>
  <c r="D1121" i="3" s="1"/>
  <c r="A165" i="9"/>
  <c r="A802" i="3" l="1"/>
  <c r="C164" i="8"/>
  <c r="C802" i="3" s="1"/>
  <c r="B164" i="8"/>
  <c r="B802" i="3" s="1"/>
  <c r="D164" i="8"/>
  <c r="D802" i="3" s="1"/>
  <c r="A165" i="8"/>
  <c r="A1122" i="3"/>
  <c r="C165" i="9"/>
  <c r="C1122" i="3" s="1"/>
  <c r="B165" i="9"/>
  <c r="B1122" i="3" s="1"/>
  <c r="D165" i="9"/>
  <c r="D1122" i="3" s="1"/>
  <c r="A166" i="9"/>
  <c r="A803" i="3" l="1"/>
  <c r="C165" i="8"/>
  <c r="C803" i="3" s="1"/>
  <c r="B165" i="8"/>
  <c r="B803" i="3" s="1"/>
  <c r="D165" i="8"/>
  <c r="D803" i="3" s="1"/>
  <c r="A166" i="8"/>
  <c r="A1123" i="3"/>
  <c r="C166" i="9"/>
  <c r="C1123" i="3" s="1"/>
  <c r="B166" i="9"/>
  <c r="B1123" i="3" s="1"/>
  <c r="D166" i="9"/>
  <c r="D1123" i="3" s="1"/>
  <c r="A167" i="9"/>
  <c r="A804" i="3" l="1"/>
  <c r="C166" i="8"/>
  <c r="C804" i="3" s="1"/>
  <c r="B166" i="8"/>
  <c r="B804" i="3" s="1"/>
  <c r="D166" i="8"/>
  <c r="D804" i="3" s="1"/>
  <c r="A167" i="8"/>
  <c r="A1124" i="3"/>
  <c r="B167" i="9"/>
  <c r="B1124" i="3" s="1"/>
  <c r="C167" i="9"/>
  <c r="C1124" i="3" s="1"/>
  <c r="D167" i="9"/>
  <c r="D1124" i="3" s="1"/>
  <c r="A168" i="9"/>
  <c r="A805" i="3" l="1"/>
  <c r="C167" i="8"/>
  <c r="C805" i="3" s="1"/>
  <c r="B167" i="8"/>
  <c r="B805" i="3" s="1"/>
  <c r="D167" i="8"/>
  <c r="D805" i="3" s="1"/>
  <c r="A168" i="8"/>
  <c r="A1125" i="3"/>
  <c r="B168" i="9"/>
  <c r="B1125" i="3" s="1"/>
  <c r="C168" i="9"/>
  <c r="C1125" i="3" s="1"/>
  <c r="D168" i="9"/>
  <c r="D1125" i="3" s="1"/>
  <c r="A169" i="9"/>
  <c r="A806" i="3" l="1"/>
  <c r="C168" i="8"/>
  <c r="C806" i="3" s="1"/>
  <c r="B168" i="8"/>
  <c r="B806" i="3" s="1"/>
  <c r="D168" i="8"/>
  <c r="D806" i="3" s="1"/>
  <c r="A169" i="8"/>
  <c r="A1126" i="3"/>
  <c r="B169" i="9"/>
  <c r="B1126" i="3" s="1"/>
  <c r="C169" i="9"/>
  <c r="C1126" i="3" s="1"/>
  <c r="D169" i="9"/>
  <c r="D1126" i="3" s="1"/>
  <c r="A170" i="9"/>
  <c r="A807" i="3" l="1"/>
  <c r="C169" i="8"/>
  <c r="C807" i="3" s="1"/>
  <c r="B169" i="8"/>
  <c r="B807" i="3" s="1"/>
  <c r="D169" i="8"/>
  <c r="D807" i="3" s="1"/>
  <c r="A170" i="8"/>
  <c r="A1127" i="3"/>
  <c r="C170" i="9"/>
  <c r="C1127" i="3" s="1"/>
  <c r="B170" i="9"/>
  <c r="B1127" i="3" s="1"/>
  <c r="D170" i="9"/>
  <c r="D1127" i="3" s="1"/>
  <c r="A171" i="9"/>
  <c r="A808" i="3" l="1"/>
  <c r="C170" i="8"/>
  <c r="C808" i="3" s="1"/>
  <c r="B170" i="8"/>
  <c r="B808" i="3" s="1"/>
  <c r="D170" i="8"/>
  <c r="D808" i="3" s="1"/>
  <c r="A171" i="8"/>
  <c r="A1128" i="3"/>
  <c r="C171" i="9"/>
  <c r="C1128" i="3" s="1"/>
  <c r="B171" i="9"/>
  <c r="B1128" i="3" s="1"/>
  <c r="D171" i="9"/>
  <c r="D1128" i="3" s="1"/>
  <c r="A172" i="9"/>
  <c r="A809" i="3" l="1"/>
  <c r="B171" i="8"/>
  <c r="B809" i="3" s="1"/>
  <c r="C171" i="8"/>
  <c r="C809" i="3" s="1"/>
  <c r="D171" i="8"/>
  <c r="D809" i="3" s="1"/>
  <c r="A172" i="8"/>
  <c r="A1129" i="3"/>
  <c r="C172" i="9"/>
  <c r="C1129" i="3" s="1"/>
  <c r="B172" i="9"/>
  <c r="B1129" i="3" s="1"/>
  <c r="D172" i="9"/>
  <c r="D1129" i="3" s="1"/>
  <c r="A173" i="9"/>
  <c r="A810" i="3" l="1"/>
  <c r="C172" i="8"/>
  <c r="C810" i="3" s="1"/>
  <c r="B172" i="8"/>
  <c r="B810" i="3" s="1"/>
  <c r="D172" i="8"/>
  <c r="D810" i="3" s="1"/>
  <c r="A173" i="8"/>
  <c r="A1130" i="3"/>
  <c r="B173" i="9"/>
  <c r="B1130" i="3" s="1"/>
  <c r="C173" i="9"/>
  <c r="C1130" i="3" s="1"/>
  <c r="D173" i="9"/>
  <c r="D1130" i="3" s="1"/>
  <c r="A174" i="9"/>
  <c r="A811" i="3" l="1"/>
  <c r="C173" i="8"/>
  <c r="C811" i="3" s="1"/>
  <c r="B173" i="8"/>
  <c r="B811" i="3" s="1"/>
  <c r="D173" i="8"/>
  <c r="D811" i="3" s="1"/>
  <c r="A174" i="8"/>
  <c r="A1131" i="3"/>
  <c r="B174" i="9"/>
  <c r="B1131" i="3" s="1"/>
  <c r="C174" i="9"/>
  <c r="C1131" i="3" s="1"/>
  <c r="D174" i="9"/>
  <c r="D1131" i="3" s="1"/>
  <c r="A175" i="9"/>
  <c r="A812" i="3" l="1"/>
  <c r="C174" i="8"/>
  <c r="C812" i="3" s="1"/>
  <c r="B174" i="8"/>
  <c r="B812" i="3" s="1"/>
  <c r="D174" i="8"/>
  <c r="D812" i="3" s="1"/>
  <c r="A175" i="8"/>
  <c r="A1132" i="3"/>
  <c r="C175" i="9"/>
  <c r="C1132" i="3" s="1"/>
  <c r="B175" i="9"/>
  <c r="B1132" i="3" s="1"/>
  <c r="D175" i="9"/>
  <c r="D1132" i="3" s="1"/>
  <c r="A176" i="9"/>
  <c r="A813" i="3" l="1"/>
  <c r="C175" i="8"/>
  <c r="C813" i="3" s="1"/>
  <c r="B175" i="8"/>
  <c r="B813" i="3" s="1"/>
  <c r="D175" i="8"/>
  <c r="D813" i="3" s="1"/>
  <c r="A176" i="8"/>
  <c r="A1133" i="3"/>
  <c r="C176" i="9"/>
  <c r="C1133" i="3" s="1"/>
  <c r="B176" i="9"/>
  <c r="B1133" i="3" s="1"/>
  <c r="D176" i="9"/>
  <c r="D1133" i="3" s="1"/>
  <c r="A177" i="9"/>
  <c r="A814" i="3" l="1"/>
  <c r="C176" i="8"/>
  <c r="C814" i="3" s="1"/>
  <c r="B176" i="8"/>
  <c r="B814" i="3" s="1"/>
  <c r="D176" i="8"/>
  <c r="D814" i="3" s="1"/>
  <c r="A177" i="8"/>
  <c r="A1134" i="3"/>
  <c r="B177" i="9"/>
  <c r="B1134" i="3" s="1"/>
  <c r="C177" i="9"/>
  <c r="C1134" i="3" s="1"/>
  <c r="D177" i="9"/>
  <c r="D1134" i="3" s="1"/>
  <c r="A178" i="9"/>
  <c r="A815" i="3" l="1"/>
  <c r="C177" i="8"/>
  <c r="C815" i="3" s="1"/>
  <c r="B177" i="8"/>
  <c r="B815" i="3" s="1"/>
  <c r="D177" i="8"/>
  <c r="D815" i="3" s="1"/>
  <c r="A178" i="8"/>
  <c r="A1135" i="3"/>
  <c r="B178" i="9"/>
  <c r="B1135" i="3" s="1"/>
  <c r="C178" i="9"/>
  <c r="C1135" i="3" s="1"/>
  <c r="D178" i="9"/>
  <c r="D1135" i="3" s="1"/>
  <c r="A179" i="9"/>
  <c r="A816" i="3" l="1"/>
  <c r="B178" i="8"/>
  <c r="B816" i="3" s="1"/>
  <c r="C178" i="8"/>
  <c r="C816" i="3" s="1"/>
  <c r="D178" i="8"/>
  <c r="D816" i="3" s="1"/>
  <c r="A179" i="8"/>
  <c r="A1136" i="3"/>
  <c r="B179" i="9"/>
  <c r="B1136" i="3" s="1"/>
  <c r="C179" i="9"/>
  <c r="C1136" i="3" s="1"/>
  <c r="D179" i="9"/>
  <c r="D1136" i="3" s="1"/>
  <c r="A180" i="9"/>
  <c r="A817" i="3" l="1"/>
  <c r="B179" i="8"/>
  <c r="B817" i="3" s="1"/>
  <c r="C179" i="8"/>
  <c r="C817" i="3" s="1"/>
  <c r="D179" i="8"/>
  <c r="D817" i="3" s="1"/>
  <c r="A180" i="8"/>
  <c r="A1137" i="3"/>
  <c r="B180" i="9"/>
  <c r="B1137" i="3" s="1"/>
  <c r="C180" i="9"/>
  <c r="C1137" i="3" s="1"/>
  <c r="D180" i="9"/>
  <c r="D1137" i="3" s="1"/>
  <c r="A181" i="9"/>
  <c r="A818" i="3" l="1"/>
  <c r="C180" i="8"/>
  <c r="C818" i="3" s="1"/>
  <c r="B180" i="8"/>
  <c r="B818" i="3" s="1"/>
  <c r="D180" i="8"/>
  <c r="D818" i="3" s="1"/>
  <c r="A181" i="8"/>
  <c r="A1138" i="3"/>
  <c r="B181" i="9"/>
  <c r="B1138" i="3" s="1"/>
  <c r="C181" i="9"/>
  <c r="C1138" i="3" s="1"/>
  <c r="D181" i="9"/>
  <c r="D1138" i="3" s="1"/>
  <c r="A182" i="9"/>
  <c r="A819" i="3" l="1"/>
  <c r="C181" i="8"/>
  <c r="C819" i="3" s="1"/>
  <c r="B181" i="8"/>
  <c r="B819" i="3" s="1"/>
  <c r="D181" i="8"/>
  <c r="D819" i="3" s="1"/>
  <c r="A182" i="8"/>
  <c r="A1139" i="3"/>
  <c r="B182" i="9"/>
  <c r="B1139" i="3" s="1"/>
  <c r="C182" i="9"/>
  <c r="C1139" i="3" s="1"/>
  <c r="D182" i="9"/>
  <c r="D1139" i="3" s="1"/>
  <c r="A183" i="9"/>
  <c r="A820" i="3" l="1"/>
  <c r="B182" i="8"/>
  <c r="B820" i="3" s="1"/>
  <c r="C182" i="8"/>
  <c r="C820" i="3" s="1"/>
  <c r="D182" i="8"/>
  <c r="D820" i="3" s="1"/>
  <c r="A183" i="8"/>
  <c r="A1140" i="3"/>
  <c r="C183" i="9"/>
  <c r="C1140" i="3" s="1"/>
  <c r="B183" i="9"/>
  <c r="B1140" i="3" s="1"/>
  <c r="D183" i="9"/>
  <c r="D1140" i="3" s="1"/>
  <c r="A184" i="9"/>
  <c r="A821" i="3" l="1"/>
  <c r="B183" i="8"/>
  <c r="B821" i="3" s="1"/>
  <c r="C183" i="8"/>
  <c r="C821" i="3" s="1"/>
  <c r="D183" i="8"/>
  <c r="D821" i="3" s="1"/>
  <c r="A184" i="8"/>
  <c r="A1141" i="3"/>
  <c r="C184" i="9"/>
  <c r="C1141" i="3" s="1"/>
  <c r="B184" i="9"/>
  <c r="B1141" i="3" s="1"/>
  <c r="D184" i="9"/>
  <c r="D1141" i="3" s="1"/>
  <c r="A185" i="9"/>
  <c r="A822" i="3" l="1"/>
  <c r="B184" i="8"/>
  <c r="B822" i="3" s="1"/>
  <c r="C184" i="8"/>
  <c r="C822" i="3" s="1"/>
  <c r="D184" i="8"/>
  <c r="D822" i="3" s="1"/>
  <c r="A185" i="8"/>
  <c r="A1142" i="3"/>
  <c r="C185" i="9"/>
  <c r="C1142" i="3" s="1"/>
  <c r="B185" i="9"/>
  <c r="B1142" i="3" s="1"/>
  <c r="D185" i="9"/>
  <c r="D1142" i="3" s="1"/>
  <c r="A186" i="9"/>
  <c r="A823" i="3" l="1"/>
  <c r="B185" i="8"/>
  <c r="B823" i="3" s="1"/>
  <c r="C185" i="8"/>
  <c r="C823" i="3" s="1"/>
  <c r="D185" i="8"/>
  <c r="D823" i="3" s="1"/>
  <c r="A186" i="8"/>
  <c r="A1143" i="3"/>
  <c r="C186" i="9"/>
  <c r="C1143" i="3" s="1"/>
  <c r="B186" i="9"/>
  <c r="B1143" i="3" s="1"/>
  <c r="D186" i="9"/>
  <c r="D1143" i="3" s="1"/>
  <c r="A187" i="9"/>
  <c r="A824" i="3" l="1"/>
  <c r="B186" i="8"/>
  <c r="B824" i="3" s="1"/>
  <c r="C186" i="8"/>
  <c r="C824" i="3" s="1"/>
  <c r="D186" i="8"/>
  <c r="D824" i="3" s="1"/>
  <c r="A187" i="8"/>
  <c r="A1144" i="3"/>
  <c r="B187" i="9"/>
  <c r="B1144" i="3" s="1"/>
  <c r="C187" i="9"/>
  <c r="C1144" i="3" s="1"/>
  <c r="D187" i="9"/>
  <c r="D1144" i="3" s="1"/>
  <c r="A188" i="9"/>
  <c r="A825" i="3" l="1"/>
  <c r="C187" i="8"/>
  <c r="C825" i="3" s="1"/>
  <c r="B187" i="8"/>
  <c r="B825" i="3" s="1"/>
  <c r="D187" i="8"/>
  <c r="D825" i="3" s="1"/>
  <c r="A188" i="8"/>
  <c r="A1145" i="3"/>
  <c r="B188" i="9"/>
  <c r="B1145" i="3" s="1"/>
  <c r="C188" i="9"/>
  <c r="C1145" i="3" s="1"/>
  <c r="D188" i="9"/>
  <c r="D1145" i="3" s="1"/>
  <c r="A189" i="9"/>
  <c r="A826" i="3" l="1"/>
  <c r="B188" i="8"/>
  <c r="B826" i="3" s="1"/>
  <c r="C188" i="8"/>
  <c r="C826" i="3" s="1"/>
  <c r="D188" i="8"/>
  <c r="D826" i="3" s="1"/>
  <c r="A189" i="8"/>
  <c r="A1146" i="3"/>
  <c r="C189" i="9"/>
  <c r="C1146" i="3" s="1"/>
  <c r="B189" i="9"/>
  <c r="B1146" i="3" s="1"/>
  <c r="D189" i="9"/>
  <c r="D1146" i="3" s="1"/>
  <c r="A190" i="9"/>
  <c r="A827" i="3" l="1"/>
  <c r="B189" i="8"/>
  <c r="B827" i="3" s="1"/>
  <c r="C189" i="8"/>
  <c r="C827" i="3" s="1"/>
  <c r="D189" i="8"/>
  <c r="D827" i="3" s="1"/>
  <c r="A190" i="8"/>
  <c r="A1147" i="3"/>
  <c r="B190" i="9"/>
  <c r="B1147" i="3" s="1"/>
  <c r="C190" i="9"/>
  <c r="C1147" i="3" s="1"/>
  <c r="D190" i="9"/>
  <c r="D1147" i="3" s="1"/>
  <c r="A191" i="9"/>
  <c r="A828" i="3" l="1"/>
  <c r="B190" i="8"/>
  <c r="B828" i="3" s="1"/>
  <c r="C190" i="8"/>
  <c r="C828" i="3" s="1"/>
  <c r="D190" i="8"/>
  <c r="D828" i="3" s="1"/>
  <c r="A191" i="8"/>
  <c r="A1148" i="3"/>
  <c r="C191" i="9"/>
  <c r="C1148" i="3" s="1"/>
  <c r="B191" i="9"/>
  <c r="B1148" i="3" s="1"/>
  <c r="D191" i="9"/>
  <c r="D1148" i="3" s="1"/>
  <c r="A192" i="9"/>
  <c r="A829" i="3" l="1"/>
  <c r="B191" i="8"/>
  <c r="B829" i="3" s="1"/>
  <c r="C191" i="8"/>
  <c r="C829" i="3" s="1"/>
  <c r="D191" i="8"/>
  <c r="D829" i="3" s="1"/>
  <c r="A192" i="8"/>
  <c r="A1149" i="3"/>
  <c r="C192" i="9"/>
  <c r="C1149" i="3" s="1"/>
  <c r="B192" i="9"/>
  <c r="B1149" i="3" s="1"/>
  <c r="D192" i="9"/>
  <c r="D1149" i="3" s="1"/>
  <c r="A193" i="9"/>
  <c r="A830" i="3" l="1"/>
  <c r="B192" i="8"/>
  <c r="B830" i="3" s="1"/>
  <c r="C192" i="8"/>
  <c r="C830" i="3" s="1"/>
  <c r="D192" i="8"/>
  <c r="D830" i="3" s="1"/>
  <c r="A193" i="8"/>
  <c r="A1150" i="3"/>
  <c r="C193" i="9"/>
  <c r="C1150" i="3" s="1"/>
  <c r="B193" i="9"/>
  <c r="B1150" i="3" s="1"/>
  <c r="D193" i="9"/>
  <c r="D1150" i="3" s="1"/>
  <c r="A194" i="9"/>
  <c r="A831" i="3" l="1"/>
  <c r="C193" i="8"/>
  <c r="C831" i="3" s="1"/>
  <c r="B193" i="8"/>
  <c r="B831" i="3" s="1"/>
  <c r="D193" i="8"/>
  <c r="D831" i="3" s="1"/>
  <c r="A194" i="8"/>
  <c r="A1151" i="3"/>
  <c r="B194" i="9"/>
  <c r="B1151" i="3" s="1"/>
  <c r="C194" i="9"/>
  <c r="C1151" i="3" s="1"/>
  <c r="D194" i="9"/>
  <c r="D1151" i="3" s="1"/>
  <c r="A195" i="9"/>
  <c r="A832" i="3" l="1"/>
  <c r="B194" i="8"/>
  <c r="B832" i="3" s="1"/>
  <c r="C194" i="8"/>
  <c r="C832" i="3" s="1"/>
  <c r="D194" i="8"/>
  <c r="D832" i="3" s="1"/>
  <c r="A195" i="8"/>
  <c r="A1152" i="3"/>
  <c r="C195" i="9"/>
  <c r="C1152" i="3" s="1"/>
  <c r="B195" i="9"/>
  <c r="B1152" i="3" s="1"/>
  <c r="D195" i="9"/>
  <c r="D1152" i="3" s="1"/>
  <c r="A196" i="9"/>
  <c r="A833" i="3" l="1"/>
  <c r="C195" i="8"/>
  <c r="C833" i="3" s="1"/>
  <c r="B195" i="8"/>
  <c r="B833" i="3" s="1"/>
  <c r="D195" i="8"/>
  <c r="D833" i="3" s="1"/>
  <c r="A196" i="8"/>
  <c r="A1153" i="3"/>
  <c r="B196" i="9"/>
  <c r="B1153" i="3" s="1"/>
  <c r="C196" i="9"/>
  <c r="C1153" i="3" s="1"/>
  <c r="D196" i="9"/>
  <c r="D1153" i="3" s="1"/>
  <c r="A197" i="9"/>
  <c r="A834" i="3" l="1"/>
  <c r="C196" i="8"/>
  <c r="C834" i="3" s="1"/>
  <c r="B196" i="8"/>
  <c r="B834" i="3" s="1"/>
  <c r="D196" i="8"/>
  <c r="D834" i="3" s="1"/>
  <c r="A197" i="8"/>
  <c r="A1154" i="3"/>
  <c r="B197" i="9"/>
  <c r="B1154" i="3" s="1"/>
  <c r="C197" i="9"/>
  <c r="C1154" i="3" s="1"/>
  <c r="D197" i="9"/>
  <c r="D1154" i="3" s="1"/>
  <c r="A198" i="9"/>
  <c r="A835" i="3" l="1"/>
  <c r="B197" i="8"/>
  <c r="B835" i="3" s="1"/>
  <c r="C197" i="8"/>
  <c r="C835" i="3" s="1"/>
  <c r="D197" i="8"/>
  <c r="D835" i="3" s="1"/>
  <c r="A198" i="8"/>
  <c r="A1155" i="3"/>
  <c r="C198" i="9"/>
  <c r="C1155" i="3" s="1"/>
  <c r="B198" i="9"/>
  <c r="B1155" i="3" s="1"/>
  <c r="D198" i="9"/>
  <c r="D1155" i="3" s="1"/>
  <c r="A199" i="9"/>
  <c r="A836" i="3" l="1"/>
  <c r="C198" i="8"/>
  <c r="C836" i="3" s="1"/>
  <c r="B198" i="8"/>
  <c r="B836" i="3" s="1"/>
  <c r="D198" i="8"/>
  <c r="D836" i="3" s="1"/>
  <c r="A199" i="8"/>
  <c r="A1156" i="3"/>
  <c r="B199" i="9"/>
  <c r="B1156" i="3" s="1"/>
  <c r="C199" i="9"/>
  <c r="C1156" i="3" s="1"/>
  <c r="D199" i="9"/>
  <c r="D1156" i="3" s="1"/>
  <c r="A200" i="9"/>
  <c r="A837" i="3" l="1"/>
  <c r="C199" i="8"/>
  <c r="C837" i="3" s="1"/>
  <c r="B199" i="8"/>
  <c r="B837" i="3" s="1"/>
  <c r="D199" i="8"/>
  <c r="D837" i="3" s="1"/>
  <c r="A200" i="8"/>
  <c r="A1157" i="3"/>
  <c r="B200" i="9"/>
  <c r="B1157" i="3" s="1"/>
  <c r="C200" i="9"/>
  <c r="C1157" i="3" s="1"/>
  <c r="D200" i="9"/>
  <c r="D1157" i="3" s="1"/>
  <c r="A201" i="9"/>
  <c r="A838" i="3" l="1"/>
  <c r="B200" i="8"/>
  <c r="B838" i="3" s="1"/>
  <c r="C200" i="8"/>
  <c r="C838" i="3" s="1"/>
  <c r="D200" i="8"/>
  <c r="D838" i="3" s="1"/>
  <c r="A201" i="8"/>
  <c r="A1158" i="3"/>
  <c r="C201" i="9"/>
  <c r="C1158" i="3" s="1"/>
  <c r="B201" i="9"/>
  <c r="B1158" i="3" s="1"/>
  <c r="D201" i="9"/>
  <c r="D1158" i="3" s="1"/>
  <c r="A202" i="9"/>
  <c r="A839" i="3" l="1"/>
  <c r="C201" i="8"/>
  <c r="C839" i="3" s="1"/>
  <c r="B201" i="8"/>
  <c r="B839" i="3" s="1"/>
  <c r="D201" i="8"/>
  <c r="D839" i="3" s="1"/>
  <c r="A202" i="8"/>
  <c r="A1159" i="3"/>
  <c r="C202" i="9"/>
  <c r="C1159" i="3" s="1"/>
  <c r="B202" i="9"/>
  <c r="B1159" i="3" s="1"/>
  <c r="D202" i="9"/>
  <c r="D1159" i="3" s="1"/>
  <c r="A203" i="9"/>
  <c r="A840" i="3" l="1"/>
  <c r="B202" i="8"/>
  <c r="B840" i="3" s="1"/>
  <c r="C202" i="8"/>
  <c r="C840" i="3" s="1"/>
  <c r="D202" i="8"/>
  <c r="D840" i="3" s="1"/>
  <c r="A203" i="8"/>
  <c r="A1160" i="3"/>
  <c r="C203" i="9"/>
  <c r="C1160" i="3" s="1"/>
  <c r="B203" i="9"/>
  <c r="B1160" i="3" s="1"/>
  <c r="D203" i="9"/>
  <c r="D1160" i="3" s="1"/>
  <c r="A204" i="9"/>
  <c r="A841" i="3" l="1"/>
  <c r="B203" i="8"/>
  <c r="B841" i="3" s="1"/>
  <c r="C203" i="8"/>
  <c r="C841" i="3" s="1"/>
  <c r="D203" i="8"/>
  <c r="D841" i="3" s="1"/>
  <c r="A204" i="8"/>
  <c r="A1161" i="3"/>
  <c r="C204" i="9"/>
  <c r="C1161" i="3" s="1"/>
  <c r="B204" i="9"/>
  <c r="B1161" i="3" s="1"/>
  <c r="D204" i="9"/>
  <c r="D1161" i="3" s="1"/>
  <c r="A205" i="9"/>
  <c r="A842" i="3" l="1"/>
  <c r="C204" i="8"/>
  <c r="C842" i="3" s="1"/>
  <c r="B204" i="8"/>
  <c r="B842" i="3" s="1"/>
  <c r="D204" i="8"/>
  <c r="D842" i="3" s="1"/>
  <c r="A205" i="8"/>
  <c r="A1162" i="3"/>
  <c r="B205" i="9"/>
  <c r="B1162" i="3" s="1"/>
  <c r="C205" i="9"/>
  <c r="C1162" i="3" s="1"/>
  <c r="D205" i="9"/>
  <c r="D1162" i="3" s="1"/>
  <c r="A206" i="9"/>
  <c r="A843" i="3" l="1"/>
  <c r="C205" i="8"/>
  <c r="C843" i="3" s="1"/>
  <c r="B205" i="8"/>
  <c r="B843" i="3" s="1"/>
  <c r="D205" i="8"/>
  <c r="D843" i="3" s="1"/>
  <c r="A206" i="8"/>
  <c r="A1163" i="3"/>
  <c r="B206" i="9"/>
  <c r="B1163" i="3" s="1"/>
  <c r="C206" i="9"/>
  <c r="C1163" i="3" s="1"/>
  <c r="D206" i="9"/>
  <c r="D1163" i="3" s="1"/>
  <c r="A207" i="9"/>
  <c r="A844" i="3" l="1"/>
  <c r="C206" i="8"/>
  <c r="C844" i="3" s="1"/>
  <c r="B206" i="8"/>
  <c r="B844" i="3" s="1"/>
  <c r="D206" i="8"/>
  <c r="D844" i="3" s="1"/>
  <c r="A207" i="8"/>
  <c r="A1164" i="3"/>
  <c r="C207" i="9"/>
  <c r="C1164" i="3" s="1"/>
  <c r="B207" i="9"/>
  <c r="B1164" i="3" s="1"/>
  <c r="D207" i="9"/>
  <c r="D1164" i="3" s="1"/>
  <c r="A208" i="9"/>
  <c r="A845" i="3" l="1"/>
  <c r="C207" i="8"/>
  <c r="C845" i="3" s="1"/>
  <c r="B207" i="8"/>
  <c r="B845" i="3" s="1"/>
  <c r="D207" i="8"/>
  <c r="D845" i="3" s="1"/>
  <c r="A208" i="8"/>
  <c r="A1165" i="3"/>
  <c r="C208" i="9"/>
  <c r="C1165" i="3" s="1"/>
  <c r="B208" i="9"/>
  <c r="B1165" i="3" s="1"/>
  <c r="D208" i="9"/>
  <c r="D1165" i="3" s="1"/>
  <c r="A209" i="9"/>
  <c r="A846" i="3" l="1"/>
  <c r="C208" i="8"/>
  <c r="C846" i="3" s="1"/>
  <c r="B208" i="8"/>
  <c r="B846" i="3" s="1"/>
  <c r="D208" i="8"/>
  <c r="D846" i="3" s="1"/>
  <c r="A209" i="8"/>
  <c r="A1166" i="3"/>
  <c r="C209" i="9"/>
  <c r="C1166" i="3" s="1"/>
  <c r="B209" i="9"/>
  <c r="B1166" i="3" s="1"/>
  <c r="D209" i="9"/>
  <c r="D1166" i="3" s="1"/>
  <c r="A210" i="9"/>
  <c r="A847" i="3" l="1"/>
  <c r="B209" i="8"/>
  <c r="B847" i="3" s="1"/>
  <c r="C209" i="8"/>
  <c r="C847" i="3" s="1"/>
  <c r="D209" i="8"/>
  <c r="D847" i="3" s="1"/>
  <c r="A210" i="8"/>
  <c r="A1167" i="3"/>
  <c r="B210" i="9"/>
  <c r="B1167" i="3" s="1"/>
  <c r="C210" i="9"/>
  <c r="C1167" i="3" s="1"/>
  <c r="D210" i="9"/>
  <c r="D1167" i="3" s="1"/>
  <c r="A211" i="9"/>
  <c r="A848" i="3" l="1"/>
  <c r="C210" i="8"/>
  <c r="C848" i="3" s="1"/>
  <c r="B210" i="8"/>
  <c r="B848" i="3" s="1"/>
  <c r="D210" i="8"/>
  <c r="D848" i="3" s="1"/>
  <c r="A211" i="8"/>
  <c r="A1168" i="3"/>
  <c r="B211" i="9"/>
  <c r="B1168" i="3" s="1"/>
  <c r="C211" i="9"/>
  <c r="C1168" i="3" s="1"/>
  <c r="D211" i="9"/>
  <c r="D1168" i="3" s="1"/>
  <c r="A212" i="9"/>
  <c r="A849" i="3" l="1"/>
  <c r="B211" i="8"/>
  <c r="B849" i="3" s="1"/>
  <c r="C211" i="8"/>
  <c r="C849" i="3" s="1"/>
  <c r="D211" i="8"/>
  <c r="D849" i="3" s="1"/>
  <c r="A212" i="8"/>
  <c r="A1169" i="3"/>
  <c r="C212" i="9"/>
  <c r="C1169" i="3" s="1"/>
  <c r="B212" i="9"/>
  <c r="B1169" i="3" s="1"/>
  <c r="D212" i="9"/>
  <c r="D1169" i="3" s="1"/>
  <c r="A213" i="9"/>
  <c r="A850" i="3" l="1"/>
  <c r="B212" i="8"/>
  <c r="B850" i="3" s="1"/>
  <c r="C212" i="8"/>
  <c r="C850" i="3" s="1"/>
  <c r="D212" i="8"/>
  <c r="D850" i="3" s="1"/>
  <c r="A213" i="8"/>
  <c r="A1170" i="3"/>
  <c r="C213" i="9"/>
  <c r="C1170" i="3" s="1"/>
  <c r="B213" i="9"/>
  <c r="B1170" i="3" s="1"/>
  <c r="D213" i="9"/>
  <c r="D1170" i="3" s="1"/>
  <c r="A214" i="9"/>
  <c r="A851" i="3" l="1"/>
  <c r="C213" i="8"/>
  <c r="C851" i="3" s="1"/>
  <c r="B213" i="8"/>
  <c r="B851" i="3" s="1"/>
  <c r="D213" i="8"/>
  <c r="D851" i="3" s="1"/>
  <c r="A214" i="8"/>
  <c r="A1171" i="3"/>
  <c r="C214" i="9"/>
  <c r="C1171" i="3" s="1"/>
  <c r="B214" i="9"/>
  <c r="B1171" i="3" s="1"/>
  <c r="D214" i="9"/>
  <c r="D1171" i="3" s="1"/>
  <c r="A215" i="9"/>
  <c r="A852" i="3" l="1"/>
  <c r="C214" i="8"/>
  <c r="C852" i="3" s="1"/>
  <c r="B214" i="8"/>
  <c r="B852" i="3" s="1"/>
  <c r="D214" i="8"/>
  <c r="D852" i="3" s="1"/>
  <c r="A215" i="8"/>
  <c r="A1172" i="3"/>
  <c r="C215" i="9"/>
  <c r="C1172" i="3" s="1"/>
  <c r="B215" i="9"/>
  <c r="B1172" i="3" s="1"/>
  <c r="D215" i="9"/>
  <c r="D1172" i="3" s="1"/>
  <c r="A216" i="9"/>
  <c r="A1173" i="3" l="1"/>
  <c r="C216" i="9"/>
  <c r="C1173" i="3" s="1"/>
  <c r="B216" i="9"/>
  <c r="B1173" i="3" s="1"/>
  <c r="D216" i="9"/>
  <c r="D1173" i="3" s="1"/>
  <c r="A853" i="3"/>
  <c r="B215" i="8"/>
  <c r="B853" i="3" s="1"/>
  <c r="C215" i="8"/>
  <c r="C853" i="3" s="1"/>
  <c r="D215" i="8"/>
  <c r="D853" i="3" s="1"/>
  <c r="A216" i="8"/>
  <c r="A217" i="9"/>
  <c r="A854" i="3" l="1"/>
  <c r="B216" i="8"/>
  <c r="B854" i="3" s="1"/>
  <c r="C216" i="8"/>
  <c r="C854" i="3" s="1"/>
  <c r="D216" i="8"/>
  <c r="D854" i="3" s="1"/>
  <c r="A217" i="8"/>
  <c r="A1174" i="3"/>
  <c r="B217" i="9"/>
  <c r="B1174" i="3" s="1"/>
  <c r="C217" i="9"/>
  <c r="C1174" i="3" s="1"/>
  <c r="D217" i="9"/>
  <c r="D1174" i="3" s="1"/>
  <c r="A218" i="9"/>
  <c r="A855" i="3" l="1"/>
  <c r="B217" i="8"/>
  <c r="B855" i="3" s="1"/>
  <c r="C217" i="8"/>
  <c r="C855" i="3" s="1"/>
  <c r="D217" i="8"/>
  <c r="D855" i="3" s="1"/>
  <c r="A218" i="8"/>
  <c r="A1175" i="3"/>
  <c r="B218" i="9"/>
  <c r="B1175" i="3" s="1"/>
  <c r="C218" i="9"/>
  <c r="C1175" i="3" s="1"/>
  <c r="D218" i="9"/>
  <c r="D1175" i="3" s="1"/>
  <c r="A219" i="9"/>
  <c r="A856" i="3" l="1"/>
  <c r="C218" i="8"/>
  <c r="C856" i="3" s="1"/>
  <c r="B218" i="8"/>
  <c r="B856" i="3" s="1"/>
  <c r="D218" i="8"/>
  <c r="D856" i="3" s="1"/>
  <c r="A219" i="8"/>
  <c r="A1176" i="3"/>
  <c r="C219" i="9"/>
  <c r="C1176" i="3" s="1"/>
  <c r="B219" i="9"/>
  <c r="B1176" i="3" s="1"/>
  <c r="D219" i="9"/>
  <c r="D1176" i="3" s="1"/>
  <c r="A220" i="9"/>
  <c r="A857" i="3" l="1"/>
  <c r="B219" i="8"/>
  <c r="B857" i="3" s="1"/>
  <c r="C219" i="8"/>
  <c r="C857" i="3" s="1"/>
  <c r="D219" i="8"/>
  <c r="D857" i="3" s="1"/>
  <c r="A220" i="8"/>
  <c r="A1177" i="3"/>
  <c r="C220" i="9"/>
  <c r="C1177" i="3" s="1"/>
  <c r="B220" i="9"/>
  <c r="B1177" i="3" s="1"/>
  <c r="D220" i="9"/>
  <c r="D1177" i="3" s="1"/>
  <c r="A221" i="9"/>
  <c r="A858" i="3" l="1"/>
  <c r="B220" i="8"/>
  <c r="B858" i="3" s="1"/>
  <c r="C220" i="8"/>
  <c r="C858" i="3" s="1"/>
  <c r="D220" i="8"/>
  <c r="D858" i="3" s="1"/>
  <c r="A221" i="8"/>
  <c r="A1178" i="3"/>
  <c r="C221" i="9"/>
  <c r="C1178" i="3" s="1"/>
  <c r="B221" i="9"/>
  <c r="B1178" i="3" s="1"/>
  <c r="D221" i="9"/>
  <c r="D1178" i="3" s="1"/>
  <c r="A222" i="9"/>
  <c r="A859" i="3" l="1"/>
  <c r="B221" i="8"/>
  <c r="B859" i="3" s="1"/>
  <c r="C221" i="8"/>
  <c r="C859" i="3" s="1"/>
  <c r="D221" i="8"/>
  <c r="D859" i="3" s="1"/>
  <c r="A222" i="8"/>
  <c r="A1179" i="3"/>
  <c r="C222" i="9"/>
  <c r="C1179" i="3" s="1"/>
  <c r="B222" i="9"/>
  <c r="B1179" i="3" s="1"/>
  <c r="D222" i="9"/>
  <c r="D1179" i="3" s="1"/>
  <c r="A223" i="9"/>
  <c r="A860" i="3" l="1"/>
  <c r="B222" i="8"/>
  <c r="B860" i="3" s="1"/>
  <c r="C222" i="8"/>
  <c r="C860" i="3" s="1"/>
  <c r="D222" i="8"/>
  <c r="D860" i="3" s="1"/>
  <c r="A223" i="8"/>
  <c r="A1180" i="3"/>
  <c r="C223" i="9"/>
  <c r="C1180" i="3" s="1"/>
  <c r="B223" i="9"/>
  <c r="B1180" i="3" s="1"/>
  <c r="D223" i="9"/>
  <c r="D1180" i="3" s="1"/>
  <c r="A224" i="9"/>
  <c r="A861" i="3" l="1"/>
  <c r="B223" i="8"/>
  <c r="B861" i="3" s="1"/>
  <c r="C223" i="8"/>
  <c r="C861" i="3" s="1"/>
  <c r="D223" i="8"/>
  <c r="D861" i="3" s="1"/>
  <c r="A224" i="8"/>
  <c r="A1181" i="3"/>
  <c r="C224" i="9"/>
  <c r="C1181" i="3" s="1"/>
  <c r="B224" i="9"/>
  <c r="B1181" i="3" s="1"/>
  <c r="D224" i="9"/>
  <c r="D1181" i="3" s="1"/>
  <c r="A225" i="9"/>
  <c r="A862" i="3" l="1"/>
  <c r="C224" i="8"/>
  <c r="C862" i="3" s="1"/>
  <c r="B224" i="8"/>
  <c r="B862" i="3" s="1"/>
  <c r="D224" i="8"/>
  <c r="D862" i="3" s="1"/>
  <c r="A225" i="8"/>
  <c r="A1182" i="3"/>
  <c r="C225" i="9"/>
  <c r="C1182" i="3" s="1"/>
  <c r="B225" i="9"/>
  <c r="B1182" i="3" s="1"/>
  <c r="D225" i="9"/>
  <c r="D1182" i="3" s="1"/>
  <c r="A226" i="9"/>
  <c r="A863" i="3" l="1"/>
  <c r="B225" i="8"/>
  <c r="B863" i="3" s="1"/>
  <c r="C225" i="8"/>
  <c r="C863" i="3" s="1"/>
  <c r="D225" i="8"/>
  <c r="D863" i="3" s="1"/>
  <c r="A226" i="8"/>
  <c r="A1183" i="3"/>
  <c r="C226" i="9"/>
  <c r="C1183" i="3" s="1"/>
  <c r="B226" i="9"/>
  <c r="B1183" i="3" s="1"/>
  <c r="D226" i="9"/>
  <c r="D1183" i="3" s="1"/>
  <c r="A227" i="9"/>
  <c r="A864" i="3" l="1"/>
  <c r="B226" i="8"/>
  <c r="B864" i="3" s="1"/>
  <c r="C226" i="8"/>
  <c r="C864" i="3" s="1"/>
  <c r="D226" i="8"/>
  <c r="D864" i="3" s="1"/>
  <c r="A227" i="8"/>
  <c r="A1184" i="3"/>
  <c r="B227" i="9"/>
  <c r="B1184" i="3" s="1"/>
  <c r="C227" i="9"/>
  <c r="C1184" i="3" s="1"/>
  <c r="D227" i="9"/>
  <c r="D1184" i="3" s="1"/>
  <c r="A228" i="9"/>
  <c r="A865" i="3" l="1"/>
  <c r="B227" i="8"/>
  <c r="B865" i="3" s="1"/>
  <c r="C227" i="8"/>
  <c r="C865" i="3" s="1"/>
  <c r="D227" i="8"/>
  <c r="D865" i="3" s="1"/>
  <c r="A228" i="8"/>
  <c r="A1185" i="3"/>
  <c r="B228" i="9"/>
  <c r="B1185" i="3" s="1"/>
  <c r="C228" i="9"/>
  <c r="C1185" i="3" s="1"/>
  <c r="D228" i="9"/>
  <c r="D1185" i="3" s="1"/>
  <c r="A229" i="9"/>
  <c r="A866" i="3" l="1"/>
  <c r="B228" i="8"/>
  <c r="B866" i="3" s="1"/>
  <c r="C228" i="8"/>
  <c r="C866" i="3" s="1"/>
  <c r="D228" i="8"/>
  <c r="D866" i="3" s="1"/>
  <c r="A229" i="8"/>
  <c r="A1186" i="3"/>
  <c r="C229" i="9"/>
  <c r="C1186" i="3" s="1"/>
  <c r="B229" i="9"/>
  <c r="B1186" i="3" s="1"/>
  <c r="D229" i="9"/>
  <c r="D1186" i="3" s="1"/>
  <c r="A230" i="9"/>
  <c r="A867" i="3" l="1"/>
  <c r="C229" i="8"/>
  <c r="C867" i="3" s="1"/>
  <c r="B229" i="8"/>
  <c r="B867" i="3" s="1"/>
  <c r="D229" i="8"/>
  <c r="D867" i="3" s="1"/>
  <c r="A230" i="8"/>
  <c r="A1187" i="3"/>
  <c r="C230" i="9"/>
  <c r="C1187" i="3" s="1"/>
  <c r="B230" i="9"/>
  <c r="B1187" i="3" s="1"/>
  <c r="D230" i="9"/>
  <c r="D1187" i="3" s="1"/>
  <c r="A231" i="9"/>
  <c r="A868" i="3" l="1"/>
  <c r="C230" i="8"/>
  <c r="C868" i="3" s="1"/>
  <c r="B230" i="8"/>
  <c r="B868" i="3" s="1"/>
  <c r="D230" i="8"/>
  <c r="D868" i="3" s="1"/>
  <c r="A231" i="8"/>
  <c r="A1188" i="3"/>
  <c r="C231" i="9"/>
  <c r="C1188" i="3" s="1"/>
  <c r="B231" i="9"/>
  <c r="B1188" i="3" s="1"/>
  <c r="D231" i="9"/>
  <c r="D1188" i="3" s="1"/>
  <c r="A232" i="9"/>
  <c r="A869" i="3" l="1"/>
  <c r="B231" i="8"/>
  <c r="B869" i="3" s="1"/>
  <c r="C231" i="8"/>
  <c r="C869" i="3" s="1"/>
  <c r="D231" i="8"/>
  <c r="D869" i="3" s="1"/>
  <c r="A232" i="8"/>
  <c r="A1189" i="3"/>
  <c r="C232" i="9"/>
  <c r="C1189" i="3" s="1"/>
  <c r="B232" i="9"/>
  <c r="B1189" i="3" s="1"/>
  <c r="D232" i="9"/>
  <c r="D1189" i="3" s="1"/>
  <c r="A233" i="9"/>
  <c r="A870" i="3" l="1"/>
  <c r="B232" i="8"/>
  <c r="B870" i="3" s="1"/>
  <c r="C232" i="8"/>
  <c r="C870" i="3" s="1"/>
  <c r="D232" i="8"/>
  <c r="D870" i="3" s="1"/>
  <c r="A233" i="8"/>
  <c r="A1190" i="3"/>
  <c r="C233" i="9"/>
  <c r="C1190" i="3" s="1"/>
  <c r="B233" i="9"/>
  <c r="B1190" i="3" s="1"/>
  <c r="D233" i="9"/>
  <c r="D1190" i="3" s="1"/>
  <c r="A234" i="9"/>
  <c r="A871" i="3" l="1"/>
  <c r="B233" i="8"/>
  <c r="B871" i="3" s="1"/>
  <c r="C233" i="8"/>
  <c r="C871" i="3" s="1"/>
  <c r="D233" i="8"/>
  <c r="D871" i="3" s="1"/>
  <c r="A234" i="8"/>
  <c r="A1191" i="3"/>
  <c r="C234" i="9"/>
  <c r="C1191" i="3" s="1"/>
  <c r="B234" i="9"/>
  <c r="B1191" i="3" s="1"/>
  <c r="D234" i="9"/>
  <c r="D1191" i="3" s="1"/>
  <c r="A235" i="9"/>
  <c r="A872" i="3" l="1"/>
  <c r="B234" i="8"/>
  <c r="B872" i="3" s="1"/>
  <c r="C234" i="8"/>
  <c r="C872" i="3" s="1"/>
  <c r="D234" i="8"/>
  <c r="D872" i="3" s="1"/>
  <c r="A235" i="8"/>
  <c r="A1192" i="3"/>
  <c r="C235" i="9"/>
  <c r="C1192" i="3" s="1"/>
  <c r="B235" i="9"/>
  <c r="B1192" i="3" s="1"/>
  <c r="D235" i="9"/>
  <c r="D1192" i="3" s="1"/>
  <c r="A236" i="9"/>
  <c r="A873" i="3" l="1"/>
  <c r="C235" i="8"/>
  <c r="C873" i="3" s="1"/>
  <c r="B235" i="8"/>
  <c r="B873" i="3" s="1"/>
  <c r="D235" i="8"/>
  <c r="D873" i="3" s="1"/>
  <c r="A236" i="8"/>
  <c r="A1193" i="3"/>
  <c r="B236" i="9"/>
  <c r="B1193" i="3" s="1"/>
  <c r="C236" i="9"/>
  <c r="C1193" i="3" s="1"/>
  <c r="D236" i="9"/>
  <c r="D1193" i="3" s="1"/>
  <c r="A237" i="9"/>
  <c r="A874" i="3" l="1"/>
  <c r="B236" i="8"/>
  <c r="B874" i="3" s="1"/>
  <c r="C236" i="8"/>
  <c r="C874" i="3" s="1"/>
  <c r="D236" i="8"/>
  <c r="D874" i="3" s="1"/>
  <c r="A237" i="8"/>
  <c r="A1194" i="3"/>
  <c r="C237" i="9"/>
  <c r="C1194" i="3" s="1"/>
  <c r="B237" i="9"/>
  <c r="B1194" i="3" s="1"/>
  <c r="D237" i="9"/>
  <c r="D1194" i="3" s="1"/>
  <c r="A238" i="9"/>
  <c r="A875" i="3" l="1"/>
  <c r="B237" i="8"/>
  <c r="B875" i="3" s="1"/>
  <c r="C237" i="8"/>
  <c r="C875" i="3" s="1"/>
  <c r="D237" i="8"/>
  <c r="D875" i="3" s="1"/>
  <c r="A238" i="8"/>
  <c r="A1195" i="3"/>
  <c r="B238" i="9"/>
  <c r="B1195" i="3" s="1"/>
  <c r="C238" i="9"/>
  <c r="C1195" i="3" s="1"/>
  <c r="D238" i="9"/>
  <c r="D1195" i="3" s="1"/>
  <c r="A239" i="9"/>
  <c r="A876" i="3" l="1"/>
  <c r="C238" i="8"/>
  <c r="C876" i="3" s="1"/>
  <c r="B238" i="8"/>
  <c r="B876" i="3" s="1"/>
  <c r="D238" i="8"/>
  <c r="D876" i="3" s="1"/>
  <c r="A239" i="8"/>
  <c r="A1196" i="3"/>
  <c r="C239" i="9"/>
  <c r="C1196" i="3" s="1"/>
  <c r="B239" i="9"/>
  <c r="B1196" i="3" s="1"/>
  <c r="D239" i="9"/>
  <c r="D1196" i="3" s="1"/>
  <c r="A240" i="9"/>
  <c r="A877" i="3" l="1"/>
  <c r="C239" i="8"/>
  <c r="C877" i="3" s="1"/>
  <c r="B239" i="8"/>
  <c r="B877" i="3" s="1"/>
  <c r="D239" i="8"/>
  <c r="D877" i="3" s="1"/>
  <c r="A240" i="8"/>
  <c r="A1197" i="3"/>
  <c r="C240" i="9"/>
  <c r="C1197" i="3" s="1"/>
  <c r="B240" i="9"/>
  <c r="B1197" i="3" s="1"/>
  <c r="D240" i="9"/>
  <c r="D1197" i="3" s="1"/>
  <c r="A241" i="9"/>
  <c r="A878" i="3" l="1"/>
  <c r="B240" i="8"/>
  <c r="B878" i="3" s="1"/>
  <c r="C240" i="8"/>
  <c r="C878" i="3" s="1"/>
  <c r="D240" i="8"/>
  <c r="D878" i="3" s="1"/>
  <c r="A241" i="8"/>
  <c r="A1198" i="3"/>
  <c r="C241" i="9"/>
  <c r="C1198" i="3" s="1"/>
  <c r="B241" i="9"/>
  <c r="B1198" i="3" s="1"/>
  <c r="D241" i="9"/>
  <c r="D1198" i="3" s="1"/>
  <c r="A242" i="9"/>
  <c r="A879" i="3" l="1"/>
  <c r="B241" i="8"/>
  <c r="B879" i="3" s="1"/>
  <c r="C241" i="8"/>
  <c r="C879" i="3" s="1"/>
  <c r="D241" i="8"/>
  <c r="D879" i="3" s="1"/>
  <c r="A242" i="8"/>
  <c r="A1199" i="3"/>
  <c r="C242" i="9"/>
  <c r="C1199" i="3" s="1"/>
  <c r="B242" i="9"/>
  <c r="B1199" i="3" s="1"/>
  <c r="D242" i="9"/>
  <c r="D1199" i="3" s="1"/>
  <c r="A243" i="9"/>
  <c r="A880" i="3" l="1"/>
  <c r="B242" i="8"/>
  <c r="B880" i="3" s="1"/>
  <c r="C242" i="8"/>
  <c r="C880" i="3" s="1"/>
  <c r="D242" i="8"/>
  <c r="D880" i="3" s="1"/>
  <c r="A243" i="8"/>
  <c r="A1200" i="3"/>
  <c r="C243" i="9"/>
  <c r="C1200" i="3" s="1"/>
  <c r="B243" i="9"/>
  <c r="B1200" i="3" s="1"/>
  <c r="D243" i="9"/>
  <c r="D1200" i="3" s="1"/>
  <c r="A244" i="9"/>
  <c r="A881" i="3" l="1"/>
  <c r="C243" i="8"/>
  <c r="C881" i="3" s="1"/>
  <c r="B243" i="8"/>
  <c r="B881" i="3" s="1"/>
  <c r="D243" i="8"/>
  <c r="D881" i="3" s="1"/>
  <c r="A244" i="8"/>
  <c r="A1201" i="3"/>
  <c r="B244" i="9"/>
  <c r="B1201" i="3" s="1"/>
  <c r="C244" i="9"/>
  <c r="C1201" i="3" s="1"/>
  <c r="D244" i="9"/>
  <c r="D1201" i="3" s="1"/>
  <c r="A245" i="9"/>
  <c r="A882" i="3" l="1"/>
  <c r="B244" i="8"/>
  <c r="B882" i="3" s="1"/>
  <c r="C244" i="8"/>
  <c r="C882" i="3" s="1"/>
  <c r="D244" i="8"/>
  <c r="D882" i="3" s="1"/>
  <c r="A245" i="8"/>
  <c r="A1202" i="3"/>
  <c r="C245" i="9"/>
  <c r="C1202" i="3" s="1"/>
  <c r="B245" i="9"/>
  <c r="B1202" i="3" s="1"/>
  <c r="D245" i="9"/>
  <c r="D1202" i="3" s="1"/>
  <c r="A246" i="9"/>
  <c r="A883" i="3" l="1"/>
  <c r="C245" i="8"/>
  <c r="C883" i="3" s="1"/>
  <c r="B245" i="8"/>
  <c r="B883" i="3" s="1"/>
  <c r="D245" i="8"/>
  <c r="D883" i="3" s="1"/>
  <c r="A246" i="8"/>
  <c r="A1203" i="3"/>
  <c r="C246" i="9"/>
  <c r="C1203" i="3" s="1"/>
  <c r="B246" i="9"/>
  <c r="B1203" i="3" s="1"/>
  <c r="D246" i="9"/>
  <c r="D1203" i="3" s="1"/>
  <c r="A247" i="9"/>
  <c r="A884" i="3" l="1"/>
  <c r="B246" i="8"/>
  <c r="B884" i="3" s="1"/>
  <c r="C246" i="8"/>
  <c r="C884" i="3" s="1"/>
  <c r="D246" i="8"/>
  <c r="D884" i="3" s="1"/>
  <c r="A247" i="8"/>
  <c r="A1204" i="3"/>
  <c r="C247" i="9"/>
  <c r="C1204" i="3" s="1"/>
  <c r="B247" i="9"/>
  <c r="B1204" i="3" s="1"/>
  <c r="D247" i="9"/>
  <c r="D1204" i="3" s="1"/>
  <c r="A248" i="9"/>
  <c r="A885" i="3" l="1"/>
  <c r="B247" i="8"/>
  <c r="B885" i="3" s="1"/>
  <c r="C247" i="8"/>
  <c r="C885" i="3" s="1"/>
  <c r="D247" i="8"/>
  <c r="D885" i="3" s="1"/>
  <c r="A248" i="8"/>
  <c r="A1205" i="3"/>
  <c r="B248" i="9"/>
  <c r="B1205" i="3" s="1"/>
  <c r="C248" i="9"/>
  <c r="C1205" i="3" s="1"/>
  <c r="D248" i="9"/>
  <c r="D1205" i="3" s="1"/>
  <c r="A249" i="9"/>
  <c r="A886" i="3" l="1"/>
  <c r="B248" i="8"/>
  <c r="B886" i="3" s="1"/>
  <c r="C248" i="8"/>
  <c r="C886" i="3" s="1"/>
  <c r="D248" i="8"/>
  <c r="D886" i="3" s="1"/>
  <c r="A249" i="8"/>
  <c r="A1206" i="3"/>
  <c r="B249" i="9"/>
  <c r="B1206" i="3" s="1"/>
  <c r="C249" i="9"/>
  <c r="C1206" i="3" s="1"/>
  <c r="D249" i="9"/>
  <c r="D1206" i="3" s="1"/>
  <c r="A250" i="9"/>
  <c r="A887" i="3" l="1"/>
  <c r="B249" i="8"/>
  <c r="B887" i="3" s="1"/>
  <c r="C249" i="8"/>
  <c r="C887" i="3" s="1"/>
  <c r="D249" i="8"/>
  <c r="D887" i="3" s="1"/>
  <c r="A250" i="8"/>
  <c r="A1207" i="3"/>
  <c r="B250" i="9"/>
  <c r="B1207" i="3" s="1"/>
  <c r="C250" i="9"/>
  <c r="C1207" i="3" s="1"/>
  <c r="D250" i="9"/>
  <c r="D1207" i="3" s="1"/>
  <c r="A251" i="9"/>
  <c r="A888" i="3" l="1"/>
  <c r="B250" i="8"/>
  <c r="B888" i="3" s="1"/>
  <c r="C250" i="8"/>
  <c r="C888" i="3" s="1"/>
  <c r="D250" i="8"/>
  <c r="D888" i="3" s="1"/>
  <c r="A251" i="8"/>
  <c r="A1208" i="3"/>
  <c r="B251" i="9"/>
  <c r="B1208" i="3" s="1"/>
  <c r="C251" i="9"/>
  <c r="C1208" i="3" s="1"/>
  <c r="D251" i="9"/>
  <c r="D1208" i="3" s="1"/>
  <c r="A252" i="9"/>
  <c r="A889" i="3" l="1"/>
  <c r="C251" i="8"/>
  <c r="C889" i="3" s="1"/>
  <c r="B251" i="8"/>
  <c r="B889" i="3" s="1"/>
  <c r="D251" i="8"/>
  <c r="D889" i="3" s="1"/>
  <c r="A252" i="8"/>
  <c r="A1209" i="3"/>
  <c r="C252" i="9"/>
  <c r="C1209" i="3" s="1"/>
  <c r="B252" i="9"/>
  <c r="B1209" i="3" s="1"/>
  <c r="D252" i="9"/>
  <c r="D1209" i="3" s="1"/>
  <c r="A253" i="9"/>
  <c r="A890" i="3" l="1"/>
  <c r="B252" i="8"/>
  <c r="B890" i="3" s="1"/>
  <c r="C252" i="8"/>
  <c r="C890" i="3" s="1"/>
  <c r="D252" i="8"/>
  <c r="D890" i="3" s="1"/>
  <c r="A253" i="8"/>
  <c r="A1210" i="3"/>
  <c r="C253" i="9"/>
  <c r="C1210" i="3" s="1"/>
  <c r="B253" i="9"/>
  <c r="B1210" i="3" s="1"/>
  <c r="D253" i="9"/>
  <c r="D1210" i="3" s="1"/>
  <c r="A254" i="9"/>
  <c r="A891" i="3" l="1"/>
  <c r="B253" i="8"/>
  <c r="B891" i="3" s="1"/>
  <c r="C253" i="8"/>
  <c r="C891" i="3" s="1"/>
  <c r="D253" i="8"/>
  <c r="D891" i="3" s="1"/>
  <c r="A254" i="8"/>
  <c r="A1211" i="3"/>
  <c r="C254" i="9"/>
  <c r="C1211" i="3" s="1"/>
  <c r="B254" i="9"/>
  <c r="B1211" i="3" s="1"/>
  <c r="D254" i="9"/>
  <c r="D1211" i="3" s="1"/>
  <c r="A255" i="9"/>
  <c r="A892" i="3" l="1"/>
  <c r="C254" i="8"/>
  <c r="C892" i="3" s="1"/>
  <c r="B254" i="8"/>
  <c r="B892" i="3" s="1"/>
  <c r="D254" i="8"/>
  <c r="D892" i="3" s="1"/>
  <c r="A255" i="8"/>
  <c r="A1212" i="3"/>
  <c r="B255" i="9"/>
  <c r="B1212" i="3" s="1"/>
  <c r="C255" i="9"/>
  <c r="C1212" i="3" s="1"/>
  <c r="D255" i="9"/>
  <c r="D1212" i="3" s="1"/>
  <c r="A256" i="9"/>
  <c r="A893" i="3" l="1"/>
  <c r="B255" i="8"/>
  <c r="B893" i="3" s="1"/>
  <c r="C255" i="8"/>
  <c r="C893" i="3" s="1"/>
  <c r="D255" i="8"/>
  <c r="D893" i="3" s="1"/>
  <c r="A256" i="8"/>
  <c r="A1213" i="3"/>
  <c r="B256" i="9"/>
  <c r="B1213" i="3" s="1"/>
  <c r="C256" i="9"/>
  <c r="C1213" i="3" s="1"/>
  <c r="D256" i="9"/>
  <c r="D1213" i="3" s="1"/>
  <c r="A257" i="9"/>
  <c r="A894" i="3" l="1"/>
  <c r="B256" i="8"/>
  <c r="B894" i="3" s="1"/>
  <c r="C256" i="8"/>
  <c r="C894" i="3" s="1"/>
  <c r="D256" i="8"/>
  <c r="D894" i="3" s="1"/>
  <c r="A257" i="8"/>
  <c r="A1214" i="3"/>
  <c r="C257" i="9"/>
  <c r="C1214" i="3" s="1"/>
  <c r="B257" i="9"/>
  <c r="B1214" i="3" s="1"/>
  <c r="D257" i="9"/>
  <c r="D1214" i="3" s="1"/>
  <c r="A258" i="9"/>
  <c r="A895" i="3" l="1"/>
  <c r="B257" i="8"/>
  <c r="B895" i="3" s="1"/>
  <c r="C257" i="8"/>
  <c r="C895" i="3" s="1"/>
  <c r="D257" i="8"/>
  <c r="D895" i="3" s="1"/>
  <c r="A258" i="8"/>
  <c r="A1215" i="3"/>
  <c r="C258" i="9"/>
  <c r="C1215" i="3" s="1"/>
  <c r="B258" i="9"/>
  <c r="B1215" i="3" s="1"/>
  <c r="D258" i="9"/>
  <c r="D1215" i="3" s="1"/>
  <c r="A259" i="9"/>
  <c r="A896" i="3" l="1"/>
  <c r="B258" i="8"/>
  <c r="B896" i="3" s="1"/>
  <c r="C258" i="8"/>
  <c r="C896" i="3" s="1"/>
  <c r="D258" i="8"/>
  <c r="D896" i="3" s="1"/>
  <c r="A259" i="8"/>
  <c r="A1216" i="3"/>
  <c r="C259" i="9"/>
  <c r="C1216" i="3" s="1"/>
  <c r="B259" i="9"/>
  <c r="B1216" i="3" s="1"/>
  <c r="D259" i="9"/>
  <c r="D1216" i="3" s="1"/>
  <c r="A260" i="9"/>
  <c r="A897" i="3" l="1"/>
  <c r="B259" i="8"/>
  <c r="B897" i="3" s="1"/>
  <c r="C259" i="8"/>
  <c r="C897" i="3" s="1"/>
  <c r="D259" i="8"/>
  <c r="D897" i="3" s="1"/>
  <c r="A260" i="8"/>
  <c r="A1217" i="3"/>
  <c r="C260" i="9"/>
  <c r="C1217" i="3" s="1"/>
  <c r="B260" i="9"/>
  <c r="B1217" i="3" s="1"/>
  <c r="D260" i="9"/>
  <c r="D1217" i="3" s="1"/>
  <c r="A261" i="9"/>
  <c r="A898" i="3" l="1"/>
  <c r="C260" i="8"/>
  <c r="C898" i="3" s="1"/>
  <c r="D260" i="8"/>
  <c r="D898" i="3" s="1"/>
  <c r="B260" i="8"/>
  <c r="B898" i="3" s="1"/>
  <c r="A261" i="8"/>
  <c r="A1218" i="3"/>
  <c r="B261" i="9"/>
  <c r="B1218" i="3" s="1"/>
  <c r="C261" i="9"/>
  <c r="C1218" i="3" s="1"/>
  <c r="D261" i="9"/>
  <c r="D1218" i="3" s="1"/>
  <c r="A262" i="9"/>
  <c r="A899" i="3" l="1"/>
  <c r="B261" i="8"/>
  <c r="B899" i="3" s="1"/>
  <c r="C261" i="8"/>
  <c r="C899" i="3" s="1"/>
  <c r="D261" i="8"/>
  <c r="D899" i="3" s="1"/>
  <c r="A262" i="8"/>
  <c r="A1219" i="3"/>
  <c r="B262" i="9"/>
  <c r="B1219" i="3" s="1"/>
  <c r="C262" i="9"/>
  <c r="C1219" i="3" s="1"/>
  <c r="D262" i="9"/>
  <c r="D1219" i="3" s="1"/>
  <c r="A263" i="9"/>
  <c r="A900" i="3" l="1"/>
  <c r="C262" i="8"/>
  <c r="C900" i="3" s="1"/>
  <c r="B262" i="8"/>
  <c r="B900" i="3" s="1"/>
  <c r="D262" i="8"/>
  <c r="D900" i="3" s="1"/>
  <c r="A263" i="8"/>
  <c r="A1220" i="3"/>
  <c r="C263" i="9"/>
  <c r="C1220" i="3" s="1"/>
  <c r="B263" i="9"/>
  <c r="B1220" i="3" s="1"/>
  <c r="D263" i="9"/>
  <c r="D1220" i="3" s="1"/>
  <c r="A264" i="9"/>
  <c r="A901" i="3" l="1"/>
  <c r="B263" i="8"/>
  <c r="B901" i="3" s="1"/>
  <c r="C263" i="8"/>
  <c r="C901" i="3" s="1"/>
  <c r="D263" i="8"/>
  <c r="D901" i="3" s="1"/>
  <c r="A264" i="8"/>
  <c r="A1221" i="3"/>
  <c r="C264" i="9"/>
  <c r="C1221" i="3" s="1"/>
  <c r="D264" i="9"/>
  <c r="D1221" i="3" s="1"/>
  <c r="B264" i="9"/>
  <c r="B1221" i="3" s="1"/>
  <c r="A265" i="9"/>
  <c r="A902" i="3" l="1"/>
  <c r="C264" i="8"/>
  <c r="C902" i="3" s="1"/>
  <c r="B264" i="8"/>
  <c r="B902" i="3" s="1"/>
  <c r="D264" i="8"/>
  <c r="D902" i="3" s="1"/>
  <c r="A265" i="8"/>
  <c r="A1222" i="3"/>
  <c r="C265" i="9"/>
  <c r="C1222" i="3" s="1"/>
  <c r="D265" i="9"/>
  <c r="D1222" i="3" s="1"/>
  <c r="B265" i="9"/>
  <c r="B1222" i="3" s="1"/>
  <c r="A266" i="9"/>
  <c r="A903" i="3" l="1"/>
  <c r="C265" i="8"/>
  <c r="C903" i="3" s="1"/>
  <c r="D265" i="8"/>
  <c r="D903" i="3" s="1"/>
  <c r="B265" i="8"/>
  <c r="B903" i="3" s="1"/>
  <c r="A266" i="8"/>
  <c r="A1223" i="3"/>
  <c r="B266" i="9"/>
  <c r="B1223" i="3" s="1"/>
  <c r="C266" i="9"/>
  <c r="C1223" i="3" s="1"/>
  <c r="D266" i="9"/>
  <c r="D1223" i="3" s="1"/>
  <c r="A267" i="9"/>
  <c r="A904" i="3" l="1"/>
  <c r="C266" i="8"/>
  <c r="C904" i="3" s="1"/>
  <c r="B266" i="8"/>
  <c r="B904" i="3" s="1"/>
  <c r="D266" i="8"/>
  <c r="D904" i="3" s="1"/>
  <c r="A267" i="8"/>
  <c r="A1224" i="3"/>
  <c r="B267" i="9"/>
  <c r="B1224" i="3" s="1"/>
  <c r="C267" i="9"/>
  <c r="C1224" i="3" s="1"/>
  <c r="D267" i="9"/>
  <c r="D1224" i="3" s="1"/>
  <c r="A268" i="9"/>
  <c r="A905" i="3" l="1"/>
  <c r="C267" i="8"/>
  <c r="C905" i="3" s="1"/>
  <c r="B267" i="8"/>
  <c r="B905" i="3" s="1"/>
  <c r="D267" i="8"/>
  <c r="D905" i="3" s="1"/>
  <c r="A268" i="8"/>
  <c r="A1225" i="3"/>
  <c r="C268" i="9"/>
  <c r="C1225" i="3" s="1"/>
  <c r="B268" i="9"/>
  <c r="B1225" i="3" s="1"/>
  <c r="D268" i="9"/>
  <c r="D1225" i="3" s="1"/>
  <c r="A269" i="9"/>
  <c r="A906" i="3" l="1"/>
  <c r="B268" i="8"/>
  <c r="B906" i="3" s="1"/>
  <c r="C268" i="8"/>
  <c r="C906" i="3" s="1"/>
  <c r="D268" i="8"/>
  <c r="D906" i="3" s="1"/>
  <c r="A269" i="8"/>
  <c r="A1226" i="3"/>
  <c r="C269" i="9"/>
  <c r="C1226" i="3" s="1"/>
  <c r="B269" i="9"/>
  <c r="B1226" i="3" s="1"/>
  <c r="D269" i="9"/>
  <c r="D1226" i="3" s="1"/>
  <c r="A270" i="9"/>
  <c r="A907" i="3" l="1"/>
  <c r="C269" i="8"/>
  <c r="C907" i="3" s="1"/>
  <c r="D269" i="8"/>
  <c r="D907" i="3" s="1"/>
  <c r="B269" i="8"/>
  <c r="B907" i="3" s="1"/>
  <c r="A270" i="8"/>
  <c r="A1227" i="3"/>
  <c r="C270" i="9"/>
  <c r="C1227" i="3" s="1"/>
  <c r="B270" i="9"/>
  <c r="B1227" i="3" s="1"/>
  <c r="D270" i="9"/>
  <c r="D1227" i="3" s="1"/>
  <c r="A271" i="9"/>
  <c r="A908" i="3" l="1"/>
  <c r="C270" i="8"/>
  <c r="C908" i="3" s="1"/>
  <c r="B270" i="8"/>
  <c r="B908" i="3" s="1"/>
  <c r="D270" i="8"/>
  <c r="D908" i="3" s="1"/>
  <c r="A271" i="8"/>
  <c r="A1228" i="3"/>
  <c r="C271" i="9"/>
  <c r="C1228" i="3" s="1"/>
  <c r="B271" i="9"/>
  <c r="B1228" i="3" s="1"/>
  <c r="D271" i="9"/>
  <c r="D1228" i="3" s="1"/>
  <c r="A272" i="9"/>
  <c r="A909" i="3" l="1"/>
  <c r="C271" i="8"/>
  <c r="C909" i="3" s="1"/>
  <c r="B271" i="8"/>
  <c r="B909" i="3" s="1"/>
  <c r="D271" i="8"/>
  <c r="D909" i="3" s="1"/>
  <c r="A272" i="8"/>
  <c r="A1229" i="3"/>
  <c r="C272" i="9"/>
  <c r="C1229" i="3" s="1"/>
  <c r="B272" i="9"/>
  <c r="B1229" i="3" s="1"/>
  <c r="D272" i="9"/>
  <c r="D1229" i="3" s="1"/>
  <c r="A273" i="9"/>
  <c r="A910" i="3" l="1"/>
  <c r="B272" i="8"/>
  <c r="B910" i="3" s="1"/>
  <c r="C272" i="8"/>
  <c r="C910" i="3" s="1"/>
  <c r="D272" i="8"/>
  <c r="D910" i="3" s="1"/>
  <c r="A273" i="8"/>
  <c r="A1230" i="3"/>
  <c r="C273" i="9"/>
  <c r="C1230" i="3" s="1"/>
  <c r="B273" i="9"/>
  <c r="B1230" i="3" s="1"/>
  <c r="D273" i="9"/>
  <c r="D1230" i="3" s="1"/>
  <c r="A274" i="9"/>
  <c r="A911" i="3" l="1"/>
  <c r="B273" i="8"/>
  <c r="B911" i="3" s="1"/>
  <c r="C273" i="8"/>
  <c r="C911" i="3" s="1"/>
  <c r="D273" i="8"/>
  <c r="D911" i="3" s="1"/>
  <c r="A274" i="8"/>
  <c r="A1231" i="3"/>
  <c r="C274" i="9"/>
  <c r="C1231" i="3" s="1"/>
  <c r="B274" i="9"/>
  <c r="B1231" i="3" s="1"/>
  <c r="D274" i="9"/>
  <c r="D1231" i="3" s="1"/>
  <c r="A275" i="9"/>
  <c r="A912" i="3" l="1"/>
  <c r="C274" i="8"/>
  <c r="C912" i="3" s="1"/>
  <c r="B274" i="8"/>
  <c r="B912" i="3" s="1"/>
  <c r="D274" i="8"/>
  <c r="D912" i="3" s="1"/>
  <c r="A275" i="8"/>
  <c r="A1232" i="3"/>
  <c r="C275" i="9"/>
  <c r="C1232" i="3" s="1"/>
  <c r="B275" i="9"/>
  <c r="B1232" i="3" s="1"/>
  <c r="D275" i="9"/>
  <c r="D1232" i="3" s="1"/>
  <c r="A276" i="9"/>
  <c r="A913" i="3" l="1"/>
  <c r="C275" i="8"/>
  <c r="C913" i="3" s="1"/>
  <c r="D275" i="8"/>
  <c r="D913" i="3" s="1"/>
  <c r="B275" i="8"/>
  <c r="B913" i="3" s="1"/>
  <c r="A276" i="8"/>
  <c r="A1233" i="3"/>
  <c r="C276" i="9"/>
  <c r="C1233" i="3" s="1"/>
  <c r="B276" i="9"/>
  <c r="B1233" i="3" s="1"/>
  <c r="D276" i="9"/>
  <c r="D1233" i="3" s="1"/>
  <c r="A277" i="9"/>
  <c r="A914" i="3" l="1"/>
  <c r="B276" i="8"/>
  <c r="B914" i="3" s="1"/>
  <c r="C276" i="8"/>
  <c r="C914" i="3" s="1"/>
  <c r="D276" i="8"/>
  <c r="D914" i="3" s="1"/>
  <c r="A277" i="8"/>
  <c r="A1234" i="3"/>
  <c r="C277" i="9"/>
  <c r="C1234" i="3" s="1"/>
  <c r="B277" i="9"/>
  <c r="B1234" i="3" s="1"/>
  <c r="D277" i="9"/>
  <c r="D1234" i="3" s="1"/>
  <c r="A278" i="9"/>
  <c r="A915" i="3" l="1"/>
  <c r="B277" i="8"/>
  <c r="B915" i="3" s="1"/>
  <c r="C277" i="8"/>
  <c r="C915" i="3" s="1"/>
  <c r="D277" i="8"/>
  <c r="D915" i="3" s="1"/>
  <c r="A278" i="8"/>
  <c r="A1235" i="3"/>
  <c r="C278" i="9"/>
  <c r="C1235" i="3" s="1"/>
  <c r="B278" i="9"/>
  <c r="B1235" i="3" s="1"/>
  <c r="D278" i="9"/>
  <c r="D1235" i="3" s="1"/>
  <c r="A279" i="9"/>
  <c r="A916" i="3" l="1"/>
  <c r="B278" i="8"/>
  <c r="B916" i="3" s="1"/>
  <c r="C278" i="8"/>
  <c r="C916" i="3" s="1"/>
  <c r="D278" i="8"/>
  <c r="D916" i="3" s="1"/>
  <c r="A279" i="8"/>
  <c r="A1236" i="3"/>
  <c r="C279" i="9"/>
  <c r="C1236" i="3" s="1"/>
  <c r="D279" i="9"/>
  <c r="D1236" i="3" s="1"/>
  <c r="B279" i="9"/>
  <c r="B1236" i="3" s="1"/>
  <c r="A280" i="9"/>
  <c r="A917" i="3" l="1"/>
  <c r="C279" i="8"/>
  <c r="C917" i="3" s="1"/>
  <c r="B279" i="8"/>
  <c r="B917" i="3" s="1"/>
  <c r="D279" i="8"/>
  <c r="D917" i="3" s="1"/>
  <c r="A280" i="8"/>
  <c r="A1237" i="3"/>
  <c r="C280" i="9"/>
  <c r="C1237" i="3" s="1"/>
  <c r="B280" i="9"/>
  <c r="B1237" i="3" s="1"/>
  <c r="D280" i="9"/>
  <c r="D1237" i="3" s="1"/>
  <c r="A281" i="9"/>
  <c r="A918" i="3" l="1"/>
  <c r="C280" i="8"/>
  <c r="C918" i="3" s="1"/>
  <c r="B280" i="8"/>
  <c r="B918" i="3" s="1"/>
  <c r="D280" i="8"/>
  <c r="D918" i="3" s="1"/>
  <c r="A281" i="8"/>
  <c r="A1238" i="3"/>
  <c r="C281" i="9"/>
  <c r="C1238" i="3" s="1"/>
  <c r="B281" i="9"/>
  <c r="B1238" i="3" s="1"/>
  <c r="D281" i="9"/>
  <c r="D1238" i="3" s="1"/>
  <c r="A282" i="9"/>
  <c r="A919" i="3" l="1"/>
  <c r="C281" i="8"/>
  <c r="C919" i="3" s="1"/>
  <c r="B281" i="8"/>
  <c r="B919" i="3" s="1"/>
  <c r="D281" i="8"/>
  <c r="D919" i="3" s="1"/>
  <c r="A282" i="8"/>
  <c r="A1239" i="3"/>
  <c r="B282" i="9"/>
  <c r="B1239" i="3" s="1"/>
  <c r="C282" i="9"/>
  <c r="C1239" i="3" s="1"/>
  <c r="D282" i="9"/>
  <c r="D1239" i="3" s="1"/>
  <c r="A283" i="9"/>
  <c r="A920" i="3" l="1"/>
  <c r="B282" i="8"/>
  <c r="B920" i="3" s="1"/>
  <c r="C282" i="8"/>
  <c r="C920" i="3" s="1"/>
  <c r="D282" i="8"/>
  <c r="D920" i="3" s="1"/>
  <c r="A283" i="8"/>
  <c r="A1240" i="3"/>
  <c r="B283" i="9"/>
  <c r="B1240" i="3" s="1"/>
  <c r="C283" i="9"/>
  <c r="C1240" i="3" s="1"/>
  <c r="D283" i="9"/>
  <c r="D1240" i="3" s="1"/>
  <c r="A284" i="9"/>
  <c r="A921" i="3" l="1"/>
  <c r="C283" i="8"/>
  <c r="C921" i="3" s="1"/>
  <c r="B283" i="8"/>
  <c r="B921" i="3" s="1"/>
  <c r="D283" i="8"/>
  <c r="D921" i="3" s="1"/>
  <c r="A284" i="8"/>
  <c r="A1241" i="3"/>
  <c r="C284" i="9"/>
  <c r="C1241" i="3" s="1"/>
  <c r="D284" i="9"/>
  <c r="D1241" i="3" s="1"/>
  <c r="B284" i="9"/>
  <c r="B1241" i="3" s="1"/>
  <c r="A285" i="9"/>
  <c r="A922" i="3" l="1"/>
  <c r="C284" i="8"/>
  <c r="C922" i="3" s="1"/>
  <c r="B284" i="8"/>
  <c r="B922" i="3" s="1"/>
  <c r="D284" i="8"/>
  <c r="D922" i="3" s="1"/>
  <c r="A285" i="8"/>
  <c r="A1242" i="3"/>
  <c r="C285" i="9"/>
  <c r="C1242" i="3" s="1"/>
  <c r="B285" i="9"/>
  <c r="B1242" i="3" s="1"/>
  <c r="D285" i="9"/>
  <c r="D1242" i="3" s="1"/>
  <c r="A286" i="9"/>
  <c r="A923" i="3" l="1"/>
  <c r="B285" i="8"/>
  <c r="B923" i="3" s="1"/>
  <c r="C285" i="8"/>
  <c r="C923" i="3" s="1"/>
  <c r="D285" i="8"/>
  <c r="D923" i="3" s="1"/>
  <c r="A286" i="8"/>
  <c r="A1243" i="3"/>
  <c r="C286" i="9"/>
  <c r="C1243" i="3" s="1"/>
  <c r="B286" i="9"/>
  <c r="B1243" i="3" s="1"/>
  <c r="D286" i="9"/>
  <c r="D1243" i="3" s="1"/>
  <c r="A287" i="9"/>
  <c r="A924" i="3" l="1"/>
  <c r="C286" i="8"/>
  <c r="C924" i="3" s="1"/>
  <c r="B286" i="8"/>
  <c r="B924" i="3" s="1"/>
  <c r="D286" i="8"/>
  <c r="D924" i="3" s="1"/>
  <c r="A287" i="8"/>
  <c r="A1244" i="3"/>
  <c r="C287" i="9"/>
  <c r="C1244" i="3" s="1"/>
  <c r="B287" i="9"/>
  <c r="B1244" i="3" s="1"/>
  <c r="D287" i="9"/>
  <c r="D1244" i="3" s="1"/>
  <c r="A288" i="9"/>
  <c r="A925" i="3" l="1"/>
  <c r="C287" i="8"/>
  <c r="C925" i="3" s="1"/>
  <c r="B287" i="8"/>
  <c r="B925" i="3" s="1"/>
  <c r="D287" i="8"/>
  <c r="D925" i="3" s="1"/>
  <c r="A288" i="8"/>
  <c r="A1245" i="3"/>
  <c r="C288" i="9"/>
  <c r="C1245" i="3" s="1"/>
  <c r="D288" i="9"/>
  <c r="D1245" i="3" s="1"/>
  <c r="B288" i="9"/>
  <c r="B1245" i="3" s="1"/>
  <c r="A289" i="9"/>
  <c r="A926" i="3" l="1"/>
  <c r="C288" i="8"/>
  <c r="C926" i="3" s="1"/>
  <c r="B288" i="8"/>
  <c r="B926" i="3" s="1"/>
  <c r="D288" i="8"/>
  <c r="D926" i="3" s="1"/>
  <c r="A289" i="8"/>
  <c r="A1246" i="3"/>
  <c r="C289" i="9"/>
  <c r="C1246" i="3" s="1"/>
  <c r="D289" i="9"/>
  <c r="D1246" i="3" s="1"/>
  <c r="B289" i="9"/>
  <c r="B1246" i="3" s="1"/>
  <c r="A290" i="9"/>
  <c r="A927" i="3" l="1"/>
  <c r="C289" i="8"/>
  <c r="C927" i="3" s="1"/>
  <c r="B289" i="8"/>
  <c r="B927" i="3" s="1"/>
  <c r="D289" i="8"/>
  <c r="D927" i="3" s="1"/>
  <c r="A290" i="8"/>
  <c r="A1247" i="3"/>
  <c r="C290" i="9"/>
  <c r="C1247" i="3" s="1"/>
  <c r="B290" i="9"/>
  <c r="B1247" i="3" s="1"/>
  <c r="D290" i="9"/>
  <c r="D1247" i="3" s="1"/>
  <c r="A291" i="9"/>
  <c r="A928" i="3" l="1"/>
  <c r="B290" i="8"/>
  <c r="B928" i="3" s="1"/>
  <c r="C290" i="8"/>
  <c r="C928" i="3" s="1"/>
  <c r="D290" i="8"/>
  <c r="D928" i="3" s="1"/>
  <c r="A291" i="8"/>
  <c r="A1248" i="3"/>
  <c r="B291" i="9"/>
  <c r="B1248" i="3" s="1"/>
  <c r="C291" i="9"/>
  <c r="C1248" i="3" s="1"/>
  <c r="D291" i="9"/>
  <c r="D1248" i="3" s="1"/>
  <c r="A292" i="9"/>
  <c r="A929" i="3" l="1"/>
  <c r="C291" i="8"/>
  <c r="C929" i="3" s="1"/>
  <c r="B291" i="8"/>
  <c r="B929" i="3" s="1"/>
  <c r="D291" i="8"/>
  <c r="D929" i="3" s="1"/>
  <c r="A292" i="8"/>
  <c r="A1249" i="3"/>
  <c r="C292" i="9"/>
  <c r="C1249" i="3" s="1"/>
  <c r="B292" i="9"/>
  <c r="B1249" i="3" s="1"/>
  <c r="D292" i="9"/>
  <c r="D1249" i="3" s="1"/>
  <c r="A293" i="9"/>
  <c r="A930" i="3" l="1"/>
  <c r="B292" i="8"/>
  <c r="B930" i="3" s="1"/>
  <c r="C292" i="8"/>
  <c r="C930" i="3" s="1"/>
  <c r="D292" i="8"/>
  <c r="D930" i="3" s="1"/>
  <c r="A293" i="8"/>
  <c r="A1250" i="3"/>
  <c r="C293" i="9"/>
  <c r="C1250" i="3" s="1"/>
  <c r="D293" i="9"/>
  <c r="D1250" i="3" s="1"/>
  <c r="B293" i="9"/>
  <c r="B1250" i="3" s="1"/>
  <c r="A294" i="9"/>
  <c r="A931" i="3" l="1"/>
  <c r="C293" i="8"/>
  <c r="C931" i="3" s="1"/>
  <c r="D293" i="8"/>
  <c r="D931" i="3" s="1"/>
  <c r="B293" i="8"/>
  <c r="B931" i="3" s="1"/>
  <c r="A294" i="8"/>
  <c r="A1251" i="3"/>
  <c r="C294" i="9"/>
  <c r="C1251" i="3" s="1"/>
  <c r="D294" i="9"/>
  <c r="D1251" i="3" s="1"/>
  <c r="B294" i="9"/>
  <c r="B1251" i="3" s="1"/>
  <c r="A295" i="9"/>
  <c r="A932" i="3" l="1"/>
  <c r="C294" i="8"/>
  <c r="C932" i="3" s="1"/>
  <c r="D294" i="8"/>
  <c r="D932" i="3" s="1"/>
  <c r="B294" i="8"/>
  <c r="B932" i="3" s="1"/>
  <c r="A295" i="8"/>
  <c r="A1252" i="3"/>
  <c r="B295" i="9"/>
  <c r="B1252" i="3" s="1"/>
  <c r="C295" i="9"/>
  <c r="C1252" i="3" s="1"/>
  <c r="D295" i="9"/>
  <c r="D1252" i="3" s="1"/>
  <c r="A296" i="9"/>
  <c r="A933" i="3" l="1"/>
  <c r="C295" i="8"/>
  <c r="C933" i="3" s="1"/>
  <c r="B295" i="8"/>
  <c r="B933" i="3" s="1"/>
  <c r="D295" i="8"/>
  <c r="D933" i="3" s="1"/>
  <c r="A296" i="8"/>
  <c r="A1253" i="3"/>
  <c r="B296" i="9"/>
  <c r="B1253" i="3" s="1"/>
  <c r="C296" i="9"/>
  <c r="C1253" i="3" s="1"/>
  <c r="D296" i="9"/>
  <c r="D1253" i="3" s="1"/>
  <c r="A297" i="9"/>
  <c r="A934" i="3" l="1"/>
  <c r="C296" i="8"/>
  <c r="C934" i="3" s="1"/>
  <c r="B296" i="8"/>
  <c r="B934" i="3" s="1"/>
  <c r="D296" i="8"/>
  <c r="D934" i="3" s="1"/>
  <c r="A297" i="8"/>
  <c r="A1254" i="3"/>
  <c r="B297" i="9"/>
  <c r="B1254" i="3" s="1"/>
  <c r="C297" i="9"/>
  <c r="C1254" i="3" s="1"/>
  <c r="D297" i="9"/>
  <c r="D1254" i="3" s="1"/>
  <c r="A298" i="9"/>
  <c r="A935" i="3" l="1"/>
  <c r="B297" i="8"/>
  <c r="B935" i="3" s="1"/>
  <c r="C297" i="8"/>
  <c r="C935" i="3" s="1"/>
  <c r="D297" i="8"/>
  <c r="D935" i="3" s="1"/>
  <c r="A298" i="8"/>
  <c r="A1255" i="3"/>
  <c r="C298" i="9"/>
  <c r="C1255" i="3" s="1"/>
  <c r="B298" i="9"/>
  <c r="B1255" i="3" s="1"/>
  <c r="D298" i="9"/>
  <c r="D1255" i="3" s="1"/>
  <c r="A299" i="9"/>
  <c r="A936" i="3" l="1"/>
  <c r="B298" i="8"/>
  <c r="B936" i="3" s="1"/>
  <c r="C298" i="8"/>
  <c r="C936" i="3" s="1"/>
  <c r="D298" i="8"/>
  <c r="D936" i="3" s="1"/>
  <c r="A299" i="8"/>
  <c r="A1256" i="3"/>
  <c r="C299" i="9"/>
  <c r="C1256" i="3" s="1"/>
  <c r="B299" i="9"/>
  <c r="B1256" i="3" s="1"/>
  <c r="D299" i="9"/>
  <c r="D1256" i="3" s="1"/>
  <c r="A300" i="9"/>
  <c r="A937" i="3" l="1"/>
  <c r="B299" i="8"/>
  <c r="B937" i="3" s="1"/>
  <c r="C299" i="8"/>
  <c r="C937" i="3" s="1"/>
  <c r="D299" i="8"/>
  <c r="D937" i="3" s="1"/>
  <c r="A300" i="8"/>
  <c r="A1257" i="3"/>
  <c r="B300" i="9"/>
  <c r="B1257" i="3" s="1"/>
  <c r="C300" i="9"/>
  <c r="C1257" i="3" s="1"/>
  <c r="D300" i="9"/>
  <c r="D1257" i="3" s="1"/>
  <c r="A301" i="9"/>
  <c r="A938" i="3" l="1"/>
  <c r="C300" i="8"/>
  <c r="C938" i="3" s="1"/>
  <c r="B300" i="8"/>
  <c r="B938" i="3" s="1"/>
  <c r="D300" i="8"/>
  <c r="D938" i="3" s="1"/>
  <c r="A301" i="8"/>
  <c r="A1258" i="3"/>
  <c r="B301" i="9"/>
  <c r="B1258" i="3" s="1"/>
  <c r="C301" i="9"/>
  <c r="C1258" i="3" s="1"/>
  <c r="D301" i="9"/>
  <c r="D1258" i="3" s="1"/>
  <c r="A302" i="9"/>
  <c r="A939" i="3" l="1"/>
  <c r="C301" i="8"/>
  <c r="C939" i="3" s="1"/>
  <c r="B301" i="8"/>
  <c r="B939" i="3" s="1"/>
  <c r="D301" i="8"/>
  <c r="D939" i="3" s="1"/>
  <c r="A302" i="8"/>
  <c r="A1259" i="3"/>
  <c r="B302" i="9"/>
  <c r="B1259" i="3" s="1"/>
  <c r="C302" i="9"/>
  <c r="C1259" i="3" s="1"/>
  <c r="D302" i="9"/>
  <c r="D1259" i="3" s="1"/>
  <c r="A303" i="9"/>
  <c r="A940" i="3" l="1"/>
  <c r="B302" i="8"/>
  <c r="B940" i="3" s="1"/>
  <c r="C302" i="8"/>
  <c r="C940" i="3" s="1"/>
  <c r="D302" i="8"/>
  <c r="D940" i="3" s="1"/>
  <c r="A303" i="8"/>
  <c r="A1260" i="3"/>
  <c r="B303" i="9"/>
  <c r="B1260" i="3" s="1"/>
  <c r="C303" i="9"/>
  <c r="C1260" i="3" s="1"/>
  <c r="D303" i="9"/>
  <c r="D1260" i="3" s="1"/>
  <c r="A304" i="9"/>
  <c r="A941" i="3" l="1"/>
  <c r="B303" i="8"/>
  <c r="B941" i="3" s="1"/>
  <c r="C303" i="8"/>
  <c r="C941" i="3" s="1"/>
  <c r="D303" i="8"/>
  <c r="D941" i="3" s="1"/>
  <c r="A304" i="8"/>
  <c r="A1261" i="3"/>
  <c r="B304" i="9"/>
  <c r="B1261" i="3" s="1"/>
  <c r="C304" i="9"/>
  <c r="C1261" i="3" s="1"/>
  <c r="D304" i="9"/>
  <c r="D1261" i="3" s="1"/>
  <c r="A305" i="9"/>
  <c r="A942" i="3" l="1"/>
  <c r="B304" i="8"/>
  <c r="B942" i="3" s="1"/>
  <c r="C304" i="8"/>
  <c r="C942" i="3" s="1"/>
  <c r="D304" i="8"/>
  <c r="D942" i="3" s="1"/>
  <c r="A305" i="8"/>
  <c r="A1262" i="3"/>
  <c r="B305" i="9"/>
  <c r="B1262" i="3" s="1"/>
  <c r="C305" i="9"/>
  <c r="C1262" i="3" s="1"/>
  <c r="D305" i="9"/>
  <c r="D1262" i="3" s="1"/>
  <c r="A306" i="9"/>
  <c r="A943" i="3" l="1"/>
  <c r="C305" i="8"/>
  <c r="C943" i="3" s="1"/>
  <c r="B305" i="8"/>
  <c r="B943" i="3" s="1"/>
  <c r="D305" i="8"/>
  <c r="D943" i="3" s="1"/>
  <c r="A306" i="8"/>
  <c r="A1263" i="3"/>
  <c r="B306" i="9"/>
  <c r="B1263" i="3" s="1"/>
  <c r="C306" i="9"/>
  <c r="C1263" i="3" s="1"/>
  <c r="D306" i="9"/>
  <c r="D1263" i="3" s="1"/>
  <c r="A307" i="9"/>
  <c r="A944" i="3" l="1"/>
  <c r="C306" i="8"/>
  <c r="C944" i="3" s="1"/>
  <c r="B306" i="8"/>
  <c r="B944" i="3" s="1"/>
  <c r="D306" i="8"/>
  <c r="D944" i="3" s="1"/>
  <c r="A307" i="8"/>
  <c r="A1264" i="3"/>
  <c r="C307" i="9"/>
  <c r="C1264" i="3" s="1"/>
  <c r="B307" i="9"/>
  <c r="B1264" i="3" s="1"/>
  <c r="D307" i="9"/>
  <c r="D1264" i="3" s="1"/>
  <c r="A308" i="9"/>
  <c r="A945" i="3" l="1"/>
  <c r="B307" i="8"/>
  <c r="B945" i="3" s="1"/>
  <c r="C307" i="8"/>
  <c r="C945" i="3" s="1"/>
  <c r="D307" i="8"/>
  <c r="D945" i="3" s="1"/>
  <c r="A308" i="8"/>
  <c r="A1265" i="3"/>
  <c r="B308" i="9"/>
  <c r="B1265" i="3" s="1"/>
  <c r="C308" i="9"/>
  <c r="C1265" i="3" s="1"/>
  <c r="D308" i="9"/>
  <c r="D1265" i="3" s="1"/>
  <c r="A309" i="9"/>
  <c r="A946" i="3" l="1"/>
  <c r="B308" i="8"/>
  <c r="B946" i="3" s="1"/>
  <c r="C308" i="8"/>
  <c r="C946" i="3" s="1"/>
  <c r="D308" i="8"/>
  <c r="D946" i="3" s="1"/>
  <c r="A309" i="8"/>
  <c r="A1266" i="3"/>
  <c r="C309" i="9"/>
  <c r="C1266" i="3" s="1"/>
  <c r="B309" i="9"/>
  <c r="B1266" i="3" s="1"/>
  <c r="D309" i="9"/>
  <c r="D1266" i="3" s="1"/>
  <c r="A310" i="9"/>
  <c r="A947" i="3" l="1"/>
  <c r="C309" i="8"/>
  <c r="C947" i="3" s="1"/>
  <c r="B309" i="8"/>
  <c r="B947" i="3" s="1"/>
  <c r="D309" i="8"/>
  <c r="D947" i="3" s="1"/>
  <c r="A310" i="8"/>
  <c r="A1267" i="3"/>
  <c r="C310" i="9"/>
  <c r="C1267" i="3" s="1"/>
  <c r="B310" i="9"/>
  <c r="B1267" i="3" s="1"/>
  <c r="D310" i="9"/>
  <c r="D1267" i="3" s="1"/>
  <c r="A311" i="9"/>
  <c r="A948" i="3" l="1"/>
  <c r="C310" i="8"/>
  <c r="C948" i="3" s="1"/>
  <c r="B310" i="8"/>
  <c r="B948" i="3" s="1"/>
  <c r="D310" i="8"/>
  <c r="D948" i="3" s="1"/>
  <c r="A311" i="8"/>
  <c r="A1268" i="3"/>
  <c r="B311" i="9"/>
  <c r="B1268" i="3" s="1"/>
  <c r="C311" i="9"/>
  <c r="C1268" i="3" s="1"/>
  <c r="D311" i="9"/>
  <c r="D1268" i="3" s="1"/>
  <c r="A312" i="9"/>
  <c r="A949" i="3" l="1"/>
  <c r="C311" i="8"/>
  <c r="C949" i="3" s="1"/>
  <c r="B311" i="8"/>
  <c r="B949" i="3" s="1"/>
  <c r="D311" i="8"/>
  <c r="D949" i="3" s="1"/>
  <c r="A312" i="8"/>
  <c r="A1269" i="3"/>
  <c r="C312" i="9"/>
  <c r="C1269" i="3" s="1"/>
  <c r="B312" i="9"/>
  <c r="B1269" i="3" s="1"/>
  <c r="D312" i="9"/>
  <c r="D1269" i="3" s="1"/>
  <c r="A313" i="9"/>
  <c r="A950" i="3" l="1"/>
  <c r="B312" i="8"/>
  <c r="B950" i="3" s="1"/>
  <c r="C312" i="8"/>
  <c r="C950" i="3" s="1"/>
  <c r="D312" i="8"/>
  <c r="D950" i="3" s="1"/>
  <c r="A313" i="8"/>
  <c r="A1270" i="3"/>
  <c r="B313" i="9"/>
  <c r="B1270" i="3" s="1"/>
  <c r="C313" i="9"/>
  <c r="C1270" i="3" s="1"/>
  <c r="D313" i="9"/>
  <c r="D1270" i="3" s="1"/>
  <c r="A314" i="9"/>
  <c r="A951" i="3" l="1"/>
  <c r="C313" i="8"/>
  <c r="C951" i="3" s="1"/>
  <c r="B313" i="8"/>
  <c r="B951" i="3" s="1"/>
  <c r="D313" i="8"/>
  <c r="D951" i="3" s="1"/>
  <c r="A314" i="8"/>
  <c r="A1271" i="3"/>
  <c r="C314" i="9"/>
  <c r="C1271" i="3" s="1"/>
  <c r="B314" i="9"/>
  <c r="B1271" i="3" s="1"/>
  <c r="D314" i="9"/>
  <c r="D1271" i="3" s="1"/>
  <c r="A315" i="9"/>
  <c r="A952" i="3" l="1"/>
  <c r="C314" i="8"/>
  <c r="C952" i="3" s="1"/>
  <c r="B314" i="8"/>
  <c r="B952" i="3" s="1"/>
  <c r="D314" i="8"/>
  <c r="D952" i="3" s="1"/>
  <c r="A315" i="8"/>
  <c r="A1272" i="3"/>
  <c r="B315" i="9"/>
  <c r="B1272" i="3" s="1"/>
  <c r="C315" i="9"/>
  <c r="C1272" i="3" s="1"/>
  <c r="D315" i="9"/>
  <c r="D1272" i="3" s="1"/>
  <c r="A316" i="9"/>
  <c r="A953" i="3" l="1"/>
  <c r="C315" i="8"/>
  <c r="C953" i="3" s="1"/>
  <c r="B315" i="8"/>
  <c r="B953" i="3" s="1"/>
  <c r="D315" i="8"/>
  <c r="D953" i="3" s="1"/>
  <c r="A316" i="8"/>
  <c r="A1273" i="3"/>
  <c r="B316" i="9"/>
  <c r="B1273" i="3" s="1"/>
  <c r="C316" i="9"/>
  <c r="C1273" i="3" s="1"/>
  <c r="D316" i="9"/>
  <c r="D1273" i="3" s="1"/>
  <c r="A317" i="9"/>
  <c r="A954" i="3" l="1"/>
  <c r="B316" i="8"/>
  <c r="B954" i="3" s="1"/>
  <c r="C316" i="8"/>
  <c r="C954" i="3" s="1"/>
  <c r="D316" i="8"/>
  <c r="D954" i="3" s="1"/>
  <c r="A317" i="8"/>
  <c r="A1274" i="3"/>
  <c r="C317" i="9"/>
  <c r="C1274" i="3" s="1"/>
  <c r="B317" i="9"/>
  <c r="B1274" i="3" s="1"/>
  <c r="D317" i="9"/>
  <c r="D1274" i="3" s="1"/>
  <c r="A318" i="9"/>
  <c r="A955" i="3" l="1"/>
  <c r="B317" i="8"/>
  <c r="B955" i="3" s="1"/>
  <c r="C317" i="8"/>
  <c r="C955" i="3" s="1"/>
  <c r="D317" i="8"/>
  <c r="D955" i="3" s="1"/>
  <c r="A318" i="8"/>
  <c r="A1275" i="3"/>
  <c r="C318" i="9"/>
  <c r="C1275" i="3" s="1"/>
  <c r="B318" i="9"/>
  <c r="B1275" i="3" s="1"/>
  <c r="D318" i="9"/>
  <c r="D1275" i="3" s="1"/>
  <c r="A319" i="9"/>
  <c r="A956" i="3" l="1"/>
  <c r="B318" i="8"/>
  <c r="B956" i="3" s="1"/>
  <c r="C318" i="8"/>
  <c r="C956" i="3" s="1"/>
  <c r="D318" i="8"/>
  <c r="D956" i="3" s="1"/>
  <c r="A319" i="8"/>
  <c r="A1276" i="3"/>
  <c r="B319" i="9"/>
  <c r="B1276" i="3" s="1"/>
  <c r="C319" i="9"/>
  <c r="C1276" i="3" s="1"/>
  <c r="D319" i="9"/>
  <c r="D1276" i="3" s="1"/>
  <c r="A320" i="9"/>
  <c r="A957" i="3" l="1"/>
  <c r="C319" i="8"/>
  <c r="C957" i="3" s="1"/>
  <c r="B319" i="8"/>
  <c r="B957" i="3" s="1"/>
  <c r="D319" i="8"/>
  <c r="D957" i="3" s="1"/>
  <c r="A320" i="8"/>
  <c r="A1277" i="3"/>
  <c r="A321" i="9"/>
  <c r="C320" i="9"/>
  <c r="C1277" i="3" s="1"/>
  <c r="B320" i="9"/>
  <c r="B1277" i="3" s="1"/>
  <c r="D320" i="9"/>
  <c r="D1277" i="3" s="1"/>
  <c r="A958" i="3" l="1"/>
  <c r="B320" i="8"/>
  <c r="B958" i="3" s="1"/>
  <c r="C320" i="8"/>
  <c r="C958" i="3" s="1"/>
  <c r="D320" i="8"/>
  <c r="D958" i="3" s="1"/>
  <c r="A1278" i="3"/>
  <c r="C321" i="9"/>
  <c r="C1278" i="3" s="1"/>
  <c r="B321" i="9"/>
  <c r="B1278" i="3" s="1"/>
  <c r="D321" i="9"/>
  <c r="D1278" i="3" s="1"/>
</calcChain>
</file>

<file path=xl/sharedStrings.xml><?xml version="1.0" encoding="utf-8"?>
<sst xmlns="http://schemas.openxmlformats.org/spreadsheetml/2006/main" count="1526" uniqueCount="105">
  <si>
    <t>N</t>
  </si>
  <si>
    <t>X</t>
  </si>
  <si>
    <t>Y</t>
  </si>
  <si>
    <t>Z</t>
  </si>
  <si>
    <t>X1</t>
  </si>
  <si>
    <t>X2</t>
  </si>
  <si>
    <t>X3</t>
  </si>
  <si>
    <t>X4</t>
  </si>
  <si>
    <t>X5</t>
  </si>
  <si>
    <t>X6</t>
  </si>
  <si>
    <t>Z1</t>
  </si>
  <si>
    <t>Z2</t>
  </si>
  <si>
    <t>Z3</t>
  </si>
  <si>
    <t>Z4</t>
  </si>
  <si>
    <t>Z5</t>
  </si>
  <si>
    <t>Z6</t>
  </si>
  <si>
    <t>Z7</t>
  </si>
  <si>
    <t>Z8</t>
  </si>
  <si>
    <t>Y1</t>
  </si>
  <si>
    <t>Y2</t>
  </si>
  <si>
    <t>X7</t>
  </si>
  <si>
    <t>α</t>
  </si>
  <si>
    <t>X8</t>
  </si>
  <si>
    <t>X9</t>
  </si>
  <si>
    <t>Y3</t>
  </si>
  <si>
    <t>F1</t>
  </si>
  <si>
    <t>F2</t>
  </si>
  <si>
    <t>F3</t>
  </si>
  <si>
    <t>F4</t>
  </si>
  <si>
    <t>F5</t>
  </si>
  <si>
    <t>M1</t>
  </si>
  <si>
    <t>M2</t>
  </si>
  <si>
    <t>F6</t>
  </si>
  <si>
    <t>F7</t>
  </si>
  <si>
    <t>F8</t>
  </si>
  <si>
    <t>F9</t>
  </si>
  <si>
    <t>F10</t>
  </si>
  <si>
    <t>F11</t>
  </si>
  <si>
    <t>F12</t>
  </si>
  <si>
    <t>F13</t>
  </si>
  <si>
    <t>Y4</t>
  </si>
  <si>
    <t>R1</t>
  </si>
  <si>
    <t>R2</t>
  </si>
  <si>
    <t>R3</t>
  </si>
  <si>
    <t>M3</t>
  </si>
  <si>
    <t>;</t>
  </si>
  <si>
    <t>Z0</t>
  </si>
  <si>
    <t>Z9</t>
  </si>
  <si>
    <t>Z10</t>
  </si>
  <si>
    <t>Coin sup gauche</t>
  </si>
  <si>
    <t>Davit</t>
  </si>
  <si>
    <t>Ym=</t>
  </si>
  <si>
    <t>Xm=</t>
  </si>
  <si>
    <t>Y5</t>
  </si>
  <si>
    <t>M4</t>
  </si>
  <si>
    <t>M5</t>
  </si>
  <si>
    <t>Z11</t>
  </si>
  <si>
    <t>M6</t>
  </si>
  <si>
    <t>Coordonées Modèle Base Coin 1</t>
  </si>
  <si>
    <t>Coordonées Modèle Base Coin 2</t>
  </si>
  <si>
    <t>Coordonées Modèle Base Coin 3</t>
  </si>
  <si>
    <t>Coordonées Modèle Base Coin 4</t>
  </si>
  <si>
    <t>Coordonées Miroir Coin 2</t>
  </si>
  <si>
    <t>Coordonées Miroir Coin3</t>
  </si>
  <si>
    <t>Coin inf droit</t>
  </si>
  <si>
    <t>Coin sup droit</t>
  </si>
  <si>
    <t>Coordonées Miroir Coin4</t>
  </si>
  <si>
    <t>m</t>
  </si>
  <si>
    <t>STRUCTURE</t>
  </si>
  <si>
    <t>HEIGHT PARAMETERS (Z)</t>
  </si>
  <si>
    <t>WIDHT PARAMETERS (X)</t>
  </si>
  <si>
    <t>OTHER PARAMETERS</t>
  </si>
  <si>
    <t>ALPHA</t>
  </si>
  <si>
    <t>FANDECK</t>
  </si>
  <si>
    <t>LENGHT PARAMETERS (Y)</t>
  </si>
  <si>
    <t>FANDECK PARAMETERS (F)</t>
  </si>
  <si>
    <t>FAN PARAMETERS (R)</t>
  </si>
  <si>
    <t>Deg</t>
  </si>
  <si>
    <t>MOTOR-BRIDGE</t>
  </si>
  <si>
    <t>TOTAL LENGHT</t>
  </si>
  <si>
    <t>TOTAL WIDTH</t>
  </si>
  <si>
    <t xml:space="preserve">1 - GENERAL DIMENSION </t>
  </si>
  <si>
    <t>Lenght cell</t>
  </si>
  <si>
    <t>Width cell</t>
  </si>
  <si>
    <t>Level Fan deck</t>
  </si>
  <si>
    <t>First level</t>
  </si>
  <si>
    <t>Fan diameter</t>
  </si>
  <si>
    <t>MOTORBRIDGE PARAMETERS (M)</t>
  </si>
  <si>
    <t>Nbr cell width</t>
  </si>
  <si>
    <t>Nbr cell Lenght</t>
  </si>
  <si>
    <t xml:space="preserve">ACC DRY PROJECT </t>
  </si>
  <si>
    <t>Project Name :</t>
  </si>
  <si>
    <t>Project Number :</t>
  </si>
  <si>
    <t>Establish by :</t>
  </si>
  <si>
    <t>Date :</t>
  </si>
  <si>
    <t>2 - CELL DEFINITION</t>
  </si>
  <si>
    <t>STEP 1 - COMPLETE THE INFORMATIONS IN GENERAL DIMENSION AND CHECK IN 2-CELL DEFINITION</t>
  </si>
  <si>
    <t xml:space="preserve">STEP 2 - GENERATE THE STD file </t>
  </si>
  <si>
    <t>STEP 3 - OPEN STD file IN STAADPRO</t>
  </si>
  <si>
    <t>STEP 4 - RUN MACRO "BUILD_MODEL"</t>
  </si>
  <si>
    <t>STEP 5 - CHECK THE DUPLICATE BEAMS/NODES AND MERGE</t>
  </si>
  <si>
    <t>STEP 6 - CHECK THE MODEL IN STAADPRO</t>
  </si>
  <si>
    <t>PAL</t>
  </si>
  <si>
    <t>P1949440</t>
  </si>
  <si>
    <t>DAMHEAD_CREEK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</si>
</sst>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0" fontId="0" fillId="2" borderId="0" xfId="0" applyFill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8" xfId="0" applyBorder="1" applyAlignment="1">
      <alignment horizontal="righ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Alignment="1">
      <alignment horizontal="right"/>
    </xf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0" xfId="0" applyFill="1"/>
    <xf numFmtId="0" fontId="0" fillId="3" borderId="9" xfId="0" applyFill="1" applyBorder="1"/>
    <xf numFmtId="0" fontId="0" fillId="3" borderId="8" xfId="0" applyFill="1" applyBorder="1" applyAlignment="1">
      <alignment horizontal="right"/>
    </xf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0" xfId="0" applyFill="1" applyBorder="1" applyAlignment="1">
      <alignment horizontal="right"/>
    </xf>
    <xf numFmtId="0" fontId="0" fillId="4" borderId="1" xfId="0" applyFill="1" applyBorder="1"/>
    <xf numFmtId="0" fontId="0" fillId="0" borderId="1" xfId="0" applyBorder="1" applyAlignment="1">
      <alignment horizontal="right"/>
    </xf>
    <xf numFmtId="0" fontId="2" fillId="4" borderId="1" xfId="0" applyFont="1" applyFill="1" applyBorder="1"/>
    <xf numFmtId="2" fontId="2" fillId="4" borderId="1" xfId="0" applyNumberFormat="1" applyFont="1" applyFill="1" applyBorder="1"/>
    <xf numFmtId="2" fontId="0" fillId="4" borderId="1" xfId="0" applyNumberFormat="1" applyFill="1" applyBorder="1"/>
    <xf numFmtId="2" fontId="0" fillId="3" borderId="11" xfId="0" applyNumberFormat="1" applyFill="1" applyBorder="1"/>
    <xf numFmtId="2" fontId="0" fillId="0" borderId="0" xfId="0" applyNumberFormat="1"/>
    <xf numFmtId="2" fontId="0" fillId="3" borderId="6" xfId="0" applyNumberFormat="1" applyFill="1" applyBorder="1"/>
    <xf numFmtId="2" fontId="0" fillId="3" borderId="0" xfId="0" applyNumberFormat="1" applyFill="1"/>
    <xf numFmtId="0" fontId="0" fillId="0" borderId="0" xfId="0" applyAlignment="1">
      <alignment horizontal="left"/>
    </xf>
    <xf numFmtId="2" fontId="2" fillId="4" borderId="4" xfId="0" applyNumberFormat="1" applyFont="1" applyFill="1" applyBorder="1"/>
    <xf numFmtId="2" fontId="3" fillId="4" borderId="1" xfId="0" applyNumberFormat="1" applyFont="1" applyFill="1" applyBorder="1"/>
    <xf numFmtId="164" fontId="2" fillId="4" borderId="1" xfId="0" applyNumberFormat="1" applyFont="1" applyFill="1" applyBorder="1"/>
    <xf numFmtId="164" fontId="2" fillId="4" borderId="4" xfId="0" applyNumberFormat="1" applyFont="1" applyFill="1" applyBorder="1"/>
    <xf numFmtId="0" fontId="0" fillId="0" borderId="9" xfId="0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0" borderId="1" xfId="0" applyFont="1" applyBorder="1"/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4" fillId="0" borderId="13" xfId="0" applyFont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4" fillId="0" borderId="15" xfId="0" applyFont="1" applyBorder="1" applyAlignment="1">
      <alignment horizontal="left" vertical="center"/>
    </xf>
    <xf numFmtId="1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29</xdr:row>
      <xdr:rowOff>104775</xdr:rowOff>
    </xdr:from>
    <xdr:to>
      <xdr:col>12</xdr:col>
      <xdr:colOff>66115</xdr:colOff>
      <xdr:row>69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5867400"/>
          <a:ext cx="7581340" cy="7572375"/>
        </a:xfrm>
        <a:prstGeom prst="rect">
          <a:avLst/>
        </a:prstGeom>
      </xdr:spPr>
    </xdr:pic>
    <xdr:clientData/>
  </xdr:twoCellAnchor>
  <xdr:twoCellAnchor editAs="oneCell">
    <xdr:from>
      <xdr:col>0</xdr:col>
      <xdr:colOff>261258</xdr:colOff>
      <xdr:row>73</xdr:row>
      <xdr:rowOff>63613</xdr:rowOff>
    </xdr:from>
    <xdr:to>
      <xdr:col>11</xdr:col>
      <xdr:colOff>51148</xdr:colOff>
      <xdr:row>108</xdr:row>
      <xdr:rowOff>120763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258" y="14112988"/>
          <a:ext cx="6959153" cy="6707641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113</xdr:row>
      <xdr:rowOff>28575</xdr:rowOff>
    </xdr:from>
    <xdr:to>
      <xdr:col>10</xdr:col>
      <xdr:colOff>304239</xdr:colOff>
      <xdr:row>122</xdr:row>
      <xdr:rowOff>123826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581275" y="14316075"/>
          <a:ext cx="1819275" cy="6715125"/>
        </a:xfrm>
        <a:prstGeom prst="rect">
          <a:avLst/>
        </a:prstGeom>
      </xdr:spPr>
    </xdr:pic>
    <xdr:clientData/>
  </xdr:twoCellAnchor>
  <xdr:twoCellAnchor editAs="oneCell">
    <xdr:from>
      <xdr:col>14</xdr:col>
      <xdr:colOff>444340</xdr:colOff>
      <xdr:row>3</xdr:row>
      <xdr:rowOff>161584</xdr:rowOff>
    </xdr:from>
    <xdr:to>
      <xdr:col>16</xdr:col>
      <xdr:colOff>230169</xdr:colOff>
      <xdr:row>11</xdr:row>
      <xdr:rowOff>102053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0568" y="722879"/>
          <a:ext cx="1197570" cy="14372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9</xdr:row>
          <xdr:rowOff>107950</xdr:rowOff>
        </xdr:from>
        <xdr:to>
          <xdr:col>12</xdr:col>
          <xdr:colOff>101600</xdr:colOff>
          <xdr:row>13</xdr:row>
          <xdr:rowOff>31750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374650</xdr:colOff>
          <xdr:row>9</xdr:row>
          <xdr:rowOff>107950</xdr:rowOff>
        </xdr:from>
        <xdr:to>
          <xdr:col>16</xdr:col>
          <xdr:colOff>317500</xdr:colOff>
          <xdr:row>13</xdr:row>
          <xdr:rowOff>12700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X124"/>
  <sheetViews>
    <sheetView showGridLines="0" zoomScale="85" zoomScaleNormal="85" workbookViewId="0">
      <selection activeCell="D21" sqref="D21"/>
    </sheetView>
  </sheetViews>
  <sheetFormatPr baseColWidth="10" defaultColWidth="8.7265625" defaultRowHeight="14.5" x14ac:dyDescent="0.35"/>
  <cols>
    <col min="1" max="1" width="12" customWidth="1"/>
    <col min="2" max="2" width="12.81640625" customWidth="1"/>
    <col min="8" max="15" width="9.1796875" customWidth="1"/>
    <col min="16" max="16" width="12" customWidth="1"/>
    <col min="17" max="24" width="9.1796875" customWidth="1"/>
  </cols>
  <sheetData>
    <row r="1" spans="1:24" ht="15" customHeight="1" x14ac:dyDescent="0.35">
      <c r="A1" s="44" t="s">
        <v>90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6"/>
      <c r="W1" s="3"/>
    </row>
    <row r="2" spans="1:24" ht="15" customHeight="1" thickBot="1" x14ac:dyDescent="0.4">
      <c r="A2" s="47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9"/>
      <c r="X2" s="1"/>
    </row>
    <row r="3" spans="1:24" x14ac:dyDescent="0.35">
      <c r="A3" s="9"/>
      <c r="I3" s="6"/>
      <c r="J3" s="7"/>
      <c r="K3" s="7"/>
      <c r="L3" s="7"/>
      <c r="M3" s="7"/>
      <c r="N3" s="7"/>
      <c r="O3" s="7"/>
      <c r="P3" s="7"/>
      <c r="Q3" s="8"/>
      <c r="X3" s="1"/>
    </row>
    <row r="4" spans="1:24" ht="15" customHeight="1" x14ac:dyDescent="0.35">
      <c r="A4" s="9"/>
      <c r="B4" t="s">
        <v>91</v>
      </c>
      <c r="D4" s="58" t="s">
        <v>104</v>
      </c>
      <c r="E4" s="58"/>
      <c r="F4" s="58"/>
      <c r="G4" s="58"/>
      <c r="I4" s="9" t="s">
        <v>96</v>
      </c>
      <c r="Q4" s="10"/>
      <c r="X4" s="1"/>
    </row>
    <row r="5" spans="1:24" ht="15" customHeight="1" x14ac:dyDescent="0.35">
      <c r="A5" s="9"/>
      <c r="B5" t="s">
        <v>92</v>
      </c>
      <c r="D5" s="58" t="s">
        <v>103</v>
      </c>
      <c r="E5" s="58"/>
      <c r="F5" s="58"/>
      <c r="G5" s="58"/>
      <c r="I5" s="9" t="s">
        <v>97</v>
      </c>
      <c r="Q5" s="10"/>
      <c r="X5" s="1"/>
    </row>
    <row r="6" spans="1:24" ht="15" customHeight="1" x14ac:dyDescent="0.35">
      <c r="A6" s="9"/>
      <c r="B6" t="s">
        <v>94</v>
      </c>
      <c r="D6" s="56">
        <v>43825</v>
      </c>
      <c r="E6" s="57"/>
      <c r="I6" s="9" t="s">
        <v>98</v>
      </c>
      <c r="Q6" s="10"/>
      <c r="X6" s="1"/>
    </row>
    <row r="7" spans="1:24" ht="15" customHeight="1" x14ac:dyDescent="0.35">
      <c r="A7" s="9"/>
      <c r="I7" s="9" t="s">
        <v>99</v>
      </c>
      <c r="Q7" s="10"/>
      <c r="X7" s="1"/>
    </row>
    <row r="8" spans="1:24" ht="15" customHeight="1" x14ac:dyDescent="0.35">
      <c r="A8" s="9"/>
      <c r="B8" t="s">
        <v>93</v>
      </c>
      <c r="D8" s="5" t="s">
        <v>102</v>
      </c>
      <c r="I8" s="9" t="s">
        <v>100</v>
      </c>
      <c r="Q8" s="10"/>
      <c r="X8" s="1"/>
    </row>
    <row r="9" spans="1:24" ht="15" customHeight="1" x14ac:dyDescent="0.35">
      <c r="A9" s="9"/>
      <c r="I9" s="9" t="s">
        <v>101</v>
      </c>
      <c r="Q9" s="10"/>
      <c r="X9" s="1"/>
    </row>
    <row r="10" spans="1:24" ht="15" customHeight="1" x14ac:dyDescent="0.35">
      <c r="A10" s="9"/>
      <c r="I10" s="9"/>
      <c r="Q10" s="10"/>
      <c r="X10" s="1"/>
    </row>
    <row r="11" spans="1:24" ht="15" customHeight="1" x14ac:dyDescent="0.35">
      <c r="A11" s="9"/>
      <c r="I11" s="9"/>
      <c r="Q11" s="10"/>
      <c r="X11" s="1"/>
    </row>
    <row r="12" spans="1:24" ht="15" customHeight="1" x14ac:dyDescent="0.35">
      <c r="A12" s="9"/>
      <c r="I12" s="9"/>
      <c r="Q12" s="10"/>
      <c r="X12" s="1"/>
    </row>
    <row r="13" spans="1:24" ht="15" customHeight="1" x14ac:dyDescent="0.35">
      <c r="A13" s="9"/>
      <c r="I13" s="9"/>
      <c r="Q13" s="10"/>
      <c r="X13" s="1"/>
    </row>
    <row r="14" spans="1:24" ht="15" customHeight="1" thickBot="1" x14ac:dyDescent="0.4">
      <c r="A14" s="9"/>
      <c r="I14" s="12"/>
      <c r="J14" s="13"/>
      <c r="K14" s="13"/>
      <c r="L14" s="13"/>
      <c r="M14" s="13"/>
      <c r="N14" s="13"/>
      <c r="O14" s="13"/>
      <c r="P14" s="13"/>
      <c r="Q14" s="14"/>
      <c r="X14" s="1"/>
    </row>
    <row r="15" spans="1:24" ht="24" customHeight="1" thickBot="1" x14ac:dyDescent="0.4">
      <c r="A15" s="53" t="s">
        <v>81</v>
      </c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5"/>
      <c r="X15" s="1"/>
    </row>
    <row r="16" spans="1:24" ht="15" customHeight="1" x14ac:dyDescent="0.35">
      <c r="A16" s="11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41"/>
      <c r="X16" s="1"/>
    </row>
    <row r="17" spans="1:24" ht="15" customHeight="1" x14ac:dyDescent="0.35">
      <c r="A17" s="11"/>
      <c r="B17" s="15"/>
      <c r="C17" s="15" t="s">
        <v>82</v>
      </c>
      <c r="D17" s="28">
        <v>16.16</v>
      </c>
      <c r="E17" s="36" t="s">
        <v>67</v>
      </c>
      <c r="F17" s="15"/>
      <c r="G17" s="15"/>
      <c r="H17" s="15" t="s">
        <v>89</v>
      </c>
      <c r="I17" s="42">
        <v>6</v>
      </c>
      <c r="J17" s="15"/>
      <c r="K17" s="15"/>
      <c r="L17" s="15"/>
      <c r="M17" s="15"/>
      <c r="N17" s="15"/>
      <c r="O17" s="15"/>
      <c r="P17" s="15"/>
      <c r="Q17" s="41"/>
      <c r="X17" s="1"/>
    </row>
    <row r="18" spans="1:24" ht="15" customHeight="1" x14ac:dyDescent="0.35">
      <c r="A18" s="11"/>
      <c r="B18" s="15"/>
      <c r="C18" s="15" t="s">
        <v>83</v>
      </c>
      <c r="D18" s="28">
        <v>13.605</v>
      </c>
      <c r="E18" s="36" t="s">
        <v>67</v>
      </c>
      <c r="F18" s="15"/>
      <c r="G18" s="15"/>
      <c r="H18" s="15" t="s">
        <v>88</v>
      </c>
      <c r="I18" s="42">
        <v>5</v>
      </c>
      <c r="J18" s="15"/>
      <c r="K18" s="15"/>
      <c r="L18" s="15"/>
      <c r="M18" s="15"/>
      <c r="N18" s="15"/>
      <c r="O18" s="15"/>
      <c r="P18" s="15"/>
      <c r="Q18" s="41"/>
      <c r="X18" s="1"/>
    </row>
    <row r="19" spans="1:24" ht="15" customHeight="1" x14ac:dyDescent="0.35">
      <c r="A19" s="11"/>
      <c r="B19" s="15"/>
      <c r="C19" s="15"/>
      <c r="D19" s="15"/>
      <c r="E19" s="36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41"/>
      <c r="X19" s="1"/>
    </row>
    <row r="20" spans="1:24" ht="15" customHeight="1" x14ac:dyDescent="0.35">
      <c r="A20" s="11"/>
      <c r="B20" s="15"/>
      <c r="C20" s="15" t="s">
        <v>84</v>
      </c>
      <c r="D20" s="28">
        <v>26.56</v>
      </c>
      <c r="E20" s="36" t="s">
        <v>67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41"/>
      <c r="X20" s="1"/>
    </row>
    <row r="21" spans="1:24" ht="15" customHeight="1" x14ac:dyDescent="0.35">
      <c r="A21" s="11"/>
      <c r="B21" s="15"/>
      <c r="C21" s="15" t="s">
        <v>85</v>
      </c>
      <c r="D21" s="28">
        <v>8.85</v>
      </c>
      <c r="E21" s="36" t="s">
        <v>67</v>
      </c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41"/>
      <c r="X21" s="1"/>
    </row>
    <row r="22" spans="1:24" ht="15" customHeight="1" x14ac:dyDescent="0.35">
      <c r="A22" s="11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41"/>
      <c r="X22" s="1"/>
    </row>
    <row r="23" spans="1:24" ht="15" customHeight="1" x14ac:dyDescent="0.35">
      <c r="A23" s="11"/>
      <c r="B23" s="15"/>
      <c r="C23" s="15" t="s">
        <v>86</v>
      </c>
      <c r="D23" s="28">
        <v>11.7</v>
      </c>
      <c r="E23" s="36" t="s">
        <v>67</v>
      </c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41"/>
      <c r="X23" s="1"/>
    </row>
    <row r="24" spans="1:24" ht="15" customHeight="1" x14ac:dyDescent="0.35">
      <c r="A24" s="11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41"/>
      <c r="X24" s="1"/>
    </row>
    <row r="25" spans="1:24" ht="15" customHeight="1" x14ac:dyDescent="0.35">
      <c r="A25" s="11"/>
      <c r="C25" s="15" t="s">
        <v>79</v>
      </c>
      <c r="D25" s="43">
        <f>D17*I17</f>
        <v>96.960000000000008</v>
      </c>
      <c r="E25" t="s">
        <v>67</v>
      </c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41"/>
      <c r="X25" s="1"/>
    </row>
    <row r="26" spans="1:24" ht="15" customHeight="1" x14ac:dyDescent="0.35">
      <c r="A26" s="11"/>
      <c r="C26" s="15" t="s">
        <v>80</v>
      </c>
      <c r="D26" s="43">
        <f>D18*I18</f>
        <v>68.025000000000006</v>
      </c>
      <c r="E26" t="s">
        <v>67</v>
      </c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41"/>
      <c r="X26" s="1"/>
    </row>
    <row r="27" spans="1:24" ht="15" customHeight="1" thickBot="1" x14ac:dyDescent="0.4">
      <c r="A27" s="11"/>
      <c r="C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41"/>
      <c r="X27" s="1"/>
    </row>
    <row r="28" spans="1:24" ht="24" thickBot="1" x14ac:dyDescent="0.4">
      <c r="A28" s="53" t="s">
        <v>95</v>
      </c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5"/>
      <c r="X28" s="1"/>
    </row>
    <row r="29" spans="1:24" ht="15" thickBot="1" x14ac:dyDescent="0.4">
      <c r="A29" s="50" t="s">
        <v>68</v>
      </c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2"/>
      <c r="X29" s="1"/>
    </row>
    <row r="30" spans="1:24" x14ac:dyDescent="0.35">
      <c r="A30" s="6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8"/>
      <c r="X30" s="1"/>
    </row>
    <row r="31" spans="1:24" x14ac:dyDescent="0.35">
      <c r="A31" s="9"/>
      <c r="Q31" s="10"/>
    </row>
    <row r="32" spans="1:24" ht="15" thickBot="1" x14ac:dyDescent="0.4">
      <c r="A32" s="9"/>
      <c r="Q32" s="10"/>
    </row>
    <row r="33" spans="1:17" x14ac:dyDescent="0.35">
      <c r="A33" s="9"/>
      <c r="N33" s="16" t="s">
        <v>69</v>
      </c>
      <c r="O33" s="17"/>
      <c r="P33" s="18"/>
      <c r="Q33" s="10"/>
    </row>
    <row r="34" spans="1:17" x14ac:dyDescent="0.35">
      <c r="A34" s="9"/>
      <c r="N34" s="19"/>
      <c r="O34" s="20"/>
      <c r="P34" s="21"/>
      <c r="Q34" s="10"/>
    </row>
    <row r="35" spans="1:17" x14ac:dyDescent="0.35">
      <c r="A35" s="9"/>
      <c r="N35" s="22" t="s">
        <v>46</v>
      </c>
      <c r="O35" s="30">
        <v>0</v>
      </c>
      <c r="P35" s="21" t="s">
        <v>67</v>
      </c>
      <c r="Q35" s="10"/>
    </row>
    <row r="36" spans="1:17" x14ac:dyDescent="0.35">
      <c r="A36" s="9"/>
      <c r="N36" s="22" t="s">
        <v>10</v>
      </c>
      <c r="O36" s="30">
        <f>D21</f>
        <v>8.85</v>
      </c>
      <c r="P36" s="21" t="s">
        <v>67</v>
      </c>
      <c r="Q36" s="10"/>
    </row>
    <row r="37" spans="1:17" x14ac:dyDescent="0.35">
      <c r="A37" s="9"/>
      <c r="N37" s="22" t="s">
        <v>11</v>
      </c>
      <c r="O37" s="30">
        <f>D21*2</f>
        <v>17.7</v>
      </c>
      <c r="P37" s="21" t="s">
        <v>67</v>
      </c>
      <c r="Q37" s="10"/>
    </row>
    <row r="38" spans="1:17" x14ac:dyDescent="0.35">
      <c r="A38" s="9"/>
      <c r="N38" s="22" t="s">
        <v>12</v>
      </c>
      <c r="O38" s="30">
        <f>O39+O52</f>
        <v>24.96</v>
      </c>
      <c r="P38" s="21" t="s">
        <v>67</v>
      </c>
      <c r="Q38" s="10"/>
    </row>
    <row r="39" spans="1:17" x14ac:dyDescent="0.35">
      <c r="A39" s="9"/>
      <c r="N39" s="22" t="s">
        <v>13</v>
      </c>
      <c r="O39" s="30">
        <f>D20-0.2</f>
        <v>26.36</v>
      </c>
      <c r="P39" s="21" t="s">
        <v>67</v>
      </c>
      <c r="Q39" s="10"/>
    </row>
    <row r="40" spans="1:17" x14ac:dyDescent="0.35">
      <c r="A40" s="9"/>
      <c r="N40" s="22" t="s">
        <v>14</v>
      </c>
      <c r="O40" s="30">
        <v>1.19</v>
      </c>
      <c r="P40" s="21" t="s">
        <v>67</v>
      </c>
      <c r="Q40" s="10"/>
    </row>
    <row r="41" spans="1:17" x14ac:dyDescent="0.35">
      <c r="A41" s="9"/>
      <c r="N41" s="22" t="s">
        <v>15</v>
      </c>
      <c r="O41" s="31">
        <v>1.58</v>
      </c>
      <c r="P41" s="21" t="s">
        <v>67</v>
      </c>
      <c r="Q41" s="10"/>
    </row>
    <row r="42" spans="1:17" x14ac:dyDescent="0.35">
      <c r="A42" s="9"/>
      <c r="N42" s="22" t="s">
        <v>16</v>
      </c>
      <c r="O42" s="30">
        <f>O44/2</f>
        <v>2.908068904621822</v>
      </c>
      <c r="P42" s="21" t="s">
        <v>67</v>
      </c>
      <c r="Q42" s="10"/>
    </row>
    <row r="43" spans="1:17" x14ac:dyDescent="0.35">
      <c r="A43" s="9"/>
      <c r="N43" s="22" t="s">
        <v>17</v>
      </c>
      <c r="O43" s="30">
        <f>O40+2.2</f>
        <v>3.39</v>
      </c>
      <c r="P43" s="21" t="s">
        <v>67</v>
      </c>
      <c r="Q43" s="10"/>
    </row>
    <row r="44" spans="1:17" x14ac:dyDescent="0.35">
      <c r="A44" s="9"/>
      <c r="N44" s="22" t="s">
        <v>47</v>
      </c>
      <c r="O44" s="30">
        <f>(O45-O46)/2</f>
        <v>5.816137809243644</v>
      </c>
      <c r="P44" s="21" t="s">
        <v>67</v>
      </c>
      <c r="Q44" s="10"/>
    </row>
    <row r="45" spans="1:17" x14ac:dyDescent="0.35">
      <c r="A45" s="9"/>
      <c r="N45" s="22" t="s">
        <v>48</v>
      </c>
      <c r="O45" s="30">
        <f>(D18/2)/(TAN((O66*PI()/180)/2))</f>
        <v>11.782275618487288</v>
      </c>
      <c r="P45" s="21" t="s">
        <v>67</v>
      </c>
      <c r="Q45" s="10"/>
    </row>
    <row r="46" spans="1:17" x14ac:dyDescent="0.35">
      <c r="A46" s="9"/>
      <c r="N46" s="22" t="s">
        <v>56</v>
      </c>
      <c r="O46" s="30">
        <v>0.15</v>
      </c>
      <c r="P46" s="21" t="s">
        <v>67</v>
      </c>
      <c r="Q46" s="10"/>
    </row>
    <row r="47" spans="1:17" ht="15" thickBot="1" x14ac:dyDescent="0.4">
      <c r="A47" s="9"/>
      <c r="N47" s="23"/>
      <c r="O47" s="32"/>
      <c r="P47" s="25"/>
      <c r="Q47" s="10"/>
    </row>
    <row r="48" spans="1:17" x14ac:dyDescent="0.35">
      <c r="A48" s="9"/>
      <c r="O48" s="33"/>
      <c r="Q48" s="10"/>
    </row>
    <row r="49" spans="1:17" ht="15" thickBot="1" x14ac:dyDescent="0.4">
      <c r="A49" s="9"/>
      <c r="O49" s="33"/>
      <c r="Q49" s="10"/>
    </row>
    <row r="50" spans="1:17" x14ac:dyDescent="0.35">
      <c r="A50" s="9"/>
      <c r="N50" s="16" t="s">
        <v>70</v>
      </c>
      <c r="O50" s="34"/>
      <c r="P50" s="18"/>
      <c r="Q50" s="10"/>
    </row>
    <row r="51" spans="1:17" x14ac:dyDescent="0.35">
      <c r="A51" s="9"/>
      <c r="N51" s="19"/>
      <c r="O51" s="35"/>
      <c r="P51" s="21"/>
      <c r="Q51" s="10"/>
    </row>
    <row r="52" spans="1:17" x14ac:dyDescent="0.35">
      <c r="A52" s="9"/>
      <c r="N52" s="22" t="s">
        <v>4</v>
      </c>
      <c r="O52" s="30">
        <v>-1.4</v>
      </c>
      <c r="P52" s="21" t="s">
        <v>67</v>
      </c>
      <c r="Q52" s="10"/>
    </row>
    <row r="53" spans="1:17" x14ac:dyDescent="0.35">
      <c r="A53" s="9"/>
      <c r="N53" s="22" t="s">
        <v>5</v>
      </c>
      <c r="O53" s="30">
        <v>0</v>
      </c>
      <c r="P53" s="21" t="s">
        <v>67</v>
      </c>
      <c r="Q53" s="10"/>
    </row>
    <row r="54" spans="1:17" x14ac:dyDescent="0.35">
      <c r="A54" s="9"/>
      <c r="N54" s="22" t="s">
        <v>6</v>
      </c>
      <c r="O54" s="30">
        <f>O44*TAN((O66/2)*PI()/180)</f>
        <v>3.357948729810778</v>
      </c>
      <c r="P54" s="21" t="s">
        <v>67</v>
      </c>
      <c r="Q54" s="10"/>
    </row>
    <row r="55" spans="1:17" x14ac:dyDescent="0.35">
      <c r="A55" s="9"/>
      <c r="N55" s="22" t="s">
        <v>7</v>
      </c>
      <c r="O55" s="30">
        <f>(D18-O54-O58-O56)/2</f>
        <v>2.8295512701892225</v>
      </c>
      <c r="P55" s="21" t="s">
        <v>67</v>
      </c>
      <c r="Q55" s="10"/>
    </row>
    <row r="56" spans="1:17" x14ac:dyDescent="0.35">
      <c r="A56" s="9"/>
      <c r="N56" s="22" t="s">
        <v>8</v>
      </c>
      <c r="O56" s="30">
        <v>1.23</v>
      </c>
      <c r="P56" s="21" t="s">
        <v>67</v>
      </c>
      <c r="Q56" s="10"/>
    </row>
    <row r="57" spans="1:17" x14ac:dyDescent="0.35">
      <c r="A57" s="9"/>
      <c r="N57" s="22" t="s">
        <v>9</v>
      </c>
      <c r="O57" s="30">
        <f>O55</f>
        <v>2.8295512701892225</v>
      </c>
      <c r="P57" s="21" t="s">
        <v>67</v>
      </c>
      <c r="Q57" s="10"/>
    </row>
    <row r="58" spans="1:17" x14ac:dyDescent="0.35">
      <c r="A58" s="9"/>
      <c r="N58" s="22" t="s">
        <v>20</v>
      </c>
      <c r="O58" s="30">
        <f>O54</f>
        <v>3.357948729810778</v>
      </c>
      <c r="P58" s="21" t="s">
        <v>67</v>
      </c>
      <c r="Q58" s="10"/>
    </row>
    <row r="59" spans="1:17" x14ac:dyDescent="0.35">
      <c r="A59" s="9"/>
      <c r="N59" s="22" t="s">
        <v>22</v>
      </c>
      <c r="O59" s="30">
        <f>O58-O60/2</f>
        <v>2.7429487298107782</v>
      </c>
      <c r="P59" s="21" t="s">
        <v>67</v>
      </c>
      <c r="Q59" s="10"/>
    </row>
    <row r="60" spans="1:17" x14ac:dyDescent="0.35">
      <c r="A60" s="9"/>
      <c r="N60" s="22" t="s">
        <v>23</v>
      </c>
      <c r="O60" s="30">
        <f>O56</f>
        <v>1.23</v>
      </c>
      <c r="P60" s="21" t="s">
        <v>67</v>
      </c>
      <c r="Q60" s="10"/>
    </row>
    <row r="61" spans="1:17" ht="15" thickBot="1" x14ac:dyDescent="0.4">
      <c r="A61" s="9"/>
      <c r="N61" s="23"/>
      <c r="O61" s="24"/>
      <c r="P61" s="25"/>
      <c r="Q61" s="10"/>
    </row>
    <row r="62" spans="1:17" x14ac:dyDescent="0.35">
      <c r="A62" s="9"/>
      <c r="Q62" s="10"/>
    </row>
    <row r="63" spans="1:17" ht="15" thickBot="1" x14ac:dyDescent="0.4">
      <c r="A63" s="9"/>
      <c r="Q63" s="10"/>
    </row>
    <row r="64" spans="1:17" x14ac:dyDescent="0.35">
      <c r="A64" s="9"/>
      <c r="N64" s="16" t="s">
        <v>71</v>
      </c>
      <c r="O64" s="17"/>
      <c r="P64" s="18"/>
      <c r="Q64" s="10"/>
    </row>
    <row r="65" spans="1:17" x14ac:dyDescent="0.35">
      <c r="A65" s="9"/>
      <c r="N65" s="19"/>
      <c r="O65" s="20"/>
      <c r="P65" s="21"/>
      <c r="Q65" s="10"/>
    </row>
    <row r="66" spans="1:17" x14ac:dyDescent="0.35">
      <c r="A66" s="9"/>
      <c r="N66" s="22" t="s">
        <v>72</v>
      </c>
      <c r="O66" s="29">
        <v>60</v>
      </c>
      <c r="P66" s="21" t="s">
        <v>77</v>
      </c>
      <c r="Q66" s="10"/>
    </row>
    <row r="67" spans="1:17" ht="15" thickBot="1" x14ac:dyDescent="0.4">
      <c r="A67" s="9"/>
      <c r="N67" s="23"/>
      <c r="O67" s="24"/>
      <c r="P67" s="25"/>
      <c r="Q67" s="10"/>
    </row>
    <row r="68" spans="1:17" x14ac:dyDescent="0.35">
      <c r="A68" s="9"/>
      <c r="Q68" s="10"/>
    </row>
    <row r="69" spans="1:17" x14ac:dyDescent="0.35">
      <c r="A69" s="9"/>
      <c r="Q69" s="10"/>
    </row>
    <row r="70" spans="1:17" x14ac:dyDescent="0.35">
      <c r="A70" s="9"/>
      <c r="Q70" s="10"/>
    </row>
    <row r="71" spans="1:17" ht="15" thickBot="1" x14ac:dyDescent="0.4">
      <c r="A71" s="12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4"/>
    </row>
    <row r="72" spans="1:17" ht="15" thickBot="1" x14ac:dyDescent="0.4">
      <c r="A72" s="50" t="s">
        <v>73</v>
      </c>
      <c r="B72" s="51"/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2"/>
    </row>
    <row r="73" spans="1:17" x14ac:dyDescent="0.35">
      <c r="A73" s="6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8"/>
    </row>
    <row r="74" spans="1:17" ht="15" thickBot="1" x14ac:dyDescent="0.4">
      <c r="A74" s="9"/>
      <c r="Q74" s="10"/>
    </row>
    <row r="75" spans="1:17" x14ac:dyDescent="0.35">
      <c r="A75" s="9"/>
      <c r="N75" s="16" t="s">
        <v>74</v>
      </c>
      <c r="O75" s="17"/>
      <c r="P75" s="18"/>
      <c r="Q75" s="10"/>
    </row>
    <row r="76" spans="1:17" x14ac:dyDescent="0.35">
      <c r="A76" s="9"/>
      <c r="N76" s="19"/>
      <c r="O76" s="20"/>
      <c r="P76" s="21"/>
      <c r="Q76" s="10"/>
    </row>
    <row r="77" spans="1:17" x14ac:dyDescent="0.35">
      <c r="A77" s="9"/>
      <c r="N77" s="22" t="s">
        <v>18</v>
      </c>
      <c r="O77" s="30">
        <v>-1.6</v>
      </c>
      <c r="P77" s="21" t="s">
        <v>67</v>
      </c>
      <c r="Q77" s="10"/>
    </row>
    <row r="78" spans="1:17" x14ac:dyDescent="0.35">
      <c r="A78" s="9"/>
      <c r="N78" s="22" t="s">
        <v>19</v>
      </c>
      <c r="O78" s="30">
        <v>-0.35</v>
      </c>
      <c r="P78" s="21" t="s">
        <v>67</v>
      </c>
      <c r="Q78" s="10"/>
    </row>
    <row r="79" spans="1:17" x14ac:dyDescent="0.35">
      <c r="A79" s="9"/>
      <c r="N79" s="22" t="s">
        <v>24</v>
      </c>
      <c r="O79" s="37">
        <v>0</v>
      </c>
      <c r="P79" s="21" t="s">
        <v>67</v>
      </c>
      <c r="Q79" s="10"/>
    </row>
    <row r="80" spans="1:17" x14ac:dyDescent="0.35">
      <c r="A80" s="9"/>
      <c r="N80" s="22" t="s">
        <v>40</v>
      </c>
      <c r="O80" s="30">
        <f>D17</f>
        <v>16.16</v>
      </c>
      <c r="P80" s="21" t="s">
        <v>67</v>
      </c>
      <c r="Q80" s="10"/>
    </row>
    <row r="81" spans="1:17" x14ac:dyDescent="0.35">
      <c r="A81" s="9"/>
      <c r="N81" s="22" t="s">
        <v>53</v>
      </c>
      <c r="O81" s="38">
        <v>64.099999999999994</v>
      </c>
      <c r="P81" s="21" t="s">
        <v>67</v>
      </c>
      <c r="Q81" s="10"/>
    </row>
    <row r="82" spans="1:17" ht="15" thickBot="1" x14ac:dyDescent="0.4">
      <c r="A82" s="9"/>
      <c r="N82" s="26"/>
      <c r="O82" s="24"/>
      <c r="P82" s="25"/>
      <c r="Q82" s="10"/>
    </row>
    <row r="83" spans="1:17" ht="15" thickBot="1" x14ac:dyDescent="0.4">
      <c r="A83" s="9"/>
      <c r="Q83" s="10"/>
    </row>
    <row r="84" spans="1:17" x14ac:dyDescent="0.35">
      <c r="A84" s="9"/>
      <c r="N84" s="16" t="s">
        <v>75</v>
      </c>
      <c r="O84" s="17"/>
      <c r="P84" s="18"/>
      <c r="Q84" s="10"/>
    </row>
    <row r="85" spans="1:17" x14ac:dyDescent="0.35">
      <c r="A85" s="9"/>
      <c r="N85" s="19"/>
      <c r="O85" s="20"/>
      <c r="P85" s="21"/>
      <c r="Q85" s="10"/>
    </row>
    <row r="86" spans="1:17" x14ac:dyDescent="0.35">
      <c r="A86" s="9"/>
      <c r="N86" s="22" t="s">
        <v>25</v>
      </c>
      <c r="O86" s="39">
        <f>(((D17-D18)/2)+2*((D18/2)-((O104+O96)/SQRT(2))))/3</f>
        <v>2.0546244626566232</v>
      </c>
      <c r="P86" s="21" t="s">
        <v>67</v>
      </c>
      <c r="Q86" s="10"/>
    </row>
    <row r="87" spans="1:17" x14ac:dyDescent="0.35">
      <c r="A87" s="9"/>
      <c r="N87" s="22" t="s">
        <v>26</v>
      </c>
      <c r="O87" s="39">
        <f>O86</f>
        <v>2.0546244626566232</v>
      </c>
      <c r="P87" s="21" t="s">
        <v>67</v>
      </c>
      <c r="Q87" s="10"/>
    </row>
    <row r="88" spans="1:17" x14ac:dyDescent="0.35">
      <c r="A88" s="9"/>
      <c r="N88" s="22" t="s">
        <v>27</v>
      </c>
      <c r="O88" s="40">
        <f>O87</f>
        <v>2.0546244626566232</v>
      </c>
      <c r="P88" s="21" t="s">
        <v>67</v>
      </c>
      <c r="Q88" s="10"/>
    </row>
    <row r="89" spans="1:17" x14ac:dyDescent="0.35">
      <c r="A89" s="9"/>
      <c r="N89" s="22" t="s">
        <v>28</v>
      </c>
      <c r="O89" s="39">
        <f>D18/2-SUM(O86:O88)</f>
        <v>0.63862661203013005</v>
      </c>
      <c r="P89" s="21" t="s">
        <v>67</v>
      </c>
      <c r="Q89" s="10"/>
    </row>
    <row r="90" spans="1:17" x14ac:dyDescent="0.35">
      <c r="A90" s="9"/>
      <c r="N90" s="22" t="s">
        <v>29</v>
      </c>
      <c r="O90" s="39">
        <f>O86</f>
        <v>2.0546244626566232</v>
      </c>
      <c r="P90" s="21" t="s">
        <v>67</v>
      </c>
      <c r="Q90" s="10"/>
    </row>
    <row r="91" spans="1:17" x14ac:dyDescent="0.35">
      <c r="A91" s="9"/>
      <c r="N91" s="22" t="s">
        <v>32</v>
      </c>
      <c r="O91" s="39">
        <f>O87</f>
        <v>2.0546244626566232</v>
      </c>
      <c r="P91" s="21" t="s">
        <v>67</v>
      </c>
      <c r="Q91" s="10"/>
    </row>
    <row r="92" spans="1:17" x14ac:dyDescent="0.35">
      <c r="A92" s="9"/>
      <c r="N92" s="22" t="s">
        <v>33</v>
      </c>
      <c r="O92" s="39">
        <f>O88</f>
        <v>2.0546244626566232</v>
      </c>
      <c r="P92" s="21" t="s">
        <v>67</v>
      </c>
      <c r="Q92" s="10"/>
    </row>
    <row r="93" spans="1:17" x14ac:dyDescent="0.35">
      <c r="A93" s="9"/>
      <c r="N93" s="22" t="s">
        <v>34</v>
      </c>
      <c r="O93" s="39">
        <f>D17/2-SUM(O90:O92)</f>
        <v>1.9161266120301299</v>
      </c>
      <c r="P93" s="21" t="s">
        <v>67</v>
      </c>
      <c r="Q93" s="10"/>
    </row>
    <row r="94" spans="1:17" x14ac:dyDescent="0.35">
      <c r="A94" s="9"/>
      <c r="N94" s="22" t="s">
        <v>35</v>
      </c>
      <c r="O94" s="39">
        <f>(D17-D23)/2-O96</f>
        <v>1.9150000000000005</v>
      </c>
      <c r="P94" s="21" t="s">
        <v>67</v>
      </c>
      <c r="Q94" s="10"/>
    </row>
    <row r="95" spans="1:17" x14ac:dyDescent="0.35">
      <c r="A95" s="9"/>
      <c r="N95" s="22" t="s">
        <v>36</v>
      </c>
      <c r="O95" s="39">
        <f>SUM(O86:O88)-O97</f>
        <v>5.5263733879698691</v>
      </c>
      <c r="P95" s="21" t="s">
        <v>67</v>
      </c>
      <c r="Q95" s="10"/>
    </row>
    <row r="96" spans="1:17" x14ac:dyDescent="0.35">
      <c r="A96" s="9"/>
      <c r="N96" s="22" t="s">
        <v>37</v>
      </c>
      <c r="O96" s="39">
        <v>0.315</v>
      </c>
      <c r="P96" s="21" t="s">
        <v>67</v>
      </c>
      <c r="Q96" s="10"/>
    </row>
    <row r="97" spans="1:17" x14ac:dyDescent="0.35">
      <c r="A97" s="9"/>
      <c r="N97" s="22" t="s">
        <v>38</v>
      </c>
      <c r="O97" s="39">
        <f>(D18-D23)/2-O96</f>
        <v>0.63750000000000062</v>
      </c>
      <c r="P97" s="21" t="s">
        <v>67</v>
      </c>
      <c r="Q97" s="10"/>
    </row>
    <row r="98" spans="1:17" x14ac:dyDescent="0.35">
      <c r="A98" s="9"/>
      <c r="N98" s="22" t="s">
        <v>39</v>
      </c>
      <c r="O98" s="39">
        <f>SUM(O86:O88)-O94</f>
        <v>4.2488733879698692</v>
      </c>
      <c r="P98" s="21" t="s">
        <v>67</v>
      </c>
      <c r="Q98" s="10"/>
    </row>
    <row r="99" spans="1:17" ht="15" thickBot="1" x14ac:dyDescent="0.4">
      <c r="A99" s="9"/>
      <c r="N99" s="23"/>
      <c r="O99" s="24"/>
      <c r="P99" s="25"/>
      <c r="Q99" s="10"/>
    </row>
    <row r="100" spans="1:17" x14ac:dyDescent="0.35">
      <c r="A100" s="9"/>
      <c r="Q100" s="10"/>
    </row>
    <row r="101" spans="1:17" ht="15" thickBot="1" x14ac:dyDescent="0.4">
      <c r="A101" s="9"/>
      <c r="Q101" s="10"/>
    </row>
    <row r="102" spans="1:17" x14ac:dyDescent="0.35">
      <c r="A102" s="9"/>
      <c r="N102" s="16" t="s">
        <v>76</v>
      </c>
      <c r="O102" s="17"/>
      <c r="P102" s="18"/>
      <c r="Q102" s="10"/>
    </row>
    <row r="103" spans="1:17" x14ac:dyDescent="0.35">
      <c r="A103" s="9"/>
      <c r="N103" s="19"/>
      <c r="O103" s="20"/>
      <c r="P103" s="21"/>
      <c r="Q103" s="10"/>
    </row>
    <row r="104" spans="1:17" x14ac:dyDescent="0.35">
      <c r="A104" s="9"/>
      <c r="N104" s="22" t="s">
        <v>41</v>
      </c>
      <c r="O104" s="39">
        <f>D23/2</f>
        <v>5.85</v>
      </c>
      <c r="P104" s="21" t="s">
        <v>67</v>
      </c>
      <c r="Q104" s="10"/>
    </row>
    <row r="105" spans="1:17" x14ac:dyDescent="0.35">
      <c r="A105" s="9"/>
      <c r="N105" s="22" t="s">
        <v>42</v>
      </c>
      <c r="O105" s="39">
        <f>D23/2+O96</f>
        <v>6.165</v>
      </c>
      <c r="P105" s="21" t="s">
        <v>67</v>
      </c>
      <c r="Q105" s="10"/>
    </row>
    <row r="106" spans="1:17" x14ac:dyDescent="0.35">
      <c r="A106" s="9"/>
      <c r="N106" s="22" t="s">
        <v>43</v>
      </c>
      <c r="O106" s="39">
        <f>O105+O88/SQRT(2)</f>
        <v>7.6178388903362642</v>
      </c>
      <c r="P106" s="21" t="s">
        <v>67</v>
      </c>
      <c r="Q106" s="10"/>
    </row>
    <row r="107" spans="1:17" ht="15" thickBot="1" x14ac:dyDescent="0.4">
      <c r="A107" s="9"/>
      <c r="N107" s="23"/>
      <c r="O107" s="24"/>
      <c r="P107" s="25"/>
      <c r="Q107" s="10"/>
    </row>
    <row r="108" spans="1:17" x14ac:dyDescent="0.35">
      <c r="A108" s="9"/>
      <c r="Q108" s="10"/>
    </row>
    <row r="109" spans="1:17" x14ac:dyDescent="0.35">
      <c r="A109" s="9"/>
      <c r="Q109" s="10"/>
    </row>
    <row r="110" spans="1:17" x14ac:dyDescent="0.35">
      <c r="A110" s="9"/>
      <c r="Q110" s="10"/>
    </row>
    <row r="111" spans="1:17" ht="15" thickBot="1" x14ac:dyDescent="0.4">
      <c r="A111" s="12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4"/>
    </row>
    <row r="112" spans="1:17" ht="15" thickBot="1" x14ac:dyDescent="0.4">
      <c r="A112" s="50" t="s">
        <v>78</v>
      </c>
      <c r="B112" s="51"/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2"/>
    </row>
    <row r="113" spans="1:17" ht="15" thickBot="1" x14ac:dyDescent="0.4">
      <c r="A113" s="6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8"/>
    </row>
    <row r="114" spans="1:17" x14ac:dyDescent="0.35">
      <c r="A114" s="9"/>
      <c r="N114" s="16" t="s">
        <v>87</v>
      </c>
      <c r="O114" s="17"/>
      <c r="P114" s="18"/>
      <c r="Q114" s="10"/>
    </row>
    <row r="115" spans="1:17" x14ac:dyDescent="0.35">
      <c r="A115" s="9"/>
      <c r="N115" s="19"/>
      <c r="O115" s="20"/>
      <c r="P115" s="21"/>
      <c r="Q115" s="10"/>
    </row>
    <row r="116" spans="1:17" x14ac:dyDescent="0.35">
      <c r="A116" s="9"/>
      <c r="N116" s="22" t="s">
        <v>30</v>
      </c>
      <c r="O116" s="27">
        <v>1.7</v>
      </c>
      <c r="P116" s="21" t="s">
        <v>67</v>
      </c>
      <c r="Q116" s="10"/>
    </row>
    <row r="117" spans="1:17" x14ac:dyDescent="0.35">
      <c r="A117" s="9"/>
      <c r="N117" s="22" t="s">
        <v>31</v>
      </c>
      <c r="O117" s="27">
        <v>0.9</v>
      </c>
      <c r="P117" s="21" t="s">
        <v>67</v>
      </c>
      <c r="Q117" s="10"/>
    </row>
    <row r="118" spans="1:17" x14ac:dyDescent="0.35">
      <c r="A118" s="9"/>
      <c r="N118" s="22" t="s">
        <v>44</v>
      </c>
      <c r="O118" s="27">
        <v>0.4</v>
      </c>
      <c r="P118" s="21" t="s">
        <v>67</v>
      </c>
      <c r="Q118" s="10"/>
    </row>
    <row r="119" spans="1:17" x14ac:dyDescent="0.35">
      <c r="A119" s="9"/>
      <c r="N119" s="22" t="s">
        <v>54</v>
      </c>
      <c r="O119" s="27">
        <v>6.0750000000000002</v>
      </c>
      <c r="P119" s="21" t="s">
        <v>67</v>
      </c>
      <c r="Q119" s="10"/>
    </row>
    <row r="120" spans="1:17" x14ac:dyDescent="0.35">
      <c r="A120" s="9"/>
      <c r="N120" s="22" t="s">
        <v>55</v>
      </c>
      <c r="O120" s="27">
        <v>0.9</v>
      </c>
      <c r="P120" s="21" t="s">
        <v>67</v>
      </c>
      <c r="Q120" s="10"/>
    </row>
    <row r="121" spans="1:17" x14ac:dyDescent="0.35">
      <c r="A121" s="9"/>
      <c r="N121" s="22" t="s">
        <v>57</v>
      </c>
      <c r="O121" s="27">
        <v>0.3</v>
      </c>
      <c r="P121" s="21" t="s">
        <v>67</v>
      </c>
      <c r="Q121" s="10"/>
    </row>
    <row r="122" spans="1:17" ht="15" thickBot="1" x14ac:dyDescent="0.4">
      <c r="A122" s="9"/>
      <c r="N122" s="23"/>
      <c r="O122" s="24"/>
      <c r="P122" s="25"/>
      <c r="Q122" s="10"/>
    </row>
    <row r="123" spans="1:17" x14ac:dyDescent="0.35">
      <c r="A123" s="9"/>
      <c r="Q123" s="10"/>
    </row>
    <row r="124" spans="1:17" ht="15" thickBot="1" x14ac:dyDescent="0.4">
      <c r="A124" s="12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4"/>
    </row>
  </sheetData>
  <sheetProtection selectLockedCells="1" selectUnlockedCells="1"/>
  <mergeCells count="9">
    <mergeCell ref="A1:Q2"/>
    <mergeCell ref="A72:Q72"/>
    <mergeCell ref="A112:Q112"/>
    <mergeCell ref="A28:Q28"/>
    <mergeCell ref="A15:Q15"/>
    <mergeCell ref="D6:E6"/>
    <mergeCell ref="A29:Q29"/>
    <mergeCell ref="D4:G4"/>
    <mergeCell ref="D5:G5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8</xdr:col>
                <xdr:colOff>146050</xdr:colOff>
                <xdr:row>9</xdr:row>
                <xdr:rowOff>107950</xdr:rowOff>
              </from>
              <to>
                <xdr:col>12</xdr:col>
                <xdr:colOff>101600</xdr:colOff>
                <xdr:row>13</xdr:row>
                <xdr:rowOff>31750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12</xdr:col>
                <xdr:colOff>374650</xdr:colOff>
                <xdr:row>9</xdr:row>
                <xdr:rowOff>107950</xdr:rowOff>
              </from>
              <to>
                <xdr:col>16</xdr:col>
                <xdr:colOff>317500</xdr:colOff>
                <xdr:row>13</xdr:row>
                <xdr:rowOff>12700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320"/>
  <sheetViews>
    <sheetView tabSelected="1" workbookViewId="0">
      <pane ySplit="13" topLeftCell="A14" activePane="bottomLeft" state="frozen"/>
      <selection pane="bottomLeft" activeCell="B2" sqref="B2"/>
    </sheetView>
  </sheetViews>
  <sheetFormatPr baseColWidth="10" defaultColWidth="8.7265625" defaultRowHeight="14.5" x14ac:dyDescent="0.35"/>
  <cols>
    <col min="1" max="1" width="6.1796875" customWidth="1"/>
    <col min="2" max="2" width="13.81640625" bestFit="1" customWidth="1"/>
    <col min="3" max="4" width="7" bestFit="1" customWidth="1"/>
  </cols>
  <sheetData>
    <row r="1" spans="1:24" x14ac:dyDescent="0.35">
      <c r="A1" t="s">
        <v>0</v>
      </c>
      <c r="B1" t="s">
        <v>1</v>
      </c>
      <c r="C1" t="s">
        <v>2</v>
      </c>
      <c r="D1" t="s">
        <v>3</v>
      </c>
      <c r="H1" t="s">
        <v>46</v>
      </c>
      <c r="I1">
        <f>INITIALIZE!O35</f>
        <v>0</v>
      </c>
      <c r="K1" t="s">
        <v>4</v>
      </c>
      <c r="L1">
        <f>INITIALIZE!O52</f>
        <v>-1.4</v>
      </c>
      <c r="N1" t="s">
        <v>25</v>
      </c>
      <c r="O1">
        <f>INITIALIZE!O86</f>
        <v>2.0546244626566232</v>
      </c>
      <c r="Q1" t="s">
        <v>30</v>
      </c>
      <c r="R1">
        <f>INITIALIZE!O116</f>
        <v>1.7</v>
      </c>
      <c r="T1" t="s">
        <v>18</v>
      </c>
      <c r="U1">
        <f>INITIALIZE!O77</f>
        <v>-1.6</v>
      </c>
      <c r="W1" t="s">
        <v>21</v>
      </c>
      <c r="X1">
        <f>INITIALIZE!O66</f>
        <v>60</v>
      </c>
    </row>
    <row r="2" spans="1:24" x14ac:dyDescent="0.35">
      <c r="A2">
        <v>1</v>
      </c>
      <c r="B2">
        <f>$L$2</f>
        <v>0</v>
      </c>
      <c r="C2">
        <f>$U$3</f>
        <v>0</v>
      </c>
      <c r="D2">
        <f>$I$1</f>
        <v>0</v>
      </c>
      <c r="H2" t="s">
        <v>10</v>
      </c>
      <c r="I2">
        <f>INITIALIZE!O36</f>
        <v>8.85</v>
      </c>
      <c r="K2" t="s">
        <v>5</v>
      </c>
      <c r="L2">
        <f>INITIALIZE!O53</f>
        <v>0</v>
      </c>
      <c r="N2" t="s">
        <v>26</v>
      </c>
      <c r="O2">
        <f>INITIALIZE!O87</f>
        <v>2.0546244626566232</v>
      </c>
      <c r="Q2" t="s">
        <v>31</v>
      </c>
      <c r="R2">
        <f>INITIALIZE!O117</f>
        <v>0.9</v>
      </c>
      <c r="T2" t="s">
        <v>19</v>
      </c>
      <c r="U2">
        <f>INITIALIZE!O78</f>
        <v>-0.35</v>
      </c>
      <c r="W2" t="s">
        <v>41</v>
      </c>
      <c r="X2">
        <f>INITIALIZE!O104</f>
        <v>5.85</v>
      </c>
    </row>
    <row r="3" spans="1:24" x14ac:dyDescent="0.35">
      <c r="A3">
        <v>2</v>
      </c>
      <c r="B3">
        <f>SUM($L$3:$L$7)</f>
        <v>13.605</v>
      </c>
      <c r="C3">
        <f>$U$3</f>
        <v>0</v>
      </c>
      <c r="D3">
        <f>$I$1</f>
        <v>0</v>
      </c>
      <c r="H3" t="s">
        <v>11</v>
      </c>
      <c r="I3">
        <f>INITIALIZE!O37</f>
        <v>17.7</v>
      </c>
      <c r="K3" t="s">
        <v>6</v>
      </c>
      <c r="L3">
        <f>INITIALIZE!O54</f>
        <v>3.357948729810778</v>
      </c>
      <c r="N3" t="s">
        <v>27</v>
      </c>
      <c r="O3">
        <f>INITIALIZE!O88</f>
        <v>2.0546244626566232</v>
      </c>
      <c r="Q3" t="s">
        <v>44</v>
      </c>
      <c r="R3">
        <f>INITIALIZE!O118</f>
        <v>0.4</v>
      </c>
      <c r="T3" t="s">
        <v>24</v>
      </c>
      <c r="U3">
        <f>INITIALIZE!O79</f>
        <v>0</v>
      </c>
      <c r="W3" t="s">
        <v>42</v>
      </c>
      <c r="X3">
        <f>INITIALIZE!O105</f>
        <v>6.165</v>
      </c>
    </row>
    <row r="4" spans="1:24" x14ac:dyDescent="0.35">
      <c r="A4">
        <v>3</v>
      </c>
      <c r="B4">
        <f>$L$2</f>
        <v>0</v>
      </c>
      <c r="C4">
        <f>$U$4</f>
        <v>16.16</v>
      </c>
      <c r="D4">
        <f>$I$1</f>
        <v>0</v>
      </c>
      <c r="H4" t="s">
        <v>12</v>
      </c>
      <c r="I4">
        <f>INITIALIZE!O38</f>
        <v>24.96</v>
      </c>
      <c r="K4" t="s">
        <v>7</v>
      </c>
      <c r="L4">
        <f>INITIALIZE!O55</f>
        <v>2.8295512701892225</v>
      </c>
      <c r="N4" t="s">
        <v>28</v>
      </c>
      <c r="O4">
        <f>INITIALIZE!O89</f>
        <v>0.63862661203013005</v>
      </c>
      <c r="Q4" t="s">
        <v>54</v>
      </c>
      <c r="R4">
        <f>INITIALIZE!O119</f>
        <v>6.0750000000000002</v>
      </c>
      <c r="T4" t="s">
        <v>40</v>
      </c>
      <c r="U4">
        <f>INITIALIZE!O80</f>
        <v>16.16</v>
      </c>
      <c r="W4" t="s">
        <v>43</v>
      </c>
      <c r="X4">
        <f>INITIALIZE!O106</f>
        <v>7.6178388903362642</v>
      </c>
    </row>
    <row r="5" spans="1:24" x14ac:dyDescent="0.35">
      <c r="A5">
        <v>4</v>
      </c>
      <c r="B5">
        <f>SUM($L$3:$L$7)</f>
        <v>13.605</v>
      </c>
      <c r="C5">
        <f>$U$4</f>
        <v>16.16</v>
      </c>
      <c r="D5">
        <f>$I$1</f>
        <v>0</v>
      </c>
      <c r="H5" t="s">
        <v>13</v>
      </c>
      <c r="I5">
        <f>INITIALIZE!O39</f>
        <v>26.36</v>
      </c>
      <c r="K5" t="s">
        <v>8</v>
      </c>
      <c r="L5">
        <f>INITIALIZE!O56</f>
        <v>1.23</v>
      </c>
      <c r="N5" t="s">
        <v>29</v>
      </c>
      <c r="O5">
        <f>INITIALIZE!O90</f>
        <v>2.0546244626566232</v>
      </c>
      <c r="Q5" t="s">
        <v>55</v>
      </c>
      <c r="R5">
        <f>INITIALIZE!O120</f>
        <v>0.9</v>
      </c>
      <c r="T5" t="s">
        <v>53</v>
      </c>
      <c r="U5">
        <f>INITIALIZE!O81</f>
        <v>64.099999999999994</v>
      </c>
      <c r="V5" t="s">
        <v>50</v>
      </c>
    </row>
    <row r="6" spans="1:24" x14ac:dyDescent="0.35">
      <c r="A6">
        <v>5</v>
      </c>
      <c r="B6">
        <f>$L$2</f>
        <v>0</v>
      </c>
      <c r="C6">
        <f>$U$3</f>
        <v>0</v>
      </c>
      <c r="D6">
        <f>$I$2</f>
        <v>8.85</v>
      </c>
      <c r="H6" t="s">
        <v>14</v>
      </c>
      <c r="I6">
        <f>INITIALIZE!O40</f>
        <v>1.19</v>
      </c>
      <c r="K6" t="s">
        <v>9</v>
      </c>
      <c r="L6">
        <f>INITIALIZE!O57</f>
        <v>2.8295512701892225</v>
      </c>
      <c r="N6" t="s">
        <v>32</v>
      </c>
      <c r="O6">
        <f>INITIALIZE!O91</f>
        <v>2.0546244626566232</v>
      </c>
      <c r="Q6" t="s">
        <v>57</v>
      </c>
      <c r="R6">
        <f>INITIALIZE!O121</f>
        <v>0.3</v>
      </c>
    </row>
    <row r="7" spans="1:24" x14ac:dyDescent="0.35">
      <c r="A7">
        <v>6</v>
      </c>
      <c r="B7">
        <f>ROUND(SUM($L$3:$L$7)/2,3)</f>
        <v>6.8029999999999999</v>
      </c>
      <c r="C7">
        <f>$U$3</f>
        <v>0</v>
      </c>
      <c r="D7">
        <f t="shared" ref="D7:D13" si="0">$I$2</f>
        <v>8.85</v>
      </c>
      <c r="H7" t="s">
        <v>15</v>
      </c>
      <c r="I7">
        <f>INITIALIZE!O41</f>
        <v>1.58</v>
      </c>
      <c r="K7" t="s">
        <v>20</v>
      </c>
      <c r="L7">
        <f>INITIALIZE!O58</f>
        <v>3.357948729810778</v>
      </c>
      <c r="N7" t="s">
        <v>33</v>
      </c>
      <c r="O7">
        <f>INITIALIZE!O92</f>
        <v>2.0546244626566232</v>
      </c>
    </row>
    <row r="8" spans="1:24" x14ac:dyDescent="0.35">
      <c r="A8">
        <v>7</v>
      </c>
      <c r="B8">
        <f>SUM($L$3:$L$7)</f>
        <v>13.605</v>
      </c>
      <c r="C8">
        <f>$U$3</f>
        <v>0</v>
      </c>
      <c r="D8">
        <f t="shared" si="0"/>
        <v>8.85</v>
      </c>
      <c r="H8" t="s">
        <v>16</v>
      </c>
      <c r="I8">
        <f>INITIALIZE!O42</f>
        <v>2.908068904621822</v>
      </c>
      <c r="K8" t="s">
        <v>22</v>
      </c>
      <c r="L8">
        <f>INITIALIZE!O59</f>
        <v>2.7429487298107782</v>
      </c>
      <c r="N8" t="s">
        <v>34</v>
      </c>
      <c r="O8">
        <f>INITIALIZE!O93</f>
        <v>1.9161266120301299</v>
      </c>
    </row>
    <row r="9" spans="1:24" x14ac:dyDescent="0.35">
      <c r="A9">
        <v>8</v>
      </c>
      <c r="B9">
        <f>$L$2</f>
        <v>0</v>
      </c>
      <c r="C9">
        <f>$U$4/2</f>
        <v>8.08</v>
      </c>
      <c r="D9">
        <f t="shared" si="0"/>
        <v>8.85</v>
      </c>
      <c r="H9" t="s">
        <v>17</v>
      </c>
      <c r="I9">
        <f>INITIALIZE!O43</f>
        <v>3.39</v>
      </c>
      <c r="K9" t="s">
        <v>23</v>
      </c>
      <c r="L9">
        <f>INITIALIZE!O60</f>
        <v>1.23</v>
      </c>
      <c r="N9" t="s">
        <v>35</v>
      </c>
      <c r="O9">
        <f>INITIALIZE!O94</f>
        <v>1.9150000000000005</v>
      </c>
    </row>
    <row r="10" spans="1:24" x14ac:dyDescent="0.35">
      <c r="A10">
        <v>9</v>
      </c>
      <c r="B10">
        <f>SUM($L$3:$L$7)</f>
        <v>13.605</v>
      </c>
      <c r="C10">
        <f>$U$4/2</f>
        <v>8.08</v>
      </c>
      <c r="D10">
        <f t="shared" si="0"/>
        <v>8.85</v>
      </c>
      <c r="H10" t="s">
        <v>47</v>
      </c>
      <c r="I10">
        <f>INITIALIZE!O44</f>
        <v>5.816137809243644</v>
      </c>
      <c r="N10" t="s">
        <v>36</v>
      </c>
      <c r="O10">
        <f>INITIALIZE!O95</f>
        <v>5.5263733879698691</v>
      </c>
    </row>
    <row r="11" spans="1:24" x14ac:dyDescent="0.35">
      <c r="A11">
        <v>10</v>
      </c>
      <c r="B11">
        <f>$L$2</f>
        <v>0</v>
      </c>
      <c r="C11">
        <f>$U$4</f>
        <v>16.16</v>
      </c>
      <c r="D11">
        <f t="shared" si="0"/>
        <v>8.85</v>
      </c>
      <c r="H11" t="s">
        <v>48</v>
      </c>
      <c r="I11">
        <f>INITIALIZE!O45</f>
        <v>11.782275618487288</v>
      </c>
      <c r="N11" t="s">
        <v>37</v>
      </c>
      <c r="O11">
        <f>INITIALIZE!O96</f>
        <v>0.315</v>
      </c>
    </row>
    <row r="12" spans="1:24" x14ac:dyDescent="0.35">
      <c r="A12">
        <v>11</v>
      </c>
      <c r="B12">
        <f>ROUND(SUM($L$3:$L$7)/2,3)</f>
        <v>6.8029999999999999</v>
      </c>
      <c r="C12">
        <f>$U$4</f>
        <v>16.16</v>
      </c>
      <c r="D12">
        <f t="shared" si="0"/>
        <v>8.85</v>
      </c>
      <c r="H12" t="s">
        <v>56</v>
      </c>
      <c r="I12">
        <f>INITIALIZE!O46</f>
        <v>0.15</v>
      </c>
      <c r="N12" t="s">
        <v>38</v>
      </c>
      <c r="O12">
        <f>INITIALIZE!O97</f>
        <v>0.63750000000000062</v>
      </c>
    </row>
    <row r="13" spans="1:24" x14ac:dyDescent="0.35">
      <c r="A13">
        <v>12</v>
      </c>
      <c r="B13">
        <f>SUM($L$3:$L$7)</f>
        <v>13.605</v>
      </c>
      <c r="C13">
        <f>$U$4</f>
        <v>16.16</v>
      </c>
      <c r="D13">
        <f t="shared" si="0"/>
        <v>8.85</v>
      </c>
      <c r="N13" t="s">
        <v>39</v>
      </c>
      <c r="O13">
        <f>INITIALIZE!O98</f>
        <v>4.2488733879698692</v>
      </c>
    </row>
    <row r="14" spans="1:24" x14ac:dyDescent="0.35">
      <c r="A14">
        <v>13</v>
      </c>
      <c r="B14">
        <f>$L$2</f>
        <v>0</v>
      </c>
      <c r="C14">
        <f>$U$3</f>
        <v>0</v>
      </c>
      <c r="D14">
        <f>$I$3</f>
        <v>17.7</v>
      </c>
    </row>
    <row r="15" spans="1:24" x14ac:dyDescent="0.35">
      <c r="A15">
        <v>14</v>
      </c>
      <c r="B15">
        <f>ROUND(SUM($L$3:$L$7)/2,3)</f>
        <v>6.8029999999999999</v>
      </c>
      <c r="C15">
        <f>$U$3</f>
        <v>0</v>
      </c>
      <c r="D15">
        <f t="shared" ref="D15:D21" si="1">$I$3</f>
        <v>17.7</v>
      </c>
    </row>
    <row r="16" spans="1:24" x14ac:dyDescent="0.35">
      <c r="A16">
        <v>15</v>
      </c>
      <c r="B16">
        <f>SUM($L$3:$L$7)</f>
        <v>13.605</v>
      </c>
      <c r="C16">
        <f>$U$3</f>
        <v>0</v>
      </c>
      <c r="D16">
        <f t="shared" si="1"/>
        <v>17.7</v>
      </c>
    </row>
    <row r="17" spans="1:4" x14ac:dyDescent="0.35">
      <c r="A17">
        <v>16</v>
      </c>
      <c r="B17">
        <f>$L$2</f>
        <v>0</v>
      </c>
      <c r="C17">
        <f>$U$4/2</f>
        <v>8.08</v>
      </c>
      <c r="D17">
        <f t="shared" si="1"/>
        <v>17.7</v>
      </c>
    </row>
    <row r="18" spans="1:4" x14ac:dyDescent="0.35">
      <c r="A18">
        <v>17</v>
      </c>
      <c r="B18">
        <f>SUM($L$3:$L$7)</f>
        <v>13.605</v>
      </c>
      <c r="C18">
        <f>$U$4/2</f>
        <v>8.08</v>
      </c>
      <c r="D18">
        <f t="shared" si="1"/>
        <v>17.7</v>
      </c>
    </row>
    <row r="19" spans="1:4" x14ac:dyDescent="0.35">
      <c r="A19">
        <v>18</v>
      </c>
      <c r="B19">
        <f>$L$2</f>
        <v>0</v>
      </c>
      <c r="C19">
        <f>$U$4</f>
        <v>16.16</v>
      </c>
      <c r="D19">
        <f t="shared" si="1"/>
        <v>17.7</v>
      </c>
    </row>
    <row r="20" spans="1:4" x14ac:dyDescent="0.35">
      <c r="A20">
        <v>19</v>
      </c>
      <c r="B20">
        <f>ROUND(SUM($L$3:$L$7)/2,3)</f>
        <v>6.8029999999999999</v>
      </c>
      <c r="C20">
        <f>$U$4</f>
        <v>16.16</v>
      </c>
      <c r="D20">
        <f t="shared" si="1"/>
        <v>17.7</v>
      </c>
    </row>
    <row r="21" spans="1:4" x14ac:dyDescent="0.35">
      <c r="A21">
        <v>20</v>
      </c>
      <c r="B21">
        <f>SUM($L$3:$L$7)</f>
        <v>13.605</v>
      </c>
      <c r="C21">
        <f>$U$4</f>
        <v>16.16</v>
      </c>
      <c r="D21">
        <f t="shared" si="1"/>
        <v>17.7</v>
      </c>
    </row>
    <row r="22" spans="1:4" x14ac:dyDescent="0.35">
      <c r="A22">
        <v>21</v>
      </c>
      <c r="B22">
        <f>$L$2</f>
        <v>0</v>
      </c>
      <c r="C22">
        <f>$U$3</f>
        <v>0</v>
      </c>
      <c r="D22">
        <f>$I$4</f>
        <v>24.96</v>
      </c>
    </row>
    <row r="23" spans="1:4" x14ac:dyDescent="0.35">
      <c r="A23">
        <v>22</v>
      </c>
      <c r="B23">
        <f>SUM($L$3:$L$7)</f>
        <v>13.605</v>
      </c>
      <c r="C23">
        <f>$U$3</f>
        <v>0</v>
      </c>
      <c r="D23">
        <f>$I$4</f>
        <v>24.96</v>
      </c>
    </row>
    <row r="24" spans="1:4" x14ac:dyDescent="0.35">
      <c r="A24">
        <v>23</v>
      </c>
      <c r="B24">
        <f>$L$2</f>
        <v>0</v>
      </c>
      <c r="C24">
        <f>$U$4</f>
        <v>16.16</v>
      </c>
      <c r="D24">
        <f>$I$4</f>
        <v>24.96</v>
      </c>
    </row>
    <row r="25" spans="1:4" x14ac:dyDescent="0.35">
      <c r="A25">
        <v>24</v>
      </c>
      <c r="B25">
        <f>SUM($L$3:$L$7)</f>
        <v>13.605</v>
      </c>
      <c r="C25">
        <f>$U$4</f>
        <v>16.16</v>
      </c>
      <c r="D25">
        <f>$I$4</f>
        <v>24.96</v>
      </c>
    </row>
    <row r="26" spans="1:4" x14ac:dyDescent="0.35">
      <c r="A26">
        <v>25</v>
      </c>
      <c r="B26" s="1">
        <f>$L$1</f>
        <v>-1.4</v>
      </c>
      <c r="C26">
        <f t="shared" ref="C26:C40" si="2">$U$1</f>
        <v>-1.6</v>
      </c>
      <c r="D26">
        <f t="shared" ref="D26:D57" si="3">$I$5</f>
        <v>26.36</v>
      </c>
    </row>
    <row r="27" spans="1:4" x14ac:dyDescent="0.35">
      <c r="A27">
        <v>26</v>
      </c>
      <c r="B27" s="1">
        <f>$L$2</f>
        <v>0</v>
      </c>
      <c r="C27">
        <f t="shared" si="2"/>
        <v>-1.6</v>
      </c>
      <c r="D27">
        <f t="shared" si="3"/>
        <v>26.36</v>
      </c>
    </row>
    <row r="28" spans="1:4" x14ac:dyDescent="0.35">
      <c r="A28">
        <v>27</v>
      </c>
      <c r="B28" s="1">
        <f>ROUND($L$3/3,2)</f>
        <v>1.1200000000000001</v>
      </c>
      <c r="C28">
        <f t="shared" si="2"/>
        <v>-1.6</v>
      </c>
      <c r="D28">
        <f t="shared" si="3"/>
        <v>26.36</v>
      </c>
    </row>
    <row r="29" spans="1:4" x14ac:dyDescent="0.35">
      <c r="A29">
        <v>28</v>
      </c>
      <c r="B29" s="1">
        <f>$L$3-ROUND($L$3/3,2)</f>
        <v>2.2379487298107779</v>
      </c>
      <c r="C29">
        <f t="shared" si="2"/>
        <v>-1.6</v>
      </c>
      <c r="D29">
        <f t="shared" si="3"/>
        <v>26.36</v>
      </c>
    </row>
    <row r="30" spans="1:4" x14ac:dyDescent="0.35">
      <c r="A30">
        <v>29</v>
      </c>
      <c r="B30" s="1">
        <f>$L$3</f>
        <v>3.357948729810778</v>
      </c>
      <c r="C30">
        <f t="shared" si="2"/>
        <v>-1.6</v>
      </c>
      <c r="D30">
        <f t="shared" si="3"/>
        <v>26.36</v>
      </c>
    </row>
    <row r="31" spans="1:4" x14ac:dyDescent="0.35">
      <c r="A31">
        <v>30</v>
      </c>
      <c r="B31" s="1">
        <f>ROUND($L$4/3,2)+$L$3</f>
        <v>4.2979487298107779</v>
      </c>
      <c r="C31">
        <f t="shared" si="2"/>
        <v>-1.6</v>
      </c>
      <c r="D31">
        <f t="shared" si="3"/>
        <v>26.36</v>
      </c>
    </row>
    <row r="32" spans="1:4" x14ac:dyDescent="0.35">
      <c r="A32">
        <v>31</v>
      </c>
      <c r="B32" s="1">
        <f>$L$3+$L$4-ROUND($L$4/3,2)</f>
        <v>5.2475000000000005</v>
      </c>
      <c r="C32">
        <f t="shared" si="2"/>
        <v>-1.6</v>
      </c>
      <c r="D32">
        <f t="shared" si="3"/>
        <v>26.36</v>
      </c>
    </row>
    <row r="33" spans="1:4" x14ac:dyDescent="0.35">
      <c r="A33">
        <v>32</v>
      </c>
      <c r="B33" s="1">
        <f>$L$3+$L$4</f>
        <v>6.1875</v>
      </c>
      <c r="C33">
        <f t="shared" si="2"/>
        <v>-1.6</v>
      </c>
      <c r="D33">
        <f t="shared" si="3"/>
        <v>26.36</v>
      </c>
    </row>
    <row r="34" spans="1:4" x14ac:dyDescent="0.35">
      <c r="A34">
        <v>33</v>
      </c>
      <c r="B34" s="1">
        <f>$L$3+$L$4+$L$5</f>
        <v>7.4175000000000004</v>
      </c>
      <c r="C34">
        <f t="shared" si="2"/>
        <v>-1.6</v>
      </c>
      <c r="D34">
        <f t="shared" si="3"/>
        <v>26.36</v>
      </c>
    </row>
    <row r="35" spans="1:4" x14ac:dyDescent="0.35">
      <c r="A35">
        <v>34</v>
      </c>
      <c r="B35" s="1">
        <f>ROUND($L$6/3,2)+$L$3+$L$4+$L$5</f>
        <v>8.3574999999999999</v>
      </c>
      <c r="C35">
        <f t="shared" si="2"/>
        <v>-1.6</v>
      </c>
      <c r="D35">
        <f t="shared" si="3"/>
        <v>26.36</v>
      </c>
    </row>
    <row r="36" spans="1:4" x14ac:dyDescent="0.35">
      <c r="A36">
        <v>35</v>
      </c>
      <c r="B36" s="1">
        <f>$L$3+$L$4+$L$5+$L$6-ROUND($L$6/3,2)</f>
        <v>9.3070512701892234</v>
      </c>
      <c r="C36">
        <f t="shared" si="2"/>
        <v>-1.6</v>
      </c>
      <c r="D36">
        <f t="shared" si="3"/>
        <v>26.36</v>
      </c>
    </row>
    <row r="37" spans="1:4" x14ac:dyDescent="0.35">
      <c r="A37">
        <v>36</v>
      </c>
      <c r="B37" s="1">
        <f>$L$3+$L$4+$L$5+$L$6</f>
        <v>10.247051270189223</v>
      </c>
      <c r="C37">
        <f t="shared" si="2"/>
        <v>-1.6</v>
      </c>
      <c r="D37">
        <f t="shared" si="3"/>
        <v>26.36</v>
      </c>
    </row>
    <row r="38" spans="1:4" x14ac:dyDescent="0.35">
      <c r="A38">
        <v>37</v>
      </c>
      <c r="B38" s="1">
        <f>ROUND($L$7/3,2)+$L$3+$L$4+$L$5+$L$6</f>
        <v>11.367051270189224</v>
      </c>
      <c r="C38">
        <f t="shared" si="2"/>
        <v>-1.6</v>
      </c>
      <c r="D38">
        <f t="shared" si="3"/>
        <v>26.36</v>
      </c>
    </row>
    <row r="39" spans="1:4" x14ac:dyDescent="0.35">
      <c r="A39">
        <v>38</v>
      </c>
      <c r="B39" s="1">
        <f>$L$3+$L$4+$L$5+$L$6+$L$7-ROUND($L$7/3,2)</f>
        <v>12.484999999999999</v>
      </c>
      <c r="C39">
        <f t="shared" si="2"/>
        <v>-1.6</v>
      </c>
      <c r="D39">
        <f t="shared" si="3"/>
        <v>26.36</v>
      </c>
    </row>
    <row r="40" spans="1:4" x14ac:dyDescent="0.35">
      <c r="A40">
        <v>39</v>
      </c>
      <c r="B40" s="1">
        <f>$L$3+$L$4+$L$5+$L$6+$L$7</f>
        <v>13.605</v>
      </c>
      <c r="C40">
        <f t="shared" si="2"/>
        <v>-1.6</v>
      </c>
      <c r="D40">
        <f t="shared" si="3"/>
        <v>26.36</v>
      </c>
    </row>
    <row r="41" spans="1:4" x14ac:dyDescent="0.35">
      <c r="A41">
        <v>40</v>
      </c>
      <c r="B41" s="1">
        <f>$L$1</f>
        <v>-1.4</v>
      </c>
      <c r="C41">
        <f t="shared" ref="C41:C46" si="4">$U$2</f>
        <v>-0.35</v>
      </c>
      <c r="D41">
        <f t="shared" si="3"/>
        <v>26.36</v>
      </c>
    </row>
    <row r="42" spans="1:4" x14ac:dyDescent="0.35">
      <c r="A42">
        <v>41</v>
      </c>
      <c r="B42" s="1">
        <f>$L$2</f>
        <v>0</v>
      </c>
      <c r="C42">
        <f t="shared" si="4"/>
        <v>-0.35</v>
      </c>
      <c r="D42">
        <f t="shared" si="3"/>
        <v>26.36</v>
      </c>
    </row>
    <row r="43" spans="1:4" x14ac:dyDescent="0.35">
      <c r="A43">
        <v>42</v>
      </c>
      <c r="B43" s="1">
        <f>$L$3</f>
        <v>3.357948729810778</v>
      </c>
      <c r="C43">
        <f t="shared" si="4"/>
        <v>-0.35</v>
      </c>
      <c r="D43">
        <f t="shared" si="3"/>
        <v>26.36</v>
      </c>
    </row>
    <row r="44" spans="1:4" x14ac:dyDescent="0.35">
      <c r="A44">
        <v>43</v>
      </c>
      <c r="B44" s="1">
        <f>$L$3+$L$4</f>
        <v>6.1875</v>
      </c>
      <c r="C44">
        <f t="shared" si="4"/>
        <v>-0.35</v>
      </c>
      <c r="D44">
        <f t="shared" si="3"/>
        <v>26.36</v>
      </c>
    </row>
    <row r="45" spans="1:4" x14ac:dyDescent="0.35">
      <c r="A45">
        <v>44</v>
      </c>
      <c r="B45" s="1">
        <f>$L$3+$L$4+$L$5</f>
        <v>7.4175000000000004</v>
      </c>
      <c r="C45">
        <f t="shared" si="4"/>
        <v>-0.35</v>
      </c>
      <c r="D45">
        <f t="shared" si="3"/>
        <v>26.36</v>
      </c>
    </row>
    <row r="46" spans="1:4" x14ac:dyDescent="0.35">
      <c r="A46">
        <v>45</v>
      </c>
      <c r="B46" s="1">
        <f>$L$3+$L$4+$L$5+$L$6</f>
        <v>10.247051270189223</v>
      </c>
      <c r="C46">
        <f t="shared" si="4"/>
        <v>-0.35</v>
      </c>
      <c r="D46">
        <f t="shared" si="3"/>
        <v>26.36</v>
      </c>
    </row>
    <row r="47" spans="1:4" x14ac:dyDescent="0.35">
      <c r="A47">
        <v>46</v>
      </c>
      <c r="B47" s="1">
        <f>$L$1</f>
        <v>-1.4</v>
      </c>
      <c r="C47">
        <f t="shared" ref="C47:C70" si="5">$U$3</f>
        <v>0</v>
      </c>
      <c r="D47">
        <f t="shared" si="3"/>
        <v>26.36</v>
      </c>
    </row>
    <row r="48" spans="1:4" x14ac:dyDescent="0.35">
      <c r="A48">
        <v>47</v>
      </c>
      <c r="B48" s="1">
        <f>$L$2</f>
        <v>0</v>
      </c>
      <c r="C48">
        <f t="shared" si="5"/>
        <v>0</v>
      </c>
      <c r="D48">
        <f t="shared" si="3"/>
        <v>26.36</v>
      </c>
    </row>
    <row r="49" spans="1:4" x14ac:dyDescent="0.35">
      <c r="A49">
        <v>48</v>
      </c>
      <c r="B49" s="1">
        <f>ROUND($L$3/3,2)</f>
        <v>1.1200000000000001</v>
      </c>
      <c r="C49">
        <f t="shared" si="5"/>
        <v>0</v>
      </c>
      <c r="D49">
        <f t="shared" si="3"/>
        <v>26.36</v>
      </c>
    </row>
    <row r="50" spans="1:4" x14ac:dyDescent="0.35">
      <c r="A50">
        <v>49</v>
      </c>
      <c r="B50" s="1">
        <f>$O$1</f>
        <v>2.0546244626566232</v>
      </c>
      <c r="C50">
        <f t="shared" si="5"/>
        <v>0</v>
      </c>
      <c r="D50">
        <f t="shared" si="3"/>
        <v>26.36</v>
      </c>
    </row>
    <row r="51" spans="1:4" x14ac:dyDescent="0.35">
      <c r="A51">
        <v>50</v>
      </c>
      <c r="B51" s="1">
        <f>$L$3-ROUND($L$3/3,2)</f>
        <v>2.2379487298107779</v>
      </c>
      <c r="C51">
        <f t="shared" si="5"/>
        <v>0</v>
      </c>
      <c r="D51">
        <f t="shared" si="3"/>
        <v>26.36</v>
      </c>
    </row>
    <row r="52" spans="1:4" x14ac:dyDescent="0.35">
      <c r="A52">
        <v>51</v>
      </c>
      <c r="B52" s="1">
        <f>$L$3</f>
        <v>3.357948729810778</v>
      </c>
      <c r="C52">
        <f t="shared" si="5"/>
        <v>0</v>
      </c>
      <c r="D52">
        <f t="shared" si="3"/>
        <v>26.36</v>
      </c>
    </row>
    <row r="53" spans="1:4" x14ac:dyDescent="0.35">
      <c r="A53">
        <v>52</v>
      </c>
      <c r="B53" s="1">
        <f>$O$1+$O$2</f>
        <v>4.1092489253132465</v>
      </c>
      <c r="C53">
        <f t="shared" si="5"/>
        <v>0</v>
      </c>
      <c r="D53">
        <f t="shared" si="3"/>
        <v>26.36</v>
      </c>
    </row>
    <row r="54" spans="1:4" x14ac:dyDescent="0.35">
      <c r="A54">
        <v>53</v>
      </c>
      <c r="B54" s="1">
        <f>ROUND($L$4/3,2)+$L$3</f>
        <v>4.2979487298107779</v>
      </c>
      <c r="C54">
        <f t="shared" si="5"/>
        <v>0</v>
      </c>
      <c r="D54">
        <f t="shared" si="3"/>
        <v>26.36</v>
      </c>
    </row>
    <row r="55" spans="1:4" x14ac:dyDescent="0.35">
      <c r="A55">
        <v>54</v>
      </c>
      <c r="B55" s="1">
        <f>$L$3+$L$4-ROUND($L$4/3,2)</f>
        <v>5.2475000000000005</v>
      </c>
      <c r="C55">
        <f t="shared" si="5"/>
        <v>0</v>
      </c>
      <c r="D55">
        <f t="shared" si="3"/>
        <v>26.36</v>
      </c>
    </row>
    <row r="56" spans="1:4" x14ac:dyDescent="0.35">
      <c r="A56">
        <v>55</v>
      </c>
      <c r="B56" s="1">
        <f>$O$1+$O$2+$O$3</f>
        <v>6.1638733879698702</v>
      </c>
      <c r="C56">
        <f t="shared" si="5"/>
        <v>0</v>
      </c>
      <c r="D56">
        <f t="shared" si="3"/>
        <v>26.36</v>
      </c>
    </row>
    <row r="57" spans="1:4" x14ac:dyDescent="0.35">
      <c r="A57">
        <v>56</v>
      </c>
      <c r="B57" s="1">
        <f>SUM($L$3:$L$7)/2-$R$1/2</f>
        <v>5.9525000000000006</v>
      </c>
      <c r="C57">
        <f t="shared" si="5"/>
        <v>0</v>
      </c>
      <c r="D57">
        <f t="shared" si="3"/>
        <v>26.36</v>
      </c>
    </row>
    <row r="58" spans="1:4" x14ac:dyDescent="0.35">
      <c r="A58">
        <v>57</v>
      </c>
      <c r="B58" s="1">
        <f>$L$3+$L$4</f>
        <v>6.1875</v>
      </c>
      <c r="C58">
        <f t="shared" si="5"/>
        <v>0</v>
      </c>
      <c r="D58">
        <f t="shared" ref="D58:D89" si="6">$I$5</f>
        <v>26.36</v>
      </c>
    </row>
    <row r="59" spans="1:4" x14ac:dyDescent="0.35">
      <c r="A59">
        <v>58</v>
      </c>
      <c r="B59" s="1">
        <f>SUM($L$3:$L$7)/2</f>
        <v>6.8025000000000002</v>
      </c>
      <c r="C59">
        <f t="shared" si="5"/>
        <v>0</v>
      </c>
      <c r="D59">
        <f t="shared" si="6"/>
        <v>26.36</v>
      </c>
    </row>
    <row r="60" spans="1:4" x14ac:dyDescent="0.35">
      <c r="A60">
        <v>59</v>
      </c>
      <c r="B60" s="1">
        <f>$L$3+$L$4+$L$5</f>
        <v>7.4175000000000004</v>
      </c>
      <c r="C60">
        <f t="shared" si="5"/>
        <v>0</v>
      </c>
      <c r="D60">
        <f t="shared" si="6"/>
        <v>26.36</v>
      </c>
    </row>
    <row r="61" spans="1:4" x14ac:dyDescent="0.35">
      <c r="A61">
        <v>60</v>
      </c>
      <c r="B61" s="1">
        <f>SUM($L$3:$L$7)/2+$R$1/2</f>
        <v>7.6524999999999999</v>
      </c>
      <c r="C61">
        <f t="shared" si="5"/>
        <v>0</v>
      </c>
      <c r="D61">
        <f t="shared" si="6"/>
        <v>26.36</v>
      </c>
    </row>
    <row r="62" spans="1:4" x14ac:dyDescent="0.35">
      <c r="A62">
        <v>61</v>
      </c>
      <c r="B62" s="1">
        <f>SUM($L$3:$L$7)-$O$1-$O$2-$O$3</f>
        <v>7.441126612030132</v>
      </c>
      <c r="C62">
        <f t="shared" si="5"/>
        <v>0</v>
      </c>
      <c r="D62">
        <f t="shared" si="6"/>
        <v>26.36</v>
      </c>
    </row>
    <row r="63" spans="1:4" x14ac:dyDescent="0.35">
      <c r="A63">
        <v>62</v>
      </c>
      <c r="B63" s="1">
        <f>ROUND($L$6/3,2)+$L$3+$L$4+$L$5</f>
        <v>8.3574999999999999</v>
      </c>
      <c r="C63">
        <f t="shared" si="5"/>
        <v>0</v>
      </c>
      <c r="D63">
        <f t="shared" si="6"/>
        <v>26.36</v>
      </c>
    </row>
    <row r="64" spans="1:4" x14ac:dyDescent="0.35">
      <c r="A64">
        <v>63</v>
      </c>
      <c r="B64" s="1">
        <f>$L$3+$L$4+$L$5+$L$6-ROUND($L$6/3,2)</f>
        <v>9.3070512701892234</v>
      </c>
      <c r="C64">
        <f t="shared" si="5"/>
        <v>0</v>
      </c>
      <c r="D64">
        <f t="shared" si="6"/>
        <v>26.36</v>
      </c>
    </row>
    <row r="65" spans="1:4" x14ac:dyDescent="0.35">
      <c r="A65">
        <v>64</v>
      </c>
      <c r="B65" s="1">
        <f>SUM($L$3:$L$7)-$O$1-$O$2</f>
        <v>9.4957510746867548</v>
      </c>
      <c r="C65">
        <f t="shared" si="5"/>
        <v>0</v>
      </c>
      <c r="D65">
        <f t="shared" si="6"/>
        <v>26.36</v>
      </c>
    </row>
    <row r="66" spans="1:4" x14ac:dyDescent="0.35">
      <c r="A66">
        <v>65</v>
      </c>
      <c r="B66" s="1">
        <f>$L$3+$L$4+$L$5+$L$6</f>
        <v>10.247051270189223</v>
      </c>
      <c r="C66">
        <f t="shared" si="5"/>
        <v>0</v>
      </c>
      <c r="D66">
        <f t="shared" si="6"/>
        <v>26.36</v>
      </c>
    </row>
    <row r="67" spans="1:4" x14ac:dyDescent="0.35">
      <c r="A67">
        <v>66</v>
      </c>
      <c r="B67" s="1">
        <f>ROUND($L$7/3,2)+$L$3+$L$4+$L$5+$L$6</f>
        <v>11.367051270189224</v>
      </c>
      <c r="C67">
        <f t="shared" si="5"/>
        <v>0</v>
      </c>
      <c r="D67">
        <f t="shared" si="6"/>
        <v>26.36</v>
      </c>
    </row>
    <row r="68" spans="1:4" x14ac:dyDescent="0.35">
      <c r="A68">
        <v>67</v>
      </c>
      <c r="B68" s="1">
        <f>SUM($L$3:$L$7)-$O$1</f>
        <v>11.550375537343378</v>
      </c>
      <c r="C68">
        <f t="shared" si="5"/>
        <v>0</v>
      </c>
      <c r="D68">
        <f t="shared" si="6"/>
        <v>26.36</v>
      </c>
    </row>
    <row r="69" spans="1:4" x14ac:dyDescent="0.35">
      <c r="A69">
        <v>68</v>
      </c>
      <c r="B69" s="1">
        <f>$L$3+$L$4+$L$5+$L$6+$L$7-ROUND($L$7/3,2)</f>
        <v>12.484999999999999</v>
      </c>
      <c r="C69">
        <f t="shared" si="5"/>
        <v>0</v>
      </c>
      <c r="D69">
        <f t="shared" si="6"/>
        <v>26.36</v>
      </c>
    </row>
    <row r="70" spans="1:4" x14ac:dyDescent="0.35">
      <c r="A70">
        <v>69</v>
      </c>
      <c r="B70" s="1">
        <f>SUM($L$3:$L$7)</f>
        <v>13.605</v>
      </c>
      <c r="C70">
        <f t="shared" si="5"/>
        <v>0</v>
      </c>
      <c r="D70">
        <f t="shared" si="6"/>
        <v>26.36</v>
      </c>
    </row>
    <row r="71" spans="1:4" x14ac:dyDescent="0.35">
      <c r="A71">
        <v>70</v>
      </c>
      <c r="B71" s="1">
        <f>$O$13</f>
        <v>4.2488733879698692</v>
      </c>
      <c r="C71">
        <f>$O$9</f>
        <v>1.9150000000000005</v>
      </c>
      <c r="D71">
        <f t="shared" si="6"/>
        <v>26.36</v>
      </c>
    </row>
    <row r="72" spans="1:4" x14ac:dyDescent="0.35">
      <c r="A72">
        <v>71</v>
      </c>
      <c r="B72" s="1">
        <f>SUM($L$3:$L$7)/2</f>
        <v>6.8025000000000002</v>
      </c>
      <c r="C72">
        <f>$O$9</f>
        <v>1.9150000000000005</v>
      </c>
      <c r="D72">
        <f t="shared" si="6"/>
        <v>26.36</v>
      </c>
    </row>
    <row r="73" spans="1:4" x14ac:dyDescent="0.35">
      <c r="A73">
        <v>72</v>
      </c>
      <c r="B73" s="1">
        <f>SUM($L$3:$L$7)-$O$13</f>
        <v>9.3561266120301312</v>
      </c>
      <c r="C73">
        <f>$O$9</f>
        <v>1.9150000000000005</v>
      </c>
      <c r="D73">
        <f t="shared" si="6"/>
        <v>26.36</v>
      </c>
    </row>
    <row r="74" spans="1:4" x14ac:dyDescent="0.35">
      <c r="A74">
        <v>73</v>
      </c>
      <c r="B74" s="1">
        <f>SUM($L$3:$L$7)/2</f>
        <v>6.8025000000000002</v>
      </c>
      <c r="C74">
        <f>$O$9+$O$11</f>
        <v>2.2300000000000004</v>
      </c>
      <c r="D74">
        <f t="shared" si="6"/>
        <v>26.36</v>
      </c>
    </row>
    <row r="75" spans="1:4" x14ac:dyDescent="0.35">
      <c r="A75">
        <v>74</v>
      </c>
      <c r="B75" s="1">
        <f>$L$2</f>
        <v>0</v>
      </c>
      <c r="C75">
        <f>$O$5</f>
        <v>2.0546244626566232</v>
      </c>
      <c r="D75">
        <f t="shared" si="6"/>
        <v>26.36</v>
      </c>
    </row>
    <row r="76" spans="1:4" x14ac:dyDescent="0.35">
      <c r="A76">
        <v>75</v>
      </c>
      <c r="B76" s="1">
        <f>SUM($L$3:$L$7)</f>
        <v>13.605</v>
      </c>
      <c r="C76">
        <f>$O$5</f>
        <v>2.0546244626566232</v>
      </c>
      <c r="D76">
        <f t="shared" si="6"/>
        <v>26.36</v>
      </c>
    </row>
    <row r="77" spans="1:4" x14ac:dyDescent="0.35">
      <c r="A77">
        <v>76</v>
      </c>
      <c r="B77" s="1">
        <f>SUM($O$1:$O$4)-ROUND($X$4*COS(45*PI()/180),3)</f>
        <v>1.4155000000000006</v>
      </c>
      <c r="C77">
        <f>SUM($O$5:$O$8)-ROUND($X$4*COS(45*PI()/180),3)</f>
        <v>2.6930000000000005</v>
      </c>
      <c r="D77">
        <f t="shared" si="6"/>
        <v>26.36</v>
      </c>
    </row>
    <row r="78" spans="1:4" x14ac:dyDescent="0.35">
      <c r="A78">
        <v>77</v>
      </c>
      <c r="B78" s="1">
        <f>SUM($O$1:$O$4)+ROUND($X$4*COS(45*PI()/180),3)</f>
        <v>12.189499999999999</v>
      </c>
      <c r="C78">
        <f>SUM($O$5:$O$8)-ROUND($X$4*COS(45*PI()/180),3)</f>
        <v>2.6930000000000005</v>
      </c>
      <c r="D78">
        <f t="shared" si="6"/>
        <v>26.36</v>
      </c>
    </row>
    <row r="79" spans="1:4" x14ac:dyDescent="0.35">
      <c r="A79">
        <v>78</v>
      </c>
      <c r="B79" s="1">
        <f>$L$1</f>
        <v>-1.4</v>
      </c>
      <c r="C79">
        <f>ROUND($U$4/6,3)</f>
        <v>2.6930000000000001</v>
      </c>
      <c r="D79">
        <f t="shared" si="6"/>
        <v>26.36</v>
      </c>
    </row>
    <row r="80" spans="1:4" x14ac:dyDescent="0.35">
      <c r="A80">
        <v>79</v>
      </c>
      <c r="B80" s="1">
        <f>$L$2</f>
        <v>0</v>
      </c>
      <c r="C80">
        <f>ROUND($U$4/6,3)</f>
        <v>2.6930000000000001</v>
      </c>
      <c r="D80">
        <f t="shared" si="6"/>
        <v>26.36</v>
      </c>
    </row>
    <row r="81" spans="1:4" x14ac:dyDescent="0.35">
      <c r="A81">
        <v>80</v>
      </c>
      <c r="B81" s="1">
        <f>SUM($O$1:$O$4)-ROUND($X$3*COS(45*PI()/180),3)</f>
        <v>2.4435000000000002</v>
      </c>
      <c r="C81">
        <f>SUM($O$5:$O$8)-ROUND($X$3*COS(45*PI()/180),3)</f>
        <v>3.7210000000000001</v>
      </c>
      <c r="D81">
        <f t="shared" si="6"/>
        <v>26.36</v>
      </c>
    </row>
    <row r="82" spans="1:4" x14ac:dyDescent="0.35">
      <c r="A82">
        <v>81</v>
      </c>
      <c r="B82" s="1">
        <f>SUM($O$1:$O$4)+ROUND($X$3*COS(45*PI()/180),3)</f>
        <v>11.1615</v>
      </c>
      <c r="C82">
        <f>SUM($O$5:$O$8)-ROUND($X$3*COS(45*PI()/180),3)</f>
        <v>3.7210000000000001</v>
      </c>
      <c r="D82">
        <f t="shared" si="6"/>
        <v>26.36</v>
      </c>
    </row>
    <row r="83" spans="1:4" x14ac:dyDescent="0.35">
      <c r="A83">
        <v>82</v>
      </c>
      <c r="B83" s="1">
        <f>SUM($O$1:$O$4)-ROUND($X$2*COS(45*PI()/180),3)</f>
        <v>2.6655000000000006</v>
      </c>
      <c r="C83">
        <f>SUM($O$5:$O$8)-ROUND($X$2*COS(45*PI()/180),3)</f>
        <v>3.9430000000000005</v>
      </c>
      <c r="D83">
        <f t="shared" si="6"/>
        <v>26.36</v>
      </c>
    </row>
    <row r="84" spans="1:4" x14ac:dyDescent="0.35">
      <c r="A84">
        <v>83</v>
      </c>
      <c r="B84" s="1">
        <f>SUM($O$1:$O$4)+ROUND($X$2*COS(45*PI()/180),3)</f>
        <v>10.939499999999999</v>
      </c>
      <c r="C84">
        <f>SUM($O$5:$O$8)-ROUND($X$2*COS(45*PI()/180),3)</f>
        <v>3.9430000000000005</v>
      </c>
      <c r="D84">
        <f t="shared" si="6"/>
        <v>26.36</v>
      </c>
    </row>
    <row r="85" spans="1:4" x14ac:dyDescent="0.35">
      <c r="A85">
        <v>84</v>
      </c>
      <c r="B85" s="1">
        <f>$L$2</f>
        <v>0</v>
      </c>
      <c r="C85">
        <f>$O$5+$O$6</f>
        <v>4.1092489253132465</v>
      </c>
      <c r="D85">
        <f t="shared" si="6"/>
        <v>26.36</v>
      </c>
    </row>
    <row r="86" spans="1:4" x14ac:dyDescent="0.35">
      <c r="A86">
        <v>85</v>
      </c>
      <c r="B86" s="1">
        <f>SUM($L$3:$L$7)</f>
        <v>13.605</v>
      </c>
      <c r="C86">
        <f>$O$5+$O$6</f>
        <v>4.1092489253132465</v>
      </c>
      <c r="D86">
        <f t="shared" si="6"/>
        <v>26.36</v>
      </c>
    </row>
    <row r="87" spans="1:4" x14ac:dyDescent="0.35">
      <c r="A87">
        <v>86</v>
      </c>
      <c r="B87" s="1">
        <f>$O$12</f>
        <v>0.63750000000000062</v>
      </c>
      <c r="C87">
        <f>$O$10</f>
        <v>5.5263733879698691</v>
      </c>
      <c r="D87">
        <f t="shared" si="6"/>
        <v>26.36</v>
      </c>
    </row>
    <row r="88" spans="1:4" x14ac:dyDescent="0.35">
      <c r="A88">
        <v>87</v>
      </c>
      <c r="B88" s="1">
        <f>SUM($L$3:$L$7)-$O$12</f>
        <v>12.967499999999999</v>
      </c>
      <c r="C88">
        <f>$O$10</f>
        <v>5.5263733879698691</v>
      </c>
      <c r="D88">
        <f t="shared" si="6"/>
        <v>26.36</v>
      </c>
    </row>
    <row r="89" spans="1:4" x14ac:dyDescent="0.35">
      <c r="A89">
        <v>88</v>
      </c>
      <c r="B89" s="1">
        <f>$L$1</f>
        <v>-1.4</v>
      </c>
      <c r="C89">
        <f>ROUND($U$4/6*2,3)</f>
        <v>5.3869999999999996</v>
      </c>
      <c r="D89">
        <f t="shared" si="6"/>
        <v>26.36</v>
      </c>
    </row>
    <row r="90" spans="1:4" x14ac:dyDescent="0.35">
      <c r="A90">
        <v>89</v>
      </c>
      <c r="B90" s="1">
        <f>$L$2</f>
        <v>0</v>
      </c>
      <c r="C90">
        <f>ROUND($U$4/6*2,3)</f>
        <v>5.3869999999999996</v>
      </c>
      <c r="D90">
        <f t="shared" ref="D90:D121" si="7">$I$5</f>
        <v>26.36</v>
      </c>
    </row>
    <row r="91" spans="1:4" x14ac:dyDescent="0.35">
      <c r="A91">
        <v>90</v>
      </c>
      <c r="B91" s="1">
        <f>$L$2</f>
        <v>0</v>
      </c>
      <c r="C91">
        <f>$O$5+$O$6+$O$7</f>
        <v>6.1638733879698702</v>
      </c>
      <c r="D91">
        <f t="shared" si="7"/>
        <v>26.36</v>
      </c>
    </row>
    <row r="92" spans="1:4" x14ac:dyDescent="0.35">
      <c r="A92">
        <v>91</v>
      </c>
      <c r="B92" s="1">
        <f>SUM($L$3:$L$7)</f>
        <v>13.605</v>
      </c>
      <c r="C92">
        <f>$O$5+$O$6+$O$7</f>
        <v>6.1638733879698702</v>
      </c>
      <c r="D92">
        <f t="shared" si="7"/>
        <v>26.36</v>
      </c>
    </row>
    <row r="93" spans="1:4" x14ac:dyDescent="0.35">
      <c r="A93">
        <v>92</v>
      </c>
      <c r="B93" s="1">
        <f>$L$1</f>
        <v>-1.4</v>
      </c>
      <c r="C93">
        <f t="shared" ref="C93:C99" si="8">ROUND($U$4/2,3)</f>
        <v>8.08</v>
      </c>
      <c r="D93">
        <f t="shared" si="7"/>
        <v>26.36</v>
      </c>
    </row>
    <row r="94" spans="1:4" x14ac:dyDescent="0.35">
      <c r="A94">
        <v>93</v>
      </c>
      <c r="B94" s="1">
        <f>$L$2</f>
        <v>0</v>
      </c>
      <c r="C94">
        <f t="shared" si="8"/>
        <v>8.08</v>
      </c>
      <c r="D94">
        <f t="shared" si="7"/>
        <v>26.36</v>
      </c>
    </row>
    <row r="95" spans="1:4" x14ac:dyDescent="0.35">
      <c r="A95">
        <v>94</v>
      </c>
      <c r="B95" s="1">
        <f>$O$12</f>
        <v>0.63750000000000062</v>
      </c>
      <c r="C95">
        <f t="shared" si="8"/>
        <v>8.08</v>
      </c>
      <c r="D95">
        <f t="shared" si="7"/>
        <v>26.36</v>
      </c>
    </row>
    <row r="96" spans="1:4" x14ac:dyDescent="0.35">
      <c r="A96">
        <v>95</v>
      </c>
      <c r="B96" s="1">
        <f>SUM($O$1:$O$4)-$X$2</f>
        <v>0.95250000000000057</v>
      </c>
      <c r="C96">
        <f t="shared" si="8"/>
        <v>8.08</v>
      </c>
      <c r="D96">
        <f t="shared" si="7"/>
        <v>26.36</v>
      </c>
    </row>
    <row r="97" spans="1:4" x14ac:dyDescent="0.35">
      <c r="A97">
        <v>96</v>
      </c>
      <c r="B97" s="1">
        <f>SUM($O$1:$O$4)+$X$2</f>
        <v>12.6525</v>
      </c>
      <c r="C97">
        <f t="shared" si="8"/>
        <v>8.08</v>
      </c>
      <c r="D97">
        <f t="shared" si="7"/>
        <v>26.36</v>
      </c>
    </row>
    <row r="98" spans="1:4" x14ac:dyDescent="0.35">
      <c r="A98">
        <v>97</v>
      </c>
      <c r="B98" s="1">
        <f>SUM($L$3:$L$7)-$O$12</f>
        <v>12.967499999999999</v>
      </c>
      <c r="C98">
        <f t="shared" si="8"/>
        <v>8.08</v>
      </c>
      <c r="D98">
        <f t="shared" si="7"/>
        <v>26.36</v>
      </c>
    </row>
    <row r="99" spans="1:4" x14ac:dyDescent="0.35">
      <c r="A99">
        <v>98</v>
      </c>
      <c r="B99" s="1">
        <f>SUM($L$3:$L$7)</f>
        <v>13.605</v>
      </c>
      <c r="C99">
        <f t="shared" si="8"/>
        <v>8.08</v>
      </c>
      <c r="D99">
        <f t="shared" si="7"/>
        <v>26.36</v>
      </c>
    </row>
    <row r="100" spans="1:4" x14ac:dyDescent="0.35">
      <c r="A100">
        <v>99</v>
      </c>
      <c r="B100" s="1">
        <f>$L$2</f>
        <v>0</v>
      </c>
      <c r="C100">
        <f>$U$4-$O$5-$O$6-$O$7</f>
        <v>9.9961266120301318</v>
      </c>
      <c r="D100">
        <f t="shared" si="7"/>
        <v>26.36</v>
      </c>
    </row>
    <row r="101" spans="1:4" x14ac:dyDescent="0.35">
      <c r="A101">
        <v>100</v>
      </c>
      <c r="B101" s="1">
        <f>SUM($L$3:$L$7)</f>
        <v>13.605</v>
      </c>
      <c r="C101">
        <f>$U$4-$O$5-$O$6-$O$7</f>
        <v>9.9961266120301318</v>
      </c>
      <c r="D101">
        <f t="shared" si="7"/>
        <v>26.36</v>
      </c>
    </row>
    <row r="102" spans="1:4" x14ac:dyDescent="0.35">
      <c r="A102">
        <v>101</v>
      </c>
      <c r="B102" s="1">
        <f>$L$1</f>
        <v>-1.4</v>
      </c>
      <c r="C102">
        <f>ROUND($U$4/2+$U$4/6,3)</f>
        <v>10.773</v>
      </c>
      <c r="D102">
        <f t="shared" si="7"/>
        <v>26.36</v>
      </c>
    </row>
    <row r="103" spans="1:4" x14ac:dyDescent="0.35">
      <c r="A103">
        <v>102</v>
      </c>
      <c r="B103" s="1">
        <f>$L$2</f>
        <v>0</v>
      </c>
      <c r="C103">
        <f>ROUND($U$4/2+$U$4/6,3)</f>
        <v>10.773</v>
      </c>
      <c r="D103">
        <f t="shared" si="7"/>
        <v>26.36</v>
      </c>
    </row>
    <row r="104" spans="1:4" x14ac:dyDescent="0.35">
      <c r="A104">
        <v>103</v>
      </c>
      <c r="B104" s="1">
        <f>$O$12</f>
        <v>0.63750000000000062</v>
      </c>
      <c r="C104">
        <f>$U$4-$O$10</f>
        <v>10.633626612030131</v>
      </c>
      <c r="D104">
        <f t="shared" si="7"/>
        <v>26.36</v>
      </c>
    </row>
    <row r="105" spans="1:4" x14ac:dyDescent="0.35">
      <c r="A105">
        <v>104</v>
      </c>
      <c r="B105" s="1">
        <f>SUM($L$3:$L$7)-$O$12</f>
        <v>12.967499999999999</v>
      </c>
      <c r="C105">
        <f>$U$4-$O$10</f>
        <v>10.633626612030131</v>
      </c>
      <c r="D105">
        <f t="shared" si="7"/>
        <v>26.36</v>
      </c>
    </row>
    <row r="106" spans="1:4" x14ac:dyDescent="0.35">
      <c r="A106">
        <v>105</v>
      </c>
      <c r="B106" s="1">
        <f>$L$2</f>
        <v>0</v>
      </c>
      <c r="C106">
        <f>$U$4-$O$5-$O$6</f>
        <v>12.050751074686755</v>
      </c>
      <c r="D106">
        <f t="shared" si="7"/>
        <v>26.36</v>
      </c>
    </row>
    <row r="107" spans="1:4" x14ac:dyDescent="0.35">
      <c r="A107">
        <v>106</v>
      </c>
      <c r="B107" s="1">
        <f>SUM($L$3:$L$7)</f>
        <v>13.605</v>
      </c>
      <c r="C107">
        <f>$U$4-$O$5-$O$6</f>
        <v>12.050751074686755</v>
      </c>
      <c r="D107">
        <f t="shared" si="7"/>
        <v>26.36</v>
      </c>
    </row>
    <row r="108" spans="1:4" x14ac:dyDescent="0.35">
      <c r="A108">
        <v>107</v>
      </c>
      <c r="B108" s="1">
        <f>SUM($O$1:$O$4)-ROUND($X$2*COS(45*PI()/180),3)</f>
        <v>2.6655000000000006</v>
      </c>
      <c r="C108">
        <f>SUM($O$5:$O$8)+ROUND($X$2*COS(45*PI()/180),3)</f>
        <v>12.216999999999999</v>
      </c>
      <c r="D108">
        <f t="shared" si="7"/>
        <v>26.36</v>
      </c>
    </row>
    <row r="109" spans="1:4" x14ac:dyDescent="0.35">
      <c r="A109">
        <v>108</v>
      </c>
      <c r="B109" s="1">
        <f>SUM($O$1:$O$4)+ROUND($X$2*COS(45*PI()/180),3)</f>
        <v>10.939499999999999</v>
      </c>
      <c r="C109">
        <f>SUM($O$5:$O$8)+ROUND($X$2*COS(45*PI()/180),3)</f>
        <v>12.216999999999999</v>
      </c>
      <c r="D109">
        <f t="shared" si="7"/>
        <v>26.36</v>
      </c>
    </row>
    <row r="110" spans="1:4" x14ac:dyDescent="0.35">
      <c r="A110">
        <v>109</v>
      </c>
      <c r="B110" s="1">
        <f>SUM($O$1:$O$4)-ROUND($X$3*COS(45*PI()/180),3)</f>
        <v>2.4435000000000002</v>
      </c>
      <c r="C110">
        <f>SUM($O$5:$O$8)+ROUND($X$3*COS(45*PI()/180),3)</f>
        <v>12.439</v>
      </c>
      <c r="D110">
        <f t="shared" si="7"/>
        <v>26.36</v>
      </c>
    </row>
    <row r="111" spans="1:4" x14ac:dyDescent="0.35">
      <c r="A111">
        <v>110</v>
      </c>
      <c r="B111" s="1">
        <f>SUM($O$1:$O$4)+ROUND($X$3*COS(45*PI()/180),3)</f>
        <v>11.1615</v>
      </c>
      <c r="C111">
        <f>SUM($O$5:$O$8)+ROUND($X$3*COS(45*PI()/180),3)</f>
        <v>12.439</v>
      </c>
      <c r="D111">
        <f t="shared" si="7"/>
        <v>26.36</v>
      </c>
    </row>
    <row r="112" spans="1:4" x14ac:dyDescent="0.35">
      <c r="A112">
        <v>111</v>
      </c>
      <c r="B112" s="1">
        <f>$L$1</f>
        <v>-1.4</v>
      </c>
      <c r="C112">
        <f>ROUND($U$4/2+2*$U$4/6,3)</f>
        <v>13.467000000000001</v>
      </c>
      <c r="D112">
        <f t="shared" si="7"/>
        <v>26.36</v>
      </c>
    </row>
    <row r="113" spans="1:5" x14ac:dyDescent="0.35">
      <c r="A113">
        <v>112</v>
      </c>
      <c r="B113" s="1">
        <f>$L$2</f>
        <v>0</v>
      </c>
      <c r="C113">
        <f>ROUND($U$4/2+2*$U$4/6,3)</f>
        <v>13.467000000000001</v>
      </c>
      <c r="D113">
        <f t="shared" si="7"/>
        <v>26.36</v>
      </c>
    </row>
    <row r="114" spans="1:5" x14ac:dyDescent="0.35">
      <c r="A114">
        <v>113</v>
      </c>
      <c r="B114" s="1">
        <f>SUM($O$1:$O$4)-ROUND($X$4*COS(45*PI()/180),3)</f>
        <v>1.4155000000000006</v>
      </c>
      <c r="C114">
        <f>SUM($O$5:$O$8)+ROUND($X$4*COS(45*PI()/180),3)</f>
        <v>13.466999999999999</v>
      </c>
      <c r="D114">
        <f t="shared" si="7"/>
        <v>26.36</v>
      </c>
    </row>
    <row r="115" spans="1:5" x14ac:dyDescent="0.35">
      <c r="A115">
        <v>114</v>
      </c>
      <c r="B115" s="1">
        <f>SUM($O$1:$O$4)+ROUND($X$4*COS(45*PI()/180),3)</f>
        <v>12.189499999999999</v>
      </c>
      <c r="C115">
        <f>SUM($O$5:$O$8)+ROUND($X$4*COS(45*PI()/180),3)</f>
        <v>13.466999999999999</v>
      </c>
      <c r="D115">
        <f t="shared" si="7"/>
        <v>26.36</v>
      </c>
    </row>
    <row r="116" spans="1:5" x14ac:dyDescent="0.35">
      <c r="A116">
        <v>115</v>
      </c>
      <c r="B116" s="1">
        <f>$L$2</f>
        <v>0</v>
      </c>
      <c r="C116">
        <f>$U$4-$O$5</f>
        <v>14.105375537343377</v>
      </c>
      <c r="D116">
        <f t="shared" si="7"/>
        <v>26.36</v>
      </c>
    </row>
    <row r="117" spans="1:5" x14ac:dyDescent="0.35">
      <c r="A117">
        <v>116</v>
      </c>
      <c r="B117" s="1">
        <f>SUM($L$3:$L$7)</f>
        <v>13.605</v>
      </c>
      <c r="C117">
        <f>$U$4-$O$5</f>
        <v>14.105375537343377</v>
      </c>
      <c r="D117">
        <f t="shared" si="7"/>
        <v>26.36</v>
      </c>
    </row>
    <row r="118" spans="1:5" x14ac:dyDescent="0.35">
      <c r="A118">
        <v>117</v>
      </c>
      <c r="B118" s="1">
        <f>SUM($L$3:$L$7)/2</f>
        <v>6.8025000000000002</v>
      </c>
      <c r="C118" s="1">
        <f>SUM($O$5:$O$8,$X$2)</f>
        <v>13.93</v>
      </c>
      <c r="D118">
        <f t="shared" si="7"/>
        <v>26.36</v>
      </c>
    </row>
    <row r="119" spans="1:5" x14ac:dyDescent="0.35">
      <c r="A119">
        <v>118</v>
      </c>
      <c r="B119" s="1">
        <f>$O$13</f>
        <v>4.2488733879698692</v>
      </c>
      <c r="C119">
        <f>$U$4-$O$9</f>
        <v>14.244999999999999</v>
      </c>
      <c r="D119">
        <f t="shared" si="7"/>
        <v>26.36</v>
      </c>
    </row>
    <row r="120" spans="1:5" x14ac:dyDescent="0.35">
      <c r="A120">
        <v>119</v>
      </c>
      <c r="B120" s="1">
        <f>SUM($L$3:$L$7)/2</f>
        <v>6.8025000000000002</v>
      </c>
      <c r="C120">
        <f>$U$4-$O$9</f>
        <v>14.244999999999999</v>
      </c>
      <c r="D120">
        <f t="shared" si="7"/>
        <v>26.36</v>
      </c>
    </row>
    <row r="121" spans="1:5" x14ac:dyDescent="0.35">
      <c r="A121">
        <v>120</v>
      </c>
      <c r="B121" s="1">
        <f>SUM($L$3:$L$7)-$O$13</f>
        <v>9.3561266120301312</v>
      </c>
      <c r="C121">
        <f>$U$4-$O$9</f>
        <v>14.244999999999999</v>
      </c>
      <c r="D121">
        <f t="shared" si="7"/>
        <v>26.36</v>
      </c>
      <c r="E121" s="2"/>
    </row>
    <row r="122" spans="1:5" x14ac:dyDescent="0.35">
      <c r="A122">
        <v>121</v>
      </c>
      <c r="B122" s="1">
        <f>$L$1</f>
        <v>-1.4</v>
      </c>
      <c r="C122">
        <f t="shared" ref="C122:C135" si="9">$U$4</f>
        <v>16.16</v>
      </c>
      <c r="D122">
        <f t="shared" ref="D122:D135" si="10">$I$5</f>
        <v>26.36</v>
      </c>
    </row>
    <row r="123" spans="1:5" x14ac:dyDescent="0.35">
      <c r="A123">
        <v>122</v>
      </c>
      <c r="B123" s="1">
        <f>$L$2</f>
        <v>0</v>
      </c>
      <c r="C123">
        <f t="shared" si="9"/>
        <v>16.16</v>
      </c>
      <c r="D123">
        <f t="shared" si="10"/>
        <v>26.36</v>
      </c>
    </row>
    <row r="124" spans="1:5" x14ac:dyDescent="0.35">
      <c r="A124">
        <v>123</v>
      </c>
      <c r="B124" s="1">
        <f>$O$1</f>
        <v>2.0546244626566232</v>
      </c>
      <c r="C124">
        <f t="shared" si="9"/>
        <v>16.16</v>
      </c>
      <c r="D124">
        <f t="shared" si="10"/>
        <v>26.36</v>
      </c>
    </row>
    <row r="125" spans="1:5" x14ac:dyDescent="0.35">
      <c r="A125">
        <v>124</v>
      </c>
      <c r="B125" s="1">
        <f>$O$1+$O$2</f>
        <v>4.1092489253132465</v>
      </c>
      <c r="C125">
        <f t="shared" si="9"/>
        <v>16.16</v>
      </c>
      <c r="D125">
        <f t="shared" si="10"/>
        <v>26.36</v>
      </c>
    </row>
    <row r="126" spans="1:5" x14ac:dyDescent="0.35">
      <c r="A126">
        <v>125</v>
      </c>
      <c r="B126" s="1">
        <f>$O$1+$O$2+$O$3</f>
        <v>6.1638733879698702</v>
      </c>
      <c r="C126">
        <f t="shared" si="9"/>
        <v>16.16</v>
      </c>
      <c r="D126">
        <f t="shared" si="10"/>
        <v>26.36</v>
      </c>
    </row>
    <row r="127" spans="1:5" x14ac:dyDescent="0.35">
      <c r="A127">
        <v>126</v>
      </c>
      <c r="B127" s="1">
        <f>SUM($L$3:$L$7)/2-$R$1/2</f>
        <v>5.9525000000000006</v>
      </c>
      <c r="C127">
        <f t="shared" si="9"/>
        <v>16.16</v>
      </c>
      <c r="D127">
        <f t="shared" si="10"/>
        <v>26.36</v>
      </c>
    </row>
    <row r="128" spans="1:5" x14ac:dyDescent="0.35">
      <c r="A128">
        <v>127</v>
      </c>
      <c r="B128" s="1">
        <f>$L$3+$L$4</f>
        <v>6.1875</v>
      </c>
      <c r="C128">
        <f t="shared" si="9"/>
        <v>16.16</v>
      </c>
      <c r="D128">
        <f t="shared" si="10"/>
        <v>26.36</v>
      </c>
    </row>
    <row r="129" spans="1:5" x14ac:dyDescent="0.35">
      <c r="A129">
        <v>128</v>
      </c>
      <c r="B129" s="1">
        <f>SUM($L$3:$L$7)/2</f>
        <v>6.8025000000000002</v>
      </c>
      <c r="C129">
        <f t="shared" si="9"/>
        <v>16.16</v>
      </c>
      <c r="D129">
        <f t="shared" si="10"/>
        <v>26.36</v>
      </c>
    </row>
    <row r="130" spans="1:5" x14ac:dyDescent="0.35">
      <c r="A130">
        <v>129</v>
      </c>
      <c r="B130" s="1">
        <f>$L$3+$L$4+$L$5</f>
        <v>7.4175000000000004</v>
      </c>
      <c r="C130">
        <f t="shared" si="9"/>
        <v>16.16</v>
      </c>
      <c r="D130">
        <f t="shared" si="10"/>
        <v>26.36</v>
      </c>
    </row>
    <row r="131" spans="1:5" x14ac:dyDescent="0.35">
      <c r="A131">
        <v>130</v>
      </c>
      <c r="B131" s="1">
        <f>SUM($L$3:$L$7)/2+$R$1/2</f>
        <v>7.6524999999999999</v>
      </c>
      <c r="C131">
        <f t="shared" si="9"/>
        <v>16.16</v>
      </c>
      <c r="D131">
        <f t="shared" si="10"/>
        <v>26.36</v>
      </c>
    </row>
    <row r="132" spans="1:5" x14ac:dyDescent="0.35">
      <c r="A132">
        <v>131</v>
      </c>
      <c r="B132" s="1">
        <f>SUM($L$3:$L$7)-$O$1-$O$2-$O$3</f>
        <v>7.441126612030132</v>
      </c>
      <c r="C132">
        <f t="shared" si="9"/>
        <v>16.16</v>
      </c>
      <c r="D132">
        <f t="shared" si="10"/>
        <v>26.36</v>
      </c>
    </row>
    <row r="133" spans="1:5" x14ac:dyDescent="0.35">
      <c r="A133">
        <v>132</v>
      </c>
      <c r="B133" s="1">
        <f>SUM($L$3:$L$7)-$O$1-$O$2</f>
        <v>9.4957510746867548</v>
      </c>
      <c r="C133">
        <f t="shared" si="9"/>
        <v>16.16</v>
      </c>
      <c r="D133">
        <f t="shared" si="10"/>
        <v>26.36</v>
      </c>
    </row>
    <row r="134" spans="1:5" x14ac:dyDescent="0.35">
      <c r="A134">
        <v>133</v>
      </c>
      <c r="B134" s="1">
        <f>SUM($L$3:$L$7)-$O$1</f>
        <v>11.550375537343378</v>
      </c>
      <c r="C134">
        <f t="shared" si="9"/>
        <v>16.16</v>
      </c>
      <c r="D134">
        <f t="shared" si="10"/>
        <v>26.36</v>
      </c>
    </row>
    <row r="135" spans="1:5" x14ac:dyDescent="0.35">
      <c r="A135">
        <v>134</v>
      </c>
      <c r="B135" s="1">
        <f>SUM($L$3:$L$7)</f>
        <v>13.605</v>
      </c>
      <c r="C135">
        <f t="shared" si="9"/>
        <v>16.16</v>
      </c>
      <c r="D135">
        <f t="shared" si="10"/>
        <v>26.36</v>
      </c>
    </row>
    <row r="136" spans="1:5" x14ac:dyDescent="0.35">
      <c r="A136">
        <v>135</v>
      </c>
      <c r="B136" s="1">
        <f>SUM($L$3:$L$7)/2-$R$1/2</f>
        <v>5.9525000000000006</v>
      </c>
      <c r="C136">
        <f>$R$3+$R$4+$R$5</f>
        <v>7.3750000000000009</v>
      </c>
      <c r="D136">
        <f>$I$5+$I$6-$R$6</f>
        <v>27.25</v>
      </c>
    </row>
    <row r="137" spans="1:5" x14ac:dyDescent="0.35">
      <c r="A137">
        <v>136</v>
      </c>
      <c r="B137" s="1">
        <f>SUM($L$3:$L$7)/2-$R$2/2</f>
        <v>6.3525</v>
      </c>
      <c r="C137">
        <f>$R$3+$R$4+$R$5</f>
        <v>7.3750000000000009</v>
      </c>
      <c r="D137">
        <f t="shared" ref="D137:D144" si="11">$I$5+$I$6-$R$6</f>
        <v>27.25</v>
      </c>
    </row>
    <row r="138" spans="1:5" x14ac:dyDescent="0.35">
      <c r="A138">
        <v>137</v>
      </c>
      <c r="B138" s="1">
        <f>SUM($L$3:$L$7)/2+$R$2/2</f>
        <v>7.2525000000000004</v>
      </c>
      <c r="C138">
        <f>$R$3+$R$4+$R$5</f>
        <v>7.3750000000000009</v>
      </c>
      <c r="D138">
        <f t="shared" si="11"/>
        <v>27.25</v>
      </c>
    </row>
    <row r="139" spans="1:5" x14ac:dyDescent="0.35">
      <c r="A139">
        <v>138</v>
      </c>
      <c r="B139" s="1">
        <f>SUM($L$3:$L$7)/2+$R$1/2</f>
        <v>7.6524999999999999</v>
      </c>
      <c r="C139">
        <f>$R$3+$R$4+$R$5</f>
        <v>7.3750000000000009</v>
      </c>
      <c r="D139">
        <f t="shared" si="11"/>
        <v>27.25</v>
      </c>
    </row>
    <row r="140" spans="1:5" x14ac:dyDescent="0.35">
      <c r="A140">
        <v>139</v>
      </c>
      <c r="B140" s="1">
        <f>SUM($L$3:$L$7)/2</f>
        <v>6.8025000000000002</v>
      </c>
      <c r="C140">
        <f>ROUND($U$4/2,3)</f>
        <v>8.08</v>
      </c>
      <c r="D140">
        <f t="shared" si="11"/>
        <v>27.25</v>
      </c>
      <c r="E140" s="2"/>
    </row>
    <row r="141" spans="1:5" x14ac:dyDescent="0.35">
      <c r="A141">
        <v>140</v>
      </c>
      <c r="B141" s="1">
        <f>SUM($L$3:$L$7)/2-$R$1/2</f>
        <v>5.9525000000000006</v>
      </c>
      <c r="C141">
        <f>$U$4-$R$3-$R$4-$R$5</f>
        <v>8.7849999999999984</v>
      </c>
      <c r="D141">
        <f t="shared" si="11"/>
        <v>27.25</v>
      </c>
    </row>
    <row r="142" spans="1:5" x14ac:dyDescent="0.35">
      <c r="A142">
        <v>141</v>
      </c>
      <c r="B142" s="1">
        <f>SUM($L$3:$L$7)/2-$R$2/2</f>
        <v>6.3525</v>
      </c>
      <c r="C142">
        <f>$U$4-$R$3-$R$4-$R$5</f>
        <v>8.7849999999999984</v>
      </c>
      <c r="D142">
        <f t="shared" si="11"/>
        <v>27.25</v>
      </c>
    </row>
    <row r="143" spans="1:5" x14ac:dyDescent="0.35">
      <c r="A143">
        <v>142</v>
      </c>
      <c r="B143" s="1">
        <f>SUM($L$3:$L$7)/2+$R$2/2</f>
        <v>7.2525000000000004</v>
      </c>
      <c r="C143">
        <f>$U$4-$R$3-$R$4-$R$5</f>
        <v>8.7849999999999984</v>
      </c>
      <c r="D143">
        <f t="shared" si="11"/>
        <v>27.25</v>
      </c>
    </row>
    <row r="144" spans="1:5" x14ac:dyDescent="0.35">
      <c r="A144">
        <v>143</v>
      </c>
      <c r="B144" s="1">
        <f>SUM($L$3:$L$7)/2+$R$1/2</f>
        <v>7.6524999999999999</v>
      </c>
      <c r="C144">
        <f>$U$4-$R$3-$R$4-$R$5</f>
        <v>8.7849999999999984</v>
      </c>
      <c r="D144">
        <f t="shared" si="11"/>
        <v>27.25</v>
      </c>
    </row>
    <row r="145" spans="1:4" x14ac:dyDescent="0.35">
      <c r="A145">
        <v>144</v>
      </c>
      <c r="B145" s="1">
        <f>SUM($L$3:$L$7)/2-$R$1/2</f>
        <v>5.9525000000000006</v>
      </c>
      <c r="C145">
        <f>$U$3</f>
        <v>0</v>
      </c>
      <c r="D145">
        <f t="shared" ref="D145:D168" si="12">$I$5+$I$6</f>
        <v>27.55</v>
      </c>
    </row>
    <row r="146" spans="1:4" x14ac:dyDescent="0.35">
      <c r="A146">
        <v>145</v>
      </c>
      <c r="B146" s="1">
        <f>SUM($L$3:$L$7)/2+$R$1/2</f>
        <v>7.6524999999999999</v>
      </c>
      <c r="C146">
        <f>$U$3</f>
        <v>0</v>
      </c>
      <c r="D146">
        <f t="shared" si="12"/>
        <v>27.55</v>
      </c>
    </row>
    <row r="147" spans="1:4" x14ac:dyDescent="0.35">
      <c r="A147">
        <v>146</v>
      </c>
      <c r="B147" s="1">
        <f>SUM($L$3:$L$7)/2-$R$1/2</f>
        <v>5.9525000000000006</v>
      </c>
      <c r="C147">
        <f>$R$3</f>
        <v>0.4</v>
      </c>
      <c r="D147">
        <f t="shared" si="12"/>
        <v>27.55</v>
      </c>
    </row>
    <row r="148" spans="1:4" x14ac:dyDescent="0.35">
      <c r="A148">
        <v>147</v>
      </c>
      <c r="B148" s="1">
        <f>SUM($L$3:$L$7)/2+$R$1/2</f>
        <v>7.6524999999999999</v>
      </c>
      <c r="C148">
        <f>$R$3</f>
        <v>0.4</v>
      </c>
      <c r="D148">
        <f t="shared" si="12"/>
        <v>27.55</v>
      </c>
    </row>
    <row r="149" spans="1:4" x14ac:dyDescent="0.35">
      <c r="A149">
        <v>148</v>
      </c>
      <c r="B149" s="1">
        <f>SUM($L$3:$L$7)/2-$R$1/2</f>
        <v>5.9525000000000006</v>
      </c>
      <c r="C149">
        <f>$R$3+ROUND($R$4/3,3)</f>
        <v>2.4249999999999998</v>
      </c>
      <c r="D149">
        <f t="shared" si="12"/>
        <v>27.55</v>
      </c>
    </row>
    <row r="150" spans="1:4" x14ac:dyDescent="0.35">
      <c r="A150">
        <v>149</v>
      </c>
      <c r="B150" s="1">
        <f>SUM($L$3:$L$7)/2+$R$1/2</f>
        <v>7.6524999999999999</v>
      </c>
      <c r="C150">
        <f>$R$3+ROUND($R$4/3,3)</f>
        <v>2.4249999999999998</v>
      </c>
      <c r="D150">
        <f t="shared" si="12"/>
        <v>27.55</v>
      </c>
    </row>
    <row r="151" spans="1:4" x14ac:dyDescent="0.35">
      <c r="A151">
        <v>150</v>
      </c>
      <c r="B151" s="1">
        <f>SUM($L$3:$L$7)/2-$R$1/2</f>
        <v>5.9525000000000006</v>
      </c>
      <c r="C151">
        <f>$R$3+ROUND($R$4*2/3,3)</f>
        <v>4.45</v>
      </c>
      <c r="D151">
        <f t="shared" si="12"/>
        <v>27.55</v>
      </c>
    </row>
    <row r="152" spans="1:4" x14ac:dyDescent="0.35">
      <c r="A152">
        <v>151</v>
      </c>
      <c r="B152" s="1">
        <f>SUM($L$3:$L$7)/2+$R$1/2</f>
        <v>7.6524999999999999</v>
      </c>
      <c r="C152">
        <f>$R$3+ROUND($R$4*2/3,3)</f>
        <v>4.45</v>
      </c>
      <c r="D152">
        <f t="shared" si="12"/>
        <v>27.55</v>
      </c>
    </row>
    <row r="153" spans="1:4" x14ac:dyDescent="0.35">
      <c r="A153">
        <v>152</v>
      </c>
      <c r="B153" s="1">
        <f>SUM($L$3:$L$7)/2-$R$1/2</f>
        <v>5.9525000000000006</v>
      </c>
      <c r="C153">
        <f>$R$3+$R$4</f>
        <v>6.4750000000000005</v>
      </c>
      <c r="D153">
        <f t="shared" si="12"/>
        <v>27.55</v>
      </c>
    </row>
    <row r="154" spans="1:4" x14ac:dyDescent="0.35">
      <c r="A154">
        <v>153</v>
      </c>
      <c r="B154" s="1">
        <f>SUM($L$3:$L$7)/2+$R$1/2</f>
        <v>7.6524999999999999</v>
      </c>
      <c r="C154">
        <f>$R$3+$R$4</f>
        <v>6.4750000000000005</v>
      </c>
      <c r="D154">
        <f t="shared" si="12"/>
        <v>27.55</v>
      </c>
    </row>
    <row r="155" spans="1:4" x14ac:dyDescent="0.35">
      <c r="A155">
        <v>154</v>
      </c>
      <c r="B155" s="1">
        <f>SUM($L$3:$L$7)/2-$R$1/2</f>
        <v>5.9525000000000006</v>
      </c>
      <c r="C155">
        <f>$R$3+$R$4+$R$5</f>
        <v>7.3750000000000009</v>
      </c>
      <c r="D155">
        <f t="shared" si="12"/>
        <v>27.55</v>
      </c>
    </row>
    <row r="156" spans="1:4" x14ac:dyDescent="0.35">
      <c r="A156">
        <v>155</v>
      </c>
      <c r="B156" s="1">
        <f>SUM($L$3:$L$7)/2+$R$1/2</f>
        <v>7.6524999999999999</v>
      </c>
      <c r="C156">
        <f>$R$3+$R$4+$R$5</f>
        <v>7.3750000000000009</v>
      </c>
      <c r="D156">
        <f t="shared" si="12"/>
        <v>27.55</v>
      </c>
    </row>
    <row r="157" spans="1:4" x14ac:dyDescent="0.35">
      <c r="A157">
        <v>156</v>
      </c>
      <c r="B157" s="1">
        <f>SUM($L$3:$L$7)/2-$R$1/2</f>
        <v>5.9525000000000006</v>
      </c>
      <c r="C157">
        <f>$U$4-$R$3-$R$4-$R$5</f>
        <v>8.7849999999999984</v>
      </c>
      <c r="D157">
        <f t="shared" si="12"/>
        <v>27.55</v>
      </c>
    </row>
    <row r="158" spans="1:4" x14ac:dyDescent="0.35">
      <c r="A158">
        <v>157</v>
      </c>
      <c r="B158" s="1">
        <f>SUM($L$3:$L$7)/2+$R$1/2</f>
        <v>7.6524999999999999</v>
      </c>
      <c r="C158">
        <f>$U$4-$R$3-$R$4-$R$5</f>
        <v>8.7849999999999984</v>
      </c>
      <c r="D158">
        <f t="shared" si="12"/>
        <v>27.55</v>
      </c>
    </row>
    <row r="159" spans="1:4" x14ac:dyDescent="0.35">
      <c r="A159">
        <v>158</v>
      </c>
      <c r="B159" s="1">
        <f>SUM($L$3:$L$7)/2-$R$1/2</f>
        <v>5.9525000000000006</v>
      </c>
      <c r="C159">
        <f>$U$4-$R$3-$R$4</f>
        <v>9.6849999999999987</v>
      </c>
      <c r="D159">
        <f t="shared" si="12"/>
        <v>27.55</v>
      </c>
    </row>
    <row r="160" spans="1:4" x14ac:dyDescent="0.35">
      <c r="A160">
        <v>159</v>
      </c>
      <c r="B160" s="1">
        <f>SUM($L$3:$L$7)/2+$R$1/2</f>
        <v>7.6524999999999999</v>
      </c>
      <c r="C160">
        <f>$U$4-$R$3-$R$4</f>
        <v>9.6849999999999987</v>
      </c>
      <c r="D160">
        <f t="shared" si="12"/>
        <v>27.55</v>
      </c>
    </row>
    <row r="161" spans="1:4" x14ac:dyDescent="0.35">
      <c r="A161">
        <v>160</v>
      </c>
      <c r="B161" s="1">
        <f>SUM($L$3:$L$7)/2-$R$1/2</f>
        <v>5.9525000000000006</v>
      </c>
      <c r="C161">
        <f>$U$4-$R$3-ROUND($R$4*2/3,3)</f>
        <v>11.71</v>
      </c>
      <c r="D161">
        <f t="shared" si="12"/>
        <v>27.55</v>
      </c>
    </row>
    <row r="162" spans="1:4" x14ac:dyDescent="0.35">
      <c r="A162">
        <v>161</v>
      </c>
      <c r="B162" s="1">
        <f>SUM($L$3:$L$7)/2+$R$1/2</f>
        <v>7.6524999999999999</v>
      </c>
      <c r="C162">
        <f>$U$4-$R$3-ROUND($R$4*2/3,3)</f>
        <v>11.71</v>
      </c>
      <c r="D162">
        <f t="shared" si="12"/>
        <v>27.55</v>
      </c>
    </row>
    <row r="163" spans="1:4" x14ac:dyDescent="0.35">
      <c r="A163">
        <v>162</v>
      </c>
      <c r="B163" s="1">
        <f>SUM($L$3:$L$7)/2-$R$1/2</f>
        <v>5.9525000000000006</v>
      </c>
      <c r="C163">
        <f>$U$4-$R$3-ROUND($R$4/3,3)</f>
        <v>13.734999999999999</v>
      </c>
      <c r="D163">
        <f t="shared" si="12"/>
        <v>27.55</v>
      </c>
    </row>
    <row r="164" spans="1:4" x14ac:dyDescent="0.35">
      <c r="A164">
        <v>163</v>
      </c>
      <c r="B164" s="1">
        <f>SUM($L$3:$L$7)/2+$R$1/2</f>
        <v>7.6524999999999999</v>
      </c>
      <c r="C164">
        <f>$U$4-$R$3-ROUND($R$4/3,3)</f>
        <v>13.734999999999999</v>
      </c>
      <c r="D164">
        <f t="shared" si="12"/>
        <v>27.55</v>
      </c>
    </row>
    <row r="165" spans="1:4" x14ac:dyDescent="0.35">
      <c r="A165">
        <v>164</v>
      </c>
      <c r="B165" s="1">
        <f>SUM($L$3:$L$7)/2-$R$1/2</f>
        <v>5.9525000000000006</v>
      </c>
      <c r="C165">
        <f>$U$4-$R$3</f>
        <v>15.76</v>
      </c>
      <c r="D165">
        <f t="shared" si="12"/>
        <v>27.55</v>
      </c>
    </row>
    <row r="166" spans="1:4" x14ac:dyDescent="0.35">
      <c r="A166">
        <v>165</v>
      </c>
      <c r="B166" s="1">
        <f>SUM($L$3:$L$7)/2+$R$1/2</f>
        <v>7.6524999999999999</v>
      </c>
      <c r="C166">
        <f>$U$4-$R$3</f>
        <v>15.76</v>
      </c>
      <c r="D166">
        <f t="shared" si="12"/>
        <v>27.55</v>
      </c>
    </row>
    <row r="167" spans="1:4" x14ac:dyDescent="0.35">
      <c r="A167">
        <v>166</v>
      </c>
      <c r="B167" s="1">
        <f>SUM($L$3:$L$7)/2-$R$1/2</f>
        <v>5.9525000000000006</v>
      </c>
      <c r="C167">
        <f>$U$4</f>
        <v>16.16</v>
      </c>
      <c r="D167">
        <f t="shared" si="12"/>
        <v>27.55</v>
      </c>
    </row>
    <row r="168" spans="1:4" x14ac:dyDescent="0.35">
      <c r="A168">
        <v>167</v>
      </c>
      <c r="B168" s="1">
        <f>SUM($L$3:$L$7)/2+$R$1/2</f>
        <v>7.6524999999999999</v>
      </c>
      <c r="C168">
        <f>$U$4</f>
        <v>16.16</v>
      </c>
      <c r="D168">
        <f t="shared" si="12"/>
        <v>27.55</v>
      </c>
    </row>
    <row r="169" spans="1:4" x14ac:dyDescent="0.35">
      <c r="A169">
        <v>168</v>
      </c>
      <c r="B169" s="1">
        <f>ROUND(($I$7)*TAN(PI()*($X$1/2)/180),3)</f>
        <v>0.91200000000000003</v>
      </c>
      <c r="C169">
        <f>$U$3</f>
        <v>0</v>
      </c>
      <c r="D169">
        <f t="shared" ref="D169:D174" si="13">$I$5+$I$7</f>
        <v>27.939999999999998</v>
      </c>
    </row>
    <row r="170" spans="1:4" x14ac:dyDescent="0.35">
      <c r="A170">
        <v>169</v>
      </c>
      <c r="B170" s="1">
        <f>SUM($L$3:$L$7)-ROUND(($I$7)*TAN(PI()*($X$1/2)/180),3)</f>
        <v>12.693</v>
      </c>
      <c r="C170">
        <f>$U$3</f>
        <v>0</v>
      </c>
      <c r="D170">
        <f t="shared" si="13"/>
        <v>27.939999999999998</v>
      </c>
    </row>
    <row r="171" spans="1:4" x14ac:dyDescent="0.35">
      <c r="A171">
        <v>170</v>
      </c>
      <c r="B171" s="1">
        <f>ROUND(($I$7)*TAN(PI()*($X$1/2)/180),3)</f>
        <v>0.91200000000000003</v>
      </c>
      <c r="C171">
        <f>ROUND($U$4/2,3)</f>
        <v>8.08</v>
      </c>
      <c r="D171">
        <f t="shared" si="13"/>
        <v>27.939999999999998</v>
      </c>
    </row>
    <row r="172" spans="1:4" x14ac:dyDescent="0.35">
      <c r="A172">
        <v>171</v>
      </c>
      <c r="B172" s="1">
        <f>SUM($L$3:$L$7)-ROUND(($I$7)*TAN(PI()*($X$1/2)/180),3)</f>
        <v>12.693</v>
      </c>
      <c r="C172">
        <f>ROUND($U$4/2,3)</f>
        <v>8.08</v>
      </c>
      <c r="D172">
        <f t="shared" si="13"/>
        <v>27.939999999999998</v>
      </c>
    </row>
    <row r="173" spans="1:4" x14ac:dyDescent="0.35">
      <c r="A173">
        <v>172</v>
      </c>
      <c r="B173" s="1">
        <f>ROUND(($I$7)*TAN(PI()*($X$1/2)/180),3)</f>
        <v>0.91200000000000003</v>
      </c>
      <c r="C173">
        <f>$U$4</f>
        <v>16.16</v>
      </c>
      <c r="D173">
        <f t="shared" si="13"/>
        <v>27.939999999999998</v>
      </c>
    </row>
    <row r="174" spans="1:4" x14ac:dyDescent="0.35">
      <c r="A174">
        <v>173</v>
      </c>
      <c r="B174" s="1">
        <f>SUM($L$3:$L$7)-ROUND(($I$7)*TAN(PI()*($X$1/2)/180),3)</f>
        <v>12.693</v>
      </c>
      <c r="C174">
        <f>$U$4</f>
        <v>16.16</v>
      </c>
      <c r="D174">
        <f t="shared" si="13"/>
        <v>27.939999999999998</v>
      </c>
    </row>
    <row r="175" spans="1:4" x14ac:dyDescent="0.35">
      <c r="A175">
        <v>174</v>
      </c>
      <c r="B175" s="1">
        <f>$L$1</f>
        <v>-1.4</v>
      </c>
      <c r="C175">
        <f t="shared" ref="C175:C184" si="14">$U$2</f>
        <v>-0.35</v>
      </c>
      <c r="D175">
        <f t="shared" ref="D175:D199" si="15">$I$5+$I$8</f>
        <v>29.268068904621821</v>
      </c>
    </row>
    <row r="176" spans="1:4" x14ac:dyDescent="0.35">
      <c r="A176">
        <v>175</v>
      </c>
      <c r="B176" s="1">
        <f>$L$2</f>
        <v>0</v>
      </c>
      <c r="C176">
        <f t="shared" si="14"/>
        <v>-0.35</v>
      </c>
      <c r="D176">
        <f t="shared" si="15"/>
        <v>29.268068904621821</v>
      </c>
    </row>
    <row r="177" spans="1:5" x14ac:dyDescent="0.35">
      <c r="A177">
        <v>176</v>
      </c>
      <c r="B177" s="1">
        <f>ROUND($I$8*TAN(PI()*($X$1/2)/180),3)</f>
        <v>1.679</v>
      </c>
      <c r="C177">
        <f t="shared" si="14"/>
        <v>-0.35</v>
      </c>
      <c r="D177">
        <f t="shared" si="15"/>
        <v>29.268068904621821</v>
      </c>
    </row>
    <row r="178" spans="1:5" x14ac:dyDescent="0.35">
      <c r="A178">
        <v>177</v>
      </c>
      <c r="B178" s="1">
        <f>$L$3</f>
        <v>3.357948729810778</v>
      </c>
      <c r="C178">
        <f t="shared" si="14"/>
        <v>-0.35</v>
      </c>
      <c r="D178">
        <f t="shared" si="15"/>
        <v>29.268068904621821</v>
      </c>
    </row>
    <row r="179" spans="1:5" x14ac:dyDescent="0.35">
      <c r="A179">
        <v>178</v>
      </c>
      <c r="B179" s="1">
        <f>$L$3+$L$4</f>
        <v>6.1875</v>
      </c>
      <c r="C179">
        <f t="shared" si="14"/>
        <v>-0.35</v>
      </c>
      <c r="D179">
        <f t="shared" si="15"/>
        <v>29.268068904621821</v>
      </c>
      <c r="E179" s="2"/>
    </row>
    <row r="180" spans="1:5" x14ac:dyDescent="0.35">
      <c r="A180">
        <v>179</v>
      </c>
      <c r="B180" s="1">
        <f>$L$3+$L$4+$L$5</f>
        <v>7.4175000000000004</v>
      </c>
      <c r="C180">
        <f t="shared" si="14"/>
        <v>-0.35</v>
      </c>
      <c r="D180">
        <f t="shared" si="15"/>
        <v>29.268068904621821</v>
      </c>
    </row>
    <row r="181" spans="1:5" x14ac:dyDescent="0.35">
      <c r="A181">
        <v>180</v>
      </c>
      <c r="B181" s="1">
        <f>$L$3+$L$4+$L$5+$L$6</f>
        <v>10.247051270189223</v>
      </c>
      <c r="C181">
        <f t="shared" si="14"/>
        <v>-0.35</v>
      </c>
      <c r="D181">
        <f t="shared" si="15"/>
        <v>29.268068904621821</v>
      </c>
    </row>
    <row r="182" spans="1:5" x14ac:dyDescent="0.35">
      <c r="A182">
        <v>181</v>
      </c>
      <c r="B182" s="1">
        <f>SUM($L$3:$L$7)-ROUND(($I$8)*TAN(PI()*($X$1/2)/180),3)</f>
        <v>11.926</v>
      </c>
      <c r="C182">
        <f t="shared" si="14"/>
        <v>-0.35</v>
      </c>
      <c r="D182">
        <f t="shared" si="15"/>
        <v>29.268068904621821</v>
      </c>
    </row>
    <row r="183" spans="1:5" x14ac:dyDescent="0.35">
      <c r="A183">
        <v>182</v>
      </c>
      <c r="B183" s="1">
        <f>$L$3+$L$4+$L$5+$L$6+$L$8</f>
        <v>12.990000000000002</v>
      </c>
      <c r="C183">
        <f t="shared" si="14"/>
        <v>-0.35</v>
      </c>
      <c r="D183">
        <f t="shared" si="15"/>
        <v>29.268068904621821</v>
      </c>
    </row>
    <row r="184" spans="1:5" x14ac:dyDescent="0.35">
      <c r="A184">
        <v>183</v>
      </c>
      <c r="B184" s="1">
        <f>$L$3+$L$4+$L$5+$L$6+$L$8+$L$9</f>
        <v>14.220000000000002</v>
      </c>
      <c r="C184">
        <f t="shared" si="14"/>
        <v>-0.35</v>
      </c>
      <c r="D184">
        <f t="shared" si="15"/>
        <v>29.268068904621821</v>
      </c>
    </row>
    <row r="185" spans="1:5" x14ac:dyDescent="0.35">
      <c r="A185">
        <v>184</v>
      </c>
      <c r="B185" s="1">
        <f>$L$1</f>
        <v>-1.4</v>
      </c>
      <c r="C185">
        <f>$U$3</f>
        <v>0</v>
      </c>
      <c r="D185">
        <f t="shared" si="15"/>
        <v>29.268068904621821</v>
      </c>
    </row>
    <row r="186" spans="1:5" x14ac:dyDescent="0.35">
      <c r="A186">
        <v>185</v>
      </c>
      <c r="B186" s="1">
        <f>ROUND($I$8*TAN(PI()*($X$1/2)/180),3)</f>
        <v>1.679</v>
      </c>
      <c r="C186">
        <f>$U$3</f>
        <v>0</v>
      </c>
      <c r="D186">
        <f t="shared" si="15"/>
        <v>29.268068904621821</v>
      </c>
    </row>
    <row r="187" spans="1:5" x14ac:dyDescent="0.35">
      <c r="A187">
        <v>186</v>
      </c>
      <c r="B187" s="1">
        <f>SUM($L$3:$L$7)-ROUND(($I$8)*TAN(PI()*($X$1/2)/180),3)</f>
        <v>11.926</v>
      </c>
      <c r="C187">
        <f>$U$3</f>
        <v>0</v>
      </c>
      <c r="D187">
        <f t="shared" si="15"/>
        <v>29.268068904621821</v>
      </c>
    </row>
    <row r="188" spans="1:5" x14ac:dyDescent="0.35">
      <c r="A188">
        <v>187</v>
      </c>
      <c r="B188" s="1">
        <f>$L$1</f>
        <v>-1.4</v>
      </c>
      <c r="C188">
        <f>ROUND($U$4/6,3)</f>
        <v>2.6930000000000001</v>
      </c>
      <c r="D188">
        <f t="shared" si="15"/>
        <v>29.268068904621821</v>
      </c>
    </row>
    <row r="189" spans="1:5" x14ac:dyDescent="0.35">
      <c r="A189">
        <v>188</v>
      </c>
      <c r="B189" s="1">
        <f>$L$1</f>
        <v>-1.4</v>
      </c>
      <c r="C189">
        <f>ROUND($U$4/6*2,3)</f>
        <v>5.3869999999999996</v>
      </c>
      <c r="D189">
        <f t="shared" si="15"/>
        <v>29.268068904621821</v>
      </c>
    </row>
    <row r="190" spans="1:5" x14ac:dyDescent="0.35">
      <c r="A190">
        <v>189</v>
      </c>
      <c r="B190" s="1">
        <f>$L$1</f>
        <v>-1.4</v>
      </c>
      <c r="C190">
        <f>ROUND($U$4/2,3)</f>
        <v>8.08</v>
      </c>
      <c r="D190">
        <f t="shared" si="15"/>
        <v>29.268068904621821</v>
      </c>
    </row>
    <row r="191" spans="1:5" x14ac:dyDescent="0.35">
      <c r="A191">
        <v>190</v>
      </c>
      <c r="B191" s="1">
        <f>ROUND($I$8*TAN(PI()*($X$1/2)/180),3)</f>
        <v>1.679</v>
      </c>
      <c r="C191">
        <f>ROUND($U$4/2,3)</f>
        <v>8.08</v>
      </c>
      <c r="D191">
        <f t="shared" si="15"/>
        <v>29.268068904621821</v>
      </c>
    </row>
    <row r="192" spans="1:5" x14ac:dyDescent="0.35">
      <c r="A192">
        <v>191</v>
      </c>
      <c r="B192" s="1">
        <f>SUM($L$3:$L$7)-ROUND(($I$8)*TAN(PI()*($X$1/2)/180),3)</f>
        <v>11.926</v>
      </c>
      <c r="C192">
        <f>ROUND($U$4/2,3)</f>
        <v>8.08</v>
      </c>
      <c r="D192">
        <f t="shared" si="15"/>
        <v>29.268068904621821</v>
      </c>
    </row>
    <row r="193" spans="1:4" x14ac:dyDescent="0.35">
      <c r="A193">
        <v>192</v>
      </c>
      <c r="B193" s="1">
        <f>$L$1</f>
        <v>-1.4</v>
      </c>
      <c r="C193">
        <f>ROUND($U$4/2+$U$4/6,3)</f>
        <v>10.773</v>
      </c>
      <c r="D193">
        <f t="shared" si="15"/>
        <v>29.268068904621821</v>
      </c>
    </row>
    <row r="194" spans="1:4" x14ac:dyDescent="0.35">
      <c r="A194">
        <v>193</v>
      </c>
      <c r="B194" s="1">
        <f>$L$1</f>
        <v>-1.4</v>
      </c>
      <c r="C194">
        <f>ROUND($U$4/2+2*$U$4/6,3)</f>
        <v>13.467000000000001</v>
      </c>
      <c r="D194">
        <f t="shared" si="15"/>
        <v>29.268068904621821</v>
      </c>
    </row>
    <row r="195" spans="1:4" x14ac:dyDescent="0.35">
      <c r="A195">
        <v>194</v>
      </c>
      <c r="B195" s="1">
        <f>$L$1</f>
        <v>-1.4</v>
      </c>
      <c r="C195">
        <f>$U$4</f>
        <v>16.16</v>
      </c>
      <c r="D195">
        <f t="shared" si="15"/>
        <v>29.268068904621821</v>
      </c>
    </row>
    <row r="196" spans="1:4" x14ac:dyDescent="0.35">
      <c r="A196">
        <v>195</v>
      </c>
      <c r="B196" s="1">
        <f>ROUND($I$8*TAN(PI()*($X$1/2)/180),3)</f>
        <v>1.679</v>
      </c>
      <c r="C196">
        <f>$U$4</f>
        <v>16.16</v>
      </c>
      <c r="D196">
        <f t="shared" si="15"/>
        <v>29.268068904621821</v>
      </c>
    </row>
    <row r="197" spans="1:4" x14ac:dyDescent="0.35">
      <c r="A197">
        <v>196</v>
      </c>
      <c r="B197" s="1">
        <f>$L$3+$L$4</f>
        <v>6.1875</v>
      </c>
      <c r="C197">
        <f>$U$4</f>
        <v>16.16</v>
      </c>
      <c r="D197">
        <f t="shared" si="15"/>
        <v>29.268068904621821</v>
      </c>
    </row>
    <row r="198" spans="1:4" x14ac:dyDescent="0.35">
      <c r="A198">
        <v>197</v>
      </c>
      <c r="B198" s="1">
        <f>$L$3+$L$4+$L$5</f>
        <v>7.4175000000000004</v>
      </c>
      <c r="C198">
        <f>$U$4</f>
        <v>16.16</v>
      </c>
      <c r="D198">
        <f t="shared" si="15"/>
        <v>29.268068904621821</v>
      </c>
    </row>
    <row r="199" spans="1:4" x14ac:dyDescent="0.35">
      <c r="A199">
        <v>198</v>
      </c>
      <c r="B199" s="1">
        <f>SUM($L$3:$L$7)-ROUND(($I$8)*TAN(PI()*($X$1/2)/180),3)</f>
        <v>11.926</v>
      </c>
      <c r="C199">
        <f>$U$4</f>
        <v>16.16</v>
      </c>
      <c r="D199">
        <f t="shared" si="15"/>
        <v>29.268068904621821</v>
      </c>
    </row>
    <row r="200" spans="1:4" x14ac:dyDescent="0.35">
      <c r="A200">
        <v>199</v>
      </c>
      <c r="B200" s="1">
        <f>$L$3+$L$4</f>
        <v>6.1875</v>
      </c>
      <c r="C200">
        <f>$U$2</f>
        <v>-0.35</v>
      </c>
      <c r="D200">
        <f>$I$5+$I$9</f>
        <v>29.75</v>
      </c>
    </row>
    <row r="201" spans="1:4" x14ac:dyDescent="0.35">
      <c r="A201">
        <v>200</v>
      </c>
      <c r="B201" s="1">
        <f>$L$3+$L$4+$L$5</f>
        <v>7.4175000000000004</v>
      </c>
      <c r="C201">
        <f>$U$2</f>
        <v>-0.35</v>
      </c>
      <c r="D201">
        <f>$I$5+$I$9</f>
        <v>29.75</v>
      </c>
    </row>
    <row r="202" spans="1:4" x14ac:dyDescent="0.35">
      <c r="A202">
        <v>201</v>
      </c>
      <c r="B202" s="1">
        <f>$L$3+$L$4</f>
        <v>6.1875</v>
      </c>
      <c r="C202">
        <f>$U$4</f>
        <v>16.16</v>
      </c>
      <c r="D202">
        <f>$I$5+$I$9</f>
        <v>29.75</v>
      </c>
    </row>
    <row r="203" spans="1:4" x14ac:dyDescent="0.35">
      <c r="A203">
        <v>202</v>
      </c>
      <c r="B203" s="1">
        <f>$L$3+$L$4+$L$5</f>
        <v>7.4175000000000004</v>
      </c>
      <c r="C203">
        <f>$U$4</f>
        <v>16.16</v>
      </c>
      <c r="D203">
        <f>$I$5+$I$9</f>
        <v>29.75</v>
      </c>
    </row>
    <row r="204" spans="1:4" x14ac:dyDescent="0.35">
      <c r="A204">
        <v>203</v>
      </c>
      <c r="B204" s="1">
        <f>$L$1</f>
        <v>-1.4</v>
      </c>
      <c r="C204">
        <f t="shared" ref="C204:C211" si="16">$U$2</f>
        <v>-0.35</v>
      </c>
      <c r="D204">
        <f t="shared" ref="D204:D226" si="17">$I$5+2*$I$8</f>
        <v>32.176137809243642</v>
      </c>
    </row>
    <row r="205" spans="1:4" x14ac:dyDescent="0.35">
      <c r="A205">
        <v>204</v>
      </c>
      <c r="B205" s="1">
        <f>ROUND($I$8*2*TAN(PI()*($X$1/2)/180),3)</f>
        <v>3.3580000000000001</v>
      </c>
      <c r="C205">
        <f t="shared" si="16"/>
        <v>-0.35</v>
      </c>
      <c r="D205">
        <f t="shared" si="17"/>
        <v>32.176137809243642</v>
      </c>
    </row>
    <row r="206" spans="1:4" x14ac:dyDescent="0.35">
      <c r="A206">
        <v>205</v>
      </c>
      <c r="B206" s="1">
        <f>$L$3</f>
        <v>3.357948729810778</v>
      </c>
      <c r="C206">
        <f t="shared" si="16"/>
        <v>-0.35</v>
      </c>
      <c r="D206">
        <f t="shared" si="17"/>
        <v>32.176137809243642</v>
      </c>
    </row>
    <row r="207" spans="1:4" x14ac:dyDescent="0.35">
      <c r="A207">
        <v>206</v>
      </c>
      <c r="B207" s="1">
        <f>$L$3+$L$4</f>
        <v>6.1875</v>
      </c>
      <c r="C207">
        <f t="shared" si="16"/>
        <v>-0.35</v>
      </c>
      <c r="D207">
        <f t="shared" si="17"/>
        <v>32.176137809243642</v>
      </c>
    </row>
    <row r="208" spans="1:4" x14ac:dyDescent="0.35">
      <c r="A208">
        <v>207</v>
      </c>
      <c r="B208" s="1">
        <f>$L$3+$L$4+$L$5</f>
        <v>7.4175000000000004</v>
      </c>
      <c r="C208">
        <f t="shared" si="16"/>
        <v>-0.35</v>
      </c>
      <c r="D208">
        <f t="shared" si="17"/>
        <v>32.176137809243642</v>
      </c>
    </row>
    <row r="209" spans="1:4" x14ac:dyDescent="0.35">
      <c r="A209">
        <v>208</v>
      </c>
      <c r="B209" s="1">
        <f>$L$3+$L$4+$L$5+$L$6</f>
        <v>10.247051270189223</v>
      </c>
      <c r="C209">
        <f t="shared" si="16"/>
        <v>-0.35</v>
      </c>
      <c r="D209">
        <f t="shared" si="17"/>
        <v>32.176137809243642</v>
      </c>
    </row>
    <row r="210" spans="1:4" x14ac:dyDescent="0.35">
      <c r="A210">
        <v>209</v>
      </c>
      <c r="B210" s="1">
        <f>SUM($L$3:$L$7)-ROUND((2*$I$8)*TAN(PI()*($X$1/2)/180),3)</f>
        <v>10.247</v>
      </c>
      <c r="C210">
        <f t="shared" si="16"/>
        <v>-0.35</v>
      </c>
      <c r="D210">
        <f t="shared" si="17"/>
        <v>32.176137809243642</v>
      </c>
    </row>
    <row r="211" spans="1:4" x14ac:dyDescent="0.35">
      <c r="A211">
        <v>210</v>
      </c>
      <c r="B211" s="1">
        <f>$L$3+$L$4+$L$5+$L$6+$L$8</f>
        <v>12.990000000000002</v>
      </c>
      <c r="C211">
        <f t="shared" si="16"/>
        <v>-0.35</v>
      </c>
      <c r="D211">
        <f t="shared" si="17"/>
        <v>32.176137809243642</v>
      </c>
    </row>
    <row r="212" spans="1:4" x14ac:dyDescent="0.35">
      <c r="A212">
        <v>211</v>
      </c>
      <c r="B212" s="1">
        <f>$L$1</f>
        <v>-1.4</v>
      </c>
      <c r="C212">
        <f>$U$3</f>
        <v>0</v>
      </c>
      <c r="D212">
        <f t="shared" si="17"/>
        <v>32.176137809243642</v>
      </c>
    </row>
    <row r="213" spans="1:4" x14ac:dyDescent="0.35">
      <c r="A213">
        <v>212</v>
      </c>
      <c r="B213" s="1">
        <f>ROUND($I$8*2*TAN(PI()*($X$1/2)/180),3)</f>
        <v>3.3580000000000001</v>
      </c>
      <c r="C213">
        <f>$U$3</f>
        <v>0</v>
      </c>
      <c r="D213">
        <f t="shared" si="17"/>
        <v>32.176137809243642</v>
      </c>
    </row>
    <row r="214" spans="1:4" x14ac:dyDescent="0.35">
      <c r="A214">
        <v>213</v>
      </c>
      <c r="B214" s="1">
        <f>SUM($L$3:$L$7)-ROUND((2*$I$8)*TAN(PI()*($X$1/2)/180),3)</f>
        <v>10.247</v>
      </c>
      <c r="C214">
        <f>$U$3</f>
        <v>0</v>
      </c>
      <c r="D214">
        <f t="shared" si="17"/>
        <v>32.176137809243642</v>
      </c>
    </row>
    <row r="215" spans="1:4" x14ac:dyDescent="0.35">
      <c r="A215">
        <v>214</v>
      </c>
      <c r="B215" s="1">
        <f>$L$1</f>
        <v>-1.4</v>
      </c>
      <c r="C215">
        <f>ROUND($U$4/6,3)</f>
        <v>2.6930000000000001</v>
      </c>
      <c r="D215">
        <f t="shared" si="17"/>
        <v>32.176137809243642</v>
      </c>
    </row>
    <row r="216" spans="1:4" x14ac:dyDescent="0.35">
      <c r="A216">
        <v>215</v>
      </c>
      <c r="B216" s="1">
        <f>$L$1</f>
        <v>-1.4</v>
      </c>
      <c r="C216">
        <f>ROUND($U$4/6*2,3)</f>
        <v>5.3869999999999996</v>
      </c>
      <c r="D216">
        <f t="shared" si="17"/>
        <v>32.176137809243642</v>
      </c>
    </row>
    <row r="217" spans="1:4" x14ac:dyDescent="0.35">
      <c r="A217">
        <v>216</v>
      </c>
      <c r="B217" s="1">
        <f>$L$1</f>
        <v>-1.4</v>
      </c>
      <c r="C217">
        <f>ROUND($U$4/2,3)</f>
        <v>8.08</v>
      </c>
      <c r="D217">
        <f t="shared" si="17"/>
        <v>32.176137809243642</v>
      </c>
    </row>
    <row r="218" spans="1:4" x14ac:dyDescent="0.35">
      <c r="A218">
        <v>217</v>
      </c>
      <c r="B218" s="1">
        <f>ROUND($I$8*2*TAN(PI()*($X$1/2)/180),3)</f>
        <v>3.3580000000000001</v>
      </c>
      <c r="C218">
        <f>ROUND($U$4/2,3)</f>
        <v>8.08</v>
      </c>
      <c r="D218">
        <f t="shared" si="17"/>
        <v>32.176137809243642</v>
      </c>
    </row>
    <row r="219" spans="1:4" x14ac:dyDescent="0.35">
      <c r="A219">
        <v>218</v>
      </c>
      <c r="B219" s="1">
        <f>SUM($L$3:$L$7)-ROUND((2*$I$8)*TAN(PI()*($X$1/2)/180),3)</f>
        <v>10.247</v>
      </c>
      <c r="C219">
        <f>ROUND($U$4/2,3)</f>
        <v>8.08</v>
      </c>
      <c r="D219">
        <f t="shared" si="17"/>
        <v>32.176137809243642</v>
      </c>
    </row>
    <row r="220" spans="1:4" x14ac:dyDescent="0.35">
      <c r="A220">
        <v>219</v>
      </c>
      <c r="B220" s="1">
        <f>$L$1</f>
        <v>-1.4</v>
      </c>
      <c r="C220">
        <f>ROUND($U$4/2+$U$4/6,3)</f>
        <v>10.773</v>
      </c>
      <c r="D220">
        <f t="shared" si="17"/>
        <v>32.176137809243642</v>
      </c>
    </row>
    <row r="221" spans="1:4" x14ac:dyDescent="0.35">
      <c r="A221">
        <v>220</v>
      </c>
      <c r="B221" s="1">
        <f>$L$1</f>
        <v>-1.4</v>
      </c>
      <c r="C221">
        <f>ROUND($U$4/2+2*$U$4/6,3)</f>
        <v>13.467000000000001</v>
      </c>
      <c r="D221">
        <f t="shared" si="17"/>
        <v>32.176137809243642</v>
      </c>
    </row>
    <row r="222" spans="1:4" x14ac:dyDescent="0.35">
      <c r="A222">
        <v>221</v>
      </c>
      <c r="B222" s="1">
        <f>$L$1</f>
        <v>-1.4</v>
      </c>
      <c r="C222">
        <f>$U$4</f>
        <v>16.16</v>
      </c>
      <c r="D222">
        <f t="shared" si="17"/>
        <v>32.176137809243642</v>
      </c>
    </row>
    <row r="223" spans="1:4" x14ac:dyDescent="0.35">
      <c r="A223">
        <v>222</v>
      </c>
      <c r="B223" s="1">
        <f>ROUND($I$8*2*TAN(PI()*($X$1/2)/180),3)</f>
        <v>3.3580000000000001</v>
      </c>
      <c r="C223">
        <f>$U$4</f>
        <v>16.16</v>
      </c>
      <c r="D223">
        <f t="shared" si="17"/>
        <v>32.176137809243642</v>
      </c>
    </row>
    <row r="224" spans="1:4" x14ac:dyDescent="0.35">
      <c r="A224">
        <v>223</v>
      </c>
      <c r="B224" s="1">
        <f>$L$3+$L$4</f>
        <v>6.1875</v>
      </c>
      <c r="C224">
        <f>$U$4</f>
        <v>16.16</v>
      </c>
      <c r="D224">
        <f t="shared" si="17"/>
        <v>32.176137809243642</v>
      </c>
    </row>
    <row r="225" spans="1:4" x14ac:dyDescent="0.35">
      <c r="A225">
        <v>224</v>
      </c>
      <c r="B225" s="1">
        <f>$L$3+$L$4+$L$5</f>
        <v>7.4175000000000004</v>
      </c>
      <c r="C225">
        <f>$U$4</f>
        <v>16.16</v>
      </c>
      <c r="D225">
        <f t="shared" si="17"/>
        <v>32.176137809243642</v>
      </c>
    </row>
    <row r="226" spans="1:4" x14ac:dyDescent="0.35">
      <c r="A226">
        <v>225</v>
      </c>
      <c r="B226" s="1">
        <f>SUM($L$3:$L$7)-ROUND((2*$I$8)*TAN(PI()*($X$1/2)/180),3)</f>
        <v>10.247</v>
      </c>
      <c r="C226">
        <f>$U$4</f>
        <v>16.16</v>
      </c>
      <c r="D226">
        <f t="shared" si="17"/>
        <v>32.176137809243642</v>
      </c>
    </row>
    <row r="227" spans="1:4" x14ac:dyDescent="0.35">
      <c r="A227">
        <v>226</v>
      </c>
      <c r="B227" s="1">
        <f>$L$1</f>
        <v>-1.4</v>
      </c>
      <c r="C227">
        <f t="shared" ref="C227:C233" si="18">$U$2</f>
        <v>-0.35</v>
      </c>
      <c r="D227">
        <f t="shared" ref="D227:D257" si="19">$I$5+$I$10</f>
        <v>32.176137809243642</v>
      </c>
    </row>
    <row r="228" spans="1:4" x14ac:dyDescent="0.35">
      <c r="A228">
        <v>227</v>
      </c>
      <c r="B228" s="1">
        <f>$L$3</f>
        <v>3.357948729810778</v>
      </c>
      <c r="C228">
        <f t="shared" si="18"/>
        <v>-0.35</v>
      </c>
      <c r="D228">
        <f t="shared" si="19"/>
        <v>32.176137809243642</v>
      </c>
    </row>
    <row r="229" spans="1:4" x14ac:dyDescent="0.35">
      <c r="A229">
        <v>228</v>
      </c>
      <c r="B229" s="1">
        <f>$L$3+$L$4</f>
        <v>6.1875</v>
      </c>
      <c r="C229">
        <f t="shared" si="18"/>
        <v>-0.35</v>
      </c>
      <c r="D229">
        <f t="shared" si="19"/>
        <v>32.176137809243642</v>
      </c>
    </row>
    <row r="230" spans="1:4" x14ac:dyDescent="0.35">
      <c r="A230">
        <v>229</v>
      </c>
      <c r="B230" s="1">
        <f>$L$3+$L$4+$L$5</f>
        <v>7.4175000000000004</v>
      </c>
      <c r="C230">
        <f t="shared" si="18"/>
        <v>-0.35</v>
      </c>
      <c r="D230">
        <f t="shared" si="19"/>
        <v>32.176137809243642</v>
      </c>
    </row>
    <row r="231" spans="1:4" x14ac:dyDescent="0.35">
      <c r="A231">
        <v>230</v>
      </c>
      <c r="B231" s="1">
        <f>$L$3+$L$4+$L$5+$L$6</f>
        <v>10.247051270189223</v>
      </c>
      <c r="C231">
        <f t="shared" si="18"/>
        <v>-0.35</v>
      </c>
      <c r="D231">
        <f t="shared" si="19"/>
        <v>32.176137809243642</v>
      </c>
    </row>
    <row r="232" spans="1:4" x14ac:dyDescent="0.35">
      <c r="A232">
        <v>231</v>
      </c>
      <c r="B232" s="1">
        <f>$L$3+$L$4+$L$5+$L$6+$L$8</f>
        <v>12.990000000000002</v>
      </c>
      <c r="C232">
        <f t="shared" si="18"/>
        <v>-0.35</v>
      </c>
      <c r="D232">
        <f t="shared" si="19"/>
        <v>32.176137809243642</v>
      </c>
    </row>
    <row r="233" spans="1:4" x14ac:dyDescent="0.35">
      <c r="A233">
        <v>232</v>
      </c>
      <c r="B233" s="1">
        <f>$L$3+$L$4+$L$5+$L$6+$L$8+$L$9</f>
        <v>14.220000000000002</v>
      </c>
      <c r="C233">
        <f t="shared" si="18"/>
        <v>-0.35</v>
      </c>
      <c r="D233">
        <f t="shared" si="19"/>
        <v>32.176137809243642</v>
      </c>
    </row>
    <row r="234" spans="1:4" x14ac:dyDescent="0.35">
      <c r="A234">
        <v>233</v>
      </c>
      <c r="B234" s="1">
        <f>$L$1</f>
        <v>-1.4</v>
      </c>
      <c r="C234">
        <f t="shared" ref="C234:C239" si="20">$U$3</f>
        <v>0</v>
      </c>
      <c r="D234">
        <f t="shared" si="19"/>
        <v>32.176137809243642</v>
      </c>
    </row>
    <row r="235" spans="1:4" x14ac:dyDescent="0.35">
      <c r="A235">
        <v>234</v>
      </c>
      <c r="B235" s="1">
        <f>$L$3</f>
        <v>3.357948729810778</v>
      </c>
      <c r="C235">
        <f t="shared" si="20"/>
        <v>0</v>
      </c>
      <c r="D235">
        <f t="shared" si="19"/>
        <v>32.176137809243642</v>
      </c>
    </row>
    <row r="236" spans="1:4" x14ac:dyDescent="0.35">
      <c r="A236">
        <v>235</v>
      </c>
      <c r="B236" s="1">
        <f>$L$3+$L$4</f>
        <v>6.1875</v>
      </c>
      <c r="C236">
        <f t="shared" si="20"/>
        <v>0</v>
      </c>
      <c r="D236">
        <f t="shared" si="19"/>
        <v>32.176137809243642</v>
      </c>
    </row>
    <row r="237" spans="1:4" x14ac:dyDescent="0.35">
      <c r="A237">
        <v>236</v>
      </c>
      <c r="B237" s="1">
        <f>SUM($L$3:$L$7)/2</f>
        <v>6.8025000000000002</v>
      </c>
      <c r="C237">
        <f t="shared" si="20"/>
        <v>0</v>
      </c>
      <c r="D237">
        <f t="shared" si="19"/>
        <v>32.176137809243642</v>
      </c>
    </row>
    <row r="238" spans="1:4" x14ac:dyDescent="0.35">
      <c r="A238">
        <v>237</v>
      </c>
      <c r="B238" s="1">
        <f>$L$3+$L$4+$L$5</f>
        <v>7.4175000000000004</v>
      </c>
      <c r="C238">
        <f t="shared" si="20"/>
        <v>0</v>
      </c>
      <c r="D238">
        <f t="shared" si="19"/>
        <v>32.176137809243642</v>
      </c>
    </row>
    <row r="239" spans="1:4" x14ac:dyDescent="0.35">
      <c r="A239">
        <v>238</v>
      </c>
      <c r="B239" s="1">
        <f>$L$3+$L$4+$L$5+$L$6</f>
        <v>10.247051270189223</v>
      </c>
      <c r="C239">
        <f t="shared" si="20"/>
        <v>0</v>
      </c>
      <c r="D239">
        <f t="shared" si="19"/>
        <v>32.176137809243642</v>
      </c>
    </row>
    <row r="240" spans="1:4" x14ac:dyDescent="0.35">
      <c r="A240">
        <v>239</v>
      </c>
      <c r="B240" s="1">
        <f>$L$1</f>
        <v>-1.4</v>
      </c>
      <c r="C240">
        <f>ROUND($U$4/6,3)</f>
        <v>2.6930000000000001</v>
      </c>
      <c r="D240">
        <f t="shared" si="19"/>
        <v>32.176137809243642</v>
      </c>
    </row>
    <row r="241" spans="1:4" x14ac:dyDescent="0.35">
      <c r="A241">
        <v>240</v>
      </c>
      <c r="B241" s="1">
        <f>SUM($L$3:$L$7)/2</f>
        <v>6.8025000000000002</v>
      </c>
      <c r="C241">
        <f>ROUND($U$4/4,3)</f>
        <v>4.04</v>
      </c>
      <c r="D241">
        <f t="shared" si="19"/>
        <v>32.176137809243642</v>
      </c>
    </row>
    <row r="242" spans="1:4" x14ac:dyDescent="0.35">
      <c r="A242">
        <v>241</v>
      </c>
      <c r="B242" s="1">
        <f>$L$1</f>
        <v>-1.4</v>
      </c>
      <c r="C242">
        <f>ROUND($U$4/6*2,3)</f>
        <v>5.3869999999999996</v>
      </c>
      <c r="D242">
        <f t="shared" si="19"/>
        <v>32.176137809243642</v>
      </c>
    </row>
    <row r="243" spans="1:4" x14ac:dyDescent="0.35">
      <c r="A243">
        <v>242</v>
      </c>
      <c r="B243" s="1">
        <f>$L$1</f>
        <v>-1.4</v>
      </c>
      <c r="C243">
        <f t="shared" ref="C243:C248" si="21">ROUND($U$4/2,3)</f>
        <v>8.08</v>
      </c>
      <c r="D243">
        <f t="shared" si="19"/>
        <v>32.176137809243642</v>
      </c>
    </row>
    <row r="244" spans="1:4" x14ac:dyDescent="0.35">
      <c r="A244">
        <v>243</v>
      </c>
      <c r="B244" s="1">
        <f>$L$3</f>
        <v>3.357948729810778</v>
      </c>
      <c r="C244">
        <f t="shared" si="21"/>
        <v>8.08</v>
      </c>
      <c r="D244">
        <f t="shared" si="19"/>
        <v>32.176137809243642</v>
      </c>
    </row>
    <row r="245" spans="1:4" x14ac:dyDescent="0.35">
      <c r="A245">
        <v>244</v>
      </c>
      <c r="B245" s="1">
        <f>$L$3+$L$4</f>
        <v>6.1875</v>
      </c>
      <c r="C245">
        <f t="shared" si="21"/>
        <v>8.08</v>
      </c>
      <c r="D245">
        <f t="shared" si="19"/>
        <v>32.176137809243642</v>
      </c>
    </row>
    <row r="246" spans="1:4" x14ac:dyDescent="0.35">
      <c r="A246">
        <v>245</v>
      </c>
      <c r="B246" s="1">
        <f>SUM($L$3:$L$7)/2</f>
        <v>6.8025000000000002</v>
      </c>
      <c r="C246">
        <f t="shared" si="21"/>
        <v>8.08</v>
      </c>
      <c r="D246">
        <f t="shared" si="19"/>
        <v>32.176137809243642</v>
      </c>
    </row>
    <row r="247" spans="1:4" x14ac:dyDescent="0.35">
      <c r="A247">
        <v>246</v>
      </c>
      <c r="B247" s="1">
        <f>$L$3+$L$4+$L$5</f>
        <v>7.4175000000000004</v>
      </c>
      <c r="C247">
        <f t="shared" si="21"/>
        <v>8.08</v>
      </c>
      <c r="D247">
        <f t="shared" si="19"/>
        <v>32.176137809243642</v>
      </c>
    </row>
    <row r="248" spans="1:4" x14ac:dyDescent="0.35">
      <c r="A248">
        <v>247</v>
      </c>
      <c r="B248" s="1">
        <f>$L$3+$L$4+$L$5+$L$6</f>
        <v>10.247051270189223</v>
      </c>
      <c r="C248">
        <f t="shared" si="21"/>
        <v>8.08</v>
      </c>
      <c r="D248">
        <f t="shared" si="19"/>
        <v>32.176137809243642</v>
      </c>
    </row>
    <row r="249" spans="1:4" x14ac:dyDescent="0.35">
      <c r="A249">
        <v>248</v>
      </c>
      <c r="B249" s="1">
        <f>$L$1</f>
        <v>-1.4</v>
      </c>
      <c r="C249">
        <f>ROUND($U$4/2+$U$4/6,3)</f>
        <v>10.773</v>
      </c>
      <c r="D249">
        <f t="shared" si="19"/>
        <v>32.176137809243642</v>
      </c>
    </row>
    <row r="250" spans="1:4" x14ac:dyDescent="0.35">
      <c r="A250">
        <v>249</v>
      </c>
      <c r="B250" s="1">
        <f>SUM($L$3:$L$7)/2</f>
        <v>6.8025000000000002</v>
      </c>
      <c r="C250">
        <f>ROUND($U$4*3/4,3)</f>
        <v>12.12</v>
      </c>
      <c r="D250">
        <f t="shared" si="19"/>
        <v>32.176137809243642</v>
      </c>
    </row>
    <row r="251" spans="1:4" x14ac:dyDescent="0.35">
      <c r="A251">
        <v>250</v>
      </c>
      <c r="B251" s="1">
        <f>$L$1</f>
        <v>-1.4</v>
      </c>
      <c r="C251">
        <f>ROUND($U$4/2+2*$U$4/6,3)</f>
        <v>13.467000000000001</v>
      </c>
      <c r="D251">
        <f t="shared" si="19"/>
        <v>32.176137809243642</v>
      </c>
    </row>
    <row r="252" spans="1:4" x14ac:dyDescent="0.35">
      <c r="A252">
        <v>251</v>
      </c>
      <c r="B252" s="1">
        <f>$L$1</f>
        <v>-1.4</v>
      </c>
      <c r="C252">
        <f t="shared" ref="C252:C257" si="22">$U$4</f>
        <v>16.16</v>
      </c>
      <c r="D252">
        <f t="shared" si="19"/>
        <v>32.176137809243642</v>
      </c>
    </row>
    <row r="253" spans="1:4" x14ac:dyDescent="0.35">
      <c r="A253">
        <v>252</v>
      </c>
      <c r="B253" s="1">
        <f>$L$3</f>
        <v>3.357948729810778</v>
      </c>
      <c r="C253">
        <f t="shared" si="22"/>
        <v>16.16</v>
      </c>
      <c r="D253">
        <f t="shared" si="19"/>
        <v>32.176137809243642</v>
      </c>
    </row>
    <row r="254" spans="1:4" x14ac:dyDescent="0.35">
      <c r="A254">
        <v>253</v>
      </c>
      <c r="B254" s="1">
        <f>$L$3+$L$4</f>
        <v>6.1875</v>
      </c>
      <c r="C254">
        <f t="shared" si="22"/>
        <v>16.16</v>
      </c>
      <c r="D254">
        <f t="shared" si="19"/>
        <v>32.176137809243642</v>
      </c>
    </row>
    <row r="255" spans="1:4" x14ac:dyDescent="0.35">
      <c r="A255">
        <v>254</v>
      </c>
      <c r="B255" s="1">
        <f>SUM($L$3:$L$7)/2</f>
        <v>6.8025000000000002</v>
      </c>
      <c r="C255">
        <f t="shared" si="22"/>
        <v>16.16</v>
      </c>
      <c r="D255">
        <f t="shared" si="19"/>
        <v>32.176137809243642</v>
      </c>
    </row>
    <row r="256" spans="1:4" x14ac:dyDescent="0.35">
      <c r="A256">
        <v>255</v>
      </c>
      <c r="B256" s="1">
        <f>$L$3+$L$4+$L$5</f>
        <v>7.4175000000000004</v>
      </c>
      <c r="C256">
        <f t="shared" si="22"/>
        <v>16.16</v>
      </c>
      <c r="D256">
        <f t="shared" si="19"/>
        <v>32.176137809243642</v>
      </c>
    </row>
    <row r="257" spans="1:4" x14ac:dyDescent="0.35">
      <c r="A257">
        <v>256</v>
      </c>
      <c r="B257" s="1">
        <f>$L$3+$L$4+$L$5+$L$6</f>
        <v>10.247051270189223</v>
      </c>
      <c r="C257">
        <f t="shared" si="22"/>
        <v>16.16</v>
      </c>
      <c r="D257">
        <f t="shared" si="19"/>
        <v>32.176137809243642</v>
      </c>
    </row>
    <row r="258" spans="1:4" x14ac:dyDescent="0.35">
      <c r="A258">
        <v>257</v>
      </c>
      <c r="B258" s="1">
        <f>$L$1</f>
        <v>-1.4</v>
      </c>
      <c r="C258">
        <f t="shared" ref="C258:C263" si="23">$U$2</f>
        <v>-0.35</v>
      </c>
      <c r="D258">
        <f t="shared" ref="D258:D276" si="24">$I$5+$I$10+$I$8</f>
        <v>35.084206713865463</v>
      </c>
    </row>
    <row r="259" spans="1:4" x14ac:dyDescent="0.35">
      <c r="A259">
        <v>258</v>
      </c>
      <c r="B259" s="1">
        <f>$L$3</f>
        <v>3.357948729810778</v>
      </c>
      <c r="C259">
        <f t="shared" si="23"/>
        <v>-0.35</v>
      </c>
      <c r="D259">
        <f t="shared" si="24"/>
        <v>35.084206713865463</v>
      </c>
    </row>
    <row r="260" spans="1:4" x14ac:dyDescent="0.35">
      <c r="A260">
        <v>259</v>
      </c>
      <c r="B260" s="1">
        <f>ROUND(($I$8+$I$10)*TAN(PI()*($X$1/2)/180),3)</f>
        <v>5.0369999999999999</v>
      </c>
      <c r="C260">
        <f t="shared" si="23"/>
        <v>-0.35</v>
      </c>
      <c r="D260">
        <f t="shared" si="24"/>
        <v>35.084206713865463</v>
      </c>
    </row>
    <row r="261" spans="1:4" x14ac:dyDescent="0.35">
      <c r="A261">
        <v>260</v>
      </c>
      <c r="B261" s="1">
        <f>SUM($L$3:$L$7)-ROUND(($I$10+$I$8)*TAN(PI()*($X$1/2)/180),3)</f>
        <v>8.5680000000000014</v>
      </c>
      <c r="C261">
        <f t="shared" si="23"/>
        <v>-0.35</v>
      </c>
      <c r="D261">
        <f t="shared" si="24"/>
        <v>35.084206713865463</v>
      </c>
    </row>
    <row r="262" spans="1:4" x14ac:dyDescent="0.35">
      <c r="A262">
        <v>261</v>
      </c>
      <c r="B262" s="1">
        <f>$L$3+$L$4+$L$5+$L$6</f>
        <v>10.247051270189223</v>
      </c>
      <c r="C262">
        <f t="shared" si="23"/>
        <v>-0.35</v>
      </c>
      <c r="D262">
        <f t="shared" si="24"/>
        <v>35.084206713865463</v>
      </c>
    </row>
    <row r="263" spans="1:4" x14ac:dyDescent="0.35">
      <c r="A263">
        <v>262</v>
      </c>
      <c r="B263" s="1">
        <f>SUM($L$3:$L$7)+$L$3</f>
        <v>16.96294872981078</v>
      </c>
      <c r="C263">
        <f t="shared" si="23"/>
        <v>-0.35</v>
      </c>
      <c r="D263">
        <f t="shared" si="24"/>
        <v>35.084206713865463</v>
      </c>
    </row>
    <row r="264" spans="1:4" x14ac:dyDescent="0.35">
      <c r="A264">
        <v>263</v>
      </c>
      <c r="B264" s="1">
        <f>$L$1</f>
        <v>-1.4</v>
      </c>
      <c r="C264">
        <f>$U$3</f>
        <v>0</v>
      </c>
      <c r="D264">
        <f t="shared" si="24"/>
        <v>35.084206713865463</v>
      </c>
    </row>
    <row r="265" spans="1:4" x14ac:dyDescent="0.35">
      <c r="A265">
        <v>264</v>
      </c>
      <c r="B265" s="1">
        <f>ROUND(($I$8+$I$10)*TAN(PI()*($X$1/2)/180),3)</f>
        <v>5.0369999999999999</v>
      </c>
      <c r="C265">
        <f>$U$3</f>
        <v>0</v>
      </c>
      <c r="D265">
        <f t="shared" si="24"/>
        <v>35.084206713865463</v>
      </c>
    </row>
    <row r="266" spans="1:4" x14ac:dyDescent="0.35">
      <c r="A266">
        <v>265</v>
      </c>
      <c r="B266" s="1">
        <f>SUM($L$3:$L$7)-ROUND(($I$10+$I$8)*TAN(PI()*($X$1/2)/180),3)</f>
        <v>8.5680000000000014</v>
      </c>
      <c r="C266">
        <f>$U$3</f>
        <v>0</v>
      </c>
      <c r="D266">
        <f t="shared" si="24"/>
        <v>35.084206713865463</v>
      </c>
    </row>
    <row r="267" spans="1:4" x14ac:dyDescent="0.35">
      <c r="A267">
        <v>266</v>
      </c>
      <c r="B267" s="1">
        <f>$L$1</f>
        <v>-1.4</v>
      </c>
      <c r="C267">
        <f>ROUND($U$4/6,3)</f>
        <v>2.6930000000000001</v>
      </c>
      <c r="D267">
        <f t="shared" si="24"/>
        <v>35.084206713865463</v>
      </c>
    </row>
    <row r="268" spans="1:4" x14ac:dyDescent="0.35">
      <c r="A268">
        <v>267</v>
      </c>
      <c r="B268" s="1">
        <f>$L$1</f>
        <v>-1.4</v>
      </c>
      <c r="C268">
        <f>ROUND($U$4/6*2,3)</f>
        <v>5.3869999999999996</v>
      </c>
      <c r="D268">
        <f t="shared" si="24"/>
        <v>35.084206713865463</v>
      </c>
    </row>
    <row r="269" spans="1:4" x14ac:dyDescent="0.35">
      <c r="A269">
        <v>268</v>
      </c>
      <c r="B269" s="1">
        <f>$L$1</f>
        <v>-1.4</v>
      </c>
      <c r="C269">
        <f>ROUND($U$4/2,3)</f>
        <v>8.08</v>
      </c>
      <c r="D269">
        <f t="shared" si="24"/>
        <v>35.084206713865463</v>
      </c>
    </row>
    <row r="270" spans="1:4" x14ac:dyDescent="0.35">
      <c r="A270">
        <v>269</v>
      </c>
      <c r="B270" s="1">
        <f>ROUND(($I$8+$I$10)*TAN(PI()*($X$1/2)/180),3)</f>
        <v>5.0369999999999999</v>
      </c>
      <c r="C270">
        <f>ROUND($U$4/2,3)</f>
        <v>8.08</v>
      </c>
      <c r="D270">
        <f t="shared" si="24"/>
        <v>35.084206713865463</v>
      </c>
    </row>
    <row r="271" spans="1:4" x14ac:dyDescent="0.35">
      <c r="A271">
        <v>270</v>
      </c>
      <c r="B271" s="1">
        <f>SUM($L$3:$L$7)-ROUND(($I$10+$I$8)*TAN(PI()*($X$1/2)/180),3)</f>
        <v>8.5680000000000014</v>
      </c>
      <c r="C271">
        <f>ROUND($U$4/2,3)</f>
        <v>8.08</v>
      </c>
      <c r="D271">
        <f t="shared" si="24"/>
        <v>35.084206713865463</v>
      </c>
    </row>
    <row r="272" spans="1:4" x14ac:dyDescent="0.35">
      <c r="A272">
        <v>271</v>
      </c>
      <c r="B272" s="1">
        <f>$L$1</f>
        <v>-1.4</v>
      </c>
      <c r="C272">
        <f>ROUND($U$4/2+$U$4/6,3)</f>
        <v>10.773</v>
      </c>
      <c r="D272">
        <f t="shared" si="24"/>
        <v>35.084206713865463</v>
      </c>
    </row>
    <row r="273" spans="1:4" x14ac:dyDescent="0.35">
      <c r="A273">
        <v>272</v>
      </c>
      <c r="B273" s="1">
        <f>$L$1</f>
        <v>-1.4</v>
      </c>
      <c r="C273">
        <f>ROUND($U$4/2+2*$U$4/6,3)</f>
        <v>13.467000000000001</v>
      </c>
      <c r="D273">
        <f t="shared" si="24"/>
        <v>35.084206713865463</v>
      </c>
    </row>
    <row r="274" spans="1:4" x14ac:dyDescent="0.35">
      <c r="A274">
        <v>273</v>
      </c>
      <c r="B274" s="1">
        <f>$L$1</f>
        <v>-1.4</v>
      </c>
      <c r="C274">
        <f>$U$4</f>
        <v>16.16</v>
      </c>
      <c r="D274">
        <f t="shared" si="24"/>
        <v>35.084206713865463</v>
      </c>
    </row>
    <row r="275" spans="1:4" x14ac:dyDescent="0.35">
      <c r="A275">
        <v>274</v>
      </c>
      <c r="B275" s="1">
        <f>ROUND(($I$8+$I$10)*TAN(PI()*($X$1/2)/180),3)</f>
        <v>5.0369999999999999</v>
      </c>
      <c r="C275">
        <f>$U$4</f>
        <v>16.16</v>
      </c>
      <c r="D275">
        <f t="shared" si="24"/>
        <v>35.084206713865463</v>
      </c>
    </row>
    <row r="276" spans="1:4" x14ac:dyDescent="0.35">
      <c r="A276">
        <v>275</v>
      </c>
      <c r="B276" s="1">
        <f>SUM($L$3:$L$7)-ROUND(($I$10+$I$8)*TAN(PI()*($X$1/2)/180),3)</f>
        <v>8.5680000000000014</v>
      </c>
      <c r="C276">
        <f>$U$4</f>
        <v>16.16</v>
      </c>
      <c r="D276">
        <f t="shared" si="24"/>
        <v>35.084206713865463</v>
      </c>
    </row>
    <row r="277" spans="1:4" x14ac:dyDescent="0.35">
      <c r="A277">
        <v>276</v>
      </c>
      <c r="B277" s="1">
        <f>$L$1</f>
        <v>-1.4</v>
      </c>
      <c r="C277">
        <f t="shared" ref="C277:C282" si="25">$U$2</f>
        <v>-0.35</v>
      </c>
      <c r="D277">
        <f t="shared" ref="D277:D295" si="26">$I$5+$I$10+2*$I$8</f>
        <v>37.992275618487284</v>
      </c>
    </row>
    <row r="278" spans="1:4" x14ac:dyDescent="0.35">
      <c r="A278">
        <v>277</v>
      </c>
      <c r="B278" s="1">
        <f>$L$3</f>
        <v>3.357948729810778</v>
      </c>
      <c r="C278">
        <f t="shared" si="25"/>
        <v>-0.35</v>
      </c>
      <c r="D278">
        <f t="shared" si="26"/>
        <v>37.992275618487284</v>
      </c>
    </row>
    <row r="279" spans="1:4" x14ac:dyDescent="0.35">
      <c r="A279">
        <v>278</v>
      </c>
      <c r="B279" s="1">
        <f>ROUND(($I$8*2+$I$10)*TAN(PI()*($X$1/2)/180),3)</f>
        <v>6.7160000000000002</v>
      </c>
      <c r="C279">
        <f t="shared" si="25"/>
        <v>-0.35</v>
      </c>
      <c r="D279">
        <f t="shared" si="26"/>
        <v>37.992275618487284</v>
      </c>
    </row>
    <row r="280" spans="1:4" x14ac:dyDescent="0.35">
      <c r="A280">
        <v>279</v>
      </c>
      <c r="B280" s="1">
        <f>SUM($L$3:$L$7)-ROUND(($I$10+2*$I$8)*TAN(PI()*($X$1/2)/180),3)</f>
        <v>6.8890000000000002</v>
      </c>
      <c r="C280">
        <f t="shared" si="25"/>
        <v>-0.35</v>
      </c>
      <c r="D280">
        <f t="shared" si="26"/>
        <v>37.992275618487284</v>
      </c>
    </row>
    <row r="281" spans="1:4" x14ac:dyDescent="0.35">
      <c r="A281">
        <v>280</v>
      </c>
      <c r="B281" s="1">
        <f>$L$3+$L$4+$L$5+$L$6</f>
        <v>10.247051270189223</v>
      </c>
      <c r="C281">
        <f t="shared" si="25"/>
        <v>-0.35</v>
      </c>
      <c r="D281">
        <f t="shared" si="26"/>
        <v>37.992275618487284</v>
      </c>
    </row>
    <row r="282" spans="1:4" x14ac:dyDescent="0.35">
      <c r="A282">
        <v>281</v>
      </c>
      <c r="B282" s="1">
        <f>SUM($L$3:$L$7)+$L$3</f>
        <v>16.96294872981078</v>
      </c>
      <c r="C282">
        <f t="shared" si="25"/>
        <v>-0.35</v>
      </c>
      <c r="D282">
        <f t="shared" si="26"/>
        <v>37.992275618487284</v>
      </c>
    </row>
    <row r="283" spans="1:4" x14ac:dyDescent="0.35">
      <c r="A283">
        <v>282</v>
      </c>
      <c r="B283" s="1">
        <f>$L$1</f>
        <v>-1.4</v>
      </c>
      <c r="C283">
        <f>$U$3</f>
        <v>0</v>
      </c>
      <c r="D283">
        <f t="shared" si="26"/>
        <v>37.992275618487284</v>
      </c>
    </row>
    <row r="284" spans="1:4" x14ac:dyDescent="0.35">
      <c r="A284">
        <v>283</v>
      </c>
      <c r="B284" s="1">
        <f>ROUND(($I$8*2+$I$10)*TAN(PI()*($X$1/2)/180),3)</f>
        <v>6.7160000000000002</v>
      </c>
      <c r="C284">
        <f>$U$3</f>
        <v>0</v>
      </c>
      <c r="D284">
        <f t="shared" si="26"/>
        <v>37.992275618487284</v>
      </c>
    </row>
    <row r="285" spans="1:4" x14ac:dyDescent="0.35">
      <c r="A285">
        <v>284</v>
      </c>
      <c r="B285" s="1">
        <f>SUM($L$3:$L$7)-ROUND(($I$10+2*$I$8)*TAN(PI()*($X$1/2)/180),3)</f>
        <v>6.8890000000000002</v>
      </c>
      <c r="C285">
        <f>$U$3</f>
        <v>0</v>
      </c>
      <c r="D285">
        <f t="shared" si="26"/>
        <v>37.992275618487284</v>
      </c>
    </row>
    <row r="286" spans="1:4" x14ac:dyDescent="0.35">
      <c r="A286">
        <v>285</v>
      </c>
      <c r="B286" s="1">
        <f>$L$1</f>
        <v>-1.4</v>
      </c>
      <c r="C286">
        <f>ROUND($U$4/6,3)</f>
        <v>2.6930000000000001</v>
      </c>
      <c r="D286">
        <f t="shared" si="26"/>
        <v>37.992275618487284</v>
      </c>
    </row>
    <row r="287" spans="1:4" x14ac:dyDescent="0.35">
      <c r="A287">
        <v>286</v>
      </c>
      <c r="B287" s="1">
        <f>$L$1</f>
        <v>-1.4</v>
      </c>
      <c r="C287">
        <f>ROUND($U$4/6*2,3)</f>
        <v>5.3869999999999996</v>
      </c>
      <c r="D287">
        <f t="shared" si="26"/>
        <v>37.992275618487284</v>
      </c>
    </row>
    <row r="288" spans="1:4" x14ac:dyDescent="0.35">
      <c r="A288">
        <v>287</v>
      </c>
      <c r="B288" s="1">
        <f>$L$1</f>
        <v>-1.4</v>
      </c>
      <c r="C288">
        <f>ROUND($U$4/2,3)</f>
        <v>8.08</v>
      </c>
      <c r="D288">
        <f t="shared" si="26"/>
        <v>37.992275618487284</v>
      </c>
    </row>
    <row r="289" spans="1:4" x14ac:dyDescent="0.35">
      <c r="A289">
        <v>288</v>
      </c>
      <c r="B289" s="1">
        <f>ROUND(($I$8*2+$I$10)*TAN(PI()*($X$1/2)/180),3)</f>
        <v>6.7160000000000002</v>
      </c>
      <c r="C289">
        <f>ROUND($U$4/2,3)</f>
        <v>8.08</v>
      </c>
      <c r="D289">
        <f t="shared" si="26"/>
        <v>37.992275618487284</v>
      </c>
    </row>
    <row r="290" spans="1:4" x14ac:dyDescent="0.35">
      <c r="A290">
        <v>289</v>
      </c>
      <c r="B290" s="1">
        <f>SUM($L$3:$L$7)-ROUND(($I$10+2*$I$8)*TAN(PI()*($X$1/2)/180),3)</f>
        <v>6.8890000000000002</v>
      </c>
      <c r="C290">
        <f>ROUND($U$4/2,3)</f>
        <v>8.08</v>
      </c>
      <c r="D290">
        <f t="shared" si="26"/>
        <v>37.992275618487284</v>
      </c>
    </row>
    <row r="291" spans="1:4" x14ac:dyDescent="0.35">
      <c r="A291">
        <v>290</v>
      </c>
      <c r="B291" s="1">
        <f>$L$1</f>
        <v>-1.4</v>
      </c>
      <c r="C291">
        <f>ROUND($U$4/2+$U$4/6,3)</f>
        <v>10.773</v>
      </c>
      <c r="D291">
        <f t="shared" si="26"/>
        <v>37.992275618487284</v>
      </c>
    </row>
    <row r="292" spans="1:4" x14ac:dyDescent="0.35">
      <c r="A292">
        <v>291</v>
      </c>
      <c r="B292" s="1">
        <f>$L$1</f>
        <v>-1.4</v>
      </c>
      <c r="C292">
        <f>ROUND($U$4/2+2*$U$4/6,3)</f>
        <v>13.467000000000001</v>
      </c>
      <c r="D292">
        <f t="shared" si="26"/>
        <v>37.992275618487284</v>
      </c>
    </row>
    <row r="293" spans="1:4" x14ac:dyDescent="0.35">
      <c r="A293">
        <v>292</v>
      </c>
      <c r="B293" s="1">
        <f>$L$1</f>
        <v>-1.4</v>
      </c>
      <c r="C293">
        <f>$U$4</f>
        <v>16.16</v>
      </c>
      <c r="D293">
        <f t="shared" si="26"/>
        <v>37.992275618487284</v>
      </c>
    </row>
    <row r="294" spans="1:4" x14ac:dyDescent="0.35">
      <c r="A294">
        <v>293</v>
      </c>
      <c r="B294" s="1">
        <f>ROUND(($I$8*2+$I$10)*TAN(PI()*($X$1/2)/180),3)</f>
        <v>6.7160000000000002</v>
      </c>
      <c r="C294">
        <f>$U$4</f>
        <v>16.16</v>
      </c>
      <c r="D294">
        <f t="shared" si="26"/>
        <v>37.992275618487284</v>
      </c>
    </row>
    <row r="295" spans="1:4" x14ac:dyDescent="0.35">
      <c r="A295">
        <v>294</v>
      </c>
      <c r="B295" s="1">
        <f>SUM($L$3:$L$7)-ROUND(($I$10+2*$I$8)*TAN(PI()*($X$1/2)/180),3)</f>
        <v>6.8890000000000002</v>
      </c>
      <c r="C295">
        <f>$U$4</f>
        <v>16.16</v>
      </c>
      <c r="D295">
        <f t="shared" si="26"/>
        <v>37.992275618487284</v>
      </c>
    </row>
    <row r="296" spans="1:4" x14ac:dyDescent="0.35">
      <c r="A296">
        <v>295</v>
      </c>
      <c r="B296" s="1">
        <f>$L$1</f>
        <v>-1.4</v>
      </c>
      <c r="C296">
        <f>$U$2</f>
        <v>-0.35</v>
      </c>
      <c r="D296">
        <f t="shared" ref="D296:D306" si="27">$I$5+$I$10*2</f>
        <v>37.992275618487284</v>
      </c>
    </row>
    <row r="297" spans="1:4" x14ac:dyDescent="0.35">
      <c r="A297">
        <v>296</v>
      </c>
      <c r="B297" s="1">
        <f>$L$3</f>
        <v>3.357948729810778</v>
      </c>
      <c r="C297">
        <f>$U$2</f>
        <v>-0.35</v>
      </c>
      <c r="D297">
        <f t="shared" si="27"/>
        <v>37.992275618487284</v>
      </c>
    </row>
    <row r="298" spans="1:4" x14ac:dyDescent="0.35">
      <c r="A298">
        <v>297</v>
      </c>
      <c r="B298" s="1">
        <f>ROUND(($I$10*2)*TAN(PI()*($X$1/2)/180),3)</f>
        <v>6.7160000000000002</v>
      </c>
      <c r="C298">
        <f>$U$2</f>
        <v>-0.35</v>
      </c>
      <c r="D298">
        <f t="shared" si="27"/>
        <v>37.992275618487284</v>
      </c>
    </row>
    <row r="299" spans="1:4" x14ac:dyDescent="0.35">
      <c r="A299">
        <v>298</v>
      </c>
      <c r="B299" s="1">
        <f>$L$3+$L$4+$L$5+$L$6</f>
        <v>10.247051270189223</v>
      </c>
      <c r="C299">
        <f>$U$2</f>
        <v>-0.35</v>
      </c>
      <c r="D299">
        <f t="shared" si="27"/>
        <v>37.992275618487284</v>
      </c>
    </row>
    <row r="300" spans="1:4" x14ac:dyDescent="0.35">
      <c r="A300">
        <v>299</v>
      </c>
      <c r="B300" s="1">
        <f>SUM($L$3:$L$7)+$L$3</f>
        <v>16.96294872981078</v>
      </c>
      <c r="C300">
        <f>$U$2</f>
        <v>-0.35</v>
      </c>
      <c r="D300">
        <f t="shared" si="27"/>
        <v>37.992275618487284</v>
      </c>
    </row>
    <row r="301" spans="1:4" x14ac:dyDescent="0.35">
      <c r="A301">
        <v>300</v>
      </c>
      <c r="B301" s="1">
        <f>$L$1</f>
        <v>-1.4</v>
      </c>
      <c r="C301">
        <f>$U$3</f>
        <v>0</v>
      </c>
      <c r="D301">
        <f t="shared" si="27"/>
        <v>37.992275618487284</v>
      </c>
    </row>
    <row r="302" spans="1:4" x14ac:dyDescent="0.35">
      <c r="A302">
        <v>301</v>
      </c>
      <c r="B302" s="1">
        <f>SUM($L$3:$L$7)/2</f>
        <v>6.8025000000000002</v>
      </c>
      <c r="C302">
        <f>$U$3</f>
        <v>0</v>
      </c>
      <c r="D302">
        <f t="shared" si="27"/>
        <v>37.992275618487284</v>
      </c>
    </row>
    <row r="303" spans="1:4" x14ac:dyDescent="0.35">
      <c r="A303">
        <v>302</v>
      </c>
      <c r="B303" s="1">
        <f>SUM($L$3:$L$7)/2</f>
        <v>6.8025000000000002</v>
      </c>
      <c r="C303">
        <f>ROUND($U$4/4,3)</f>
        <v>4.04</v>
      </c>
      <c r="D303">
        <f t="shared" si="27"/>
        <v>37.992275618487284</v>
      </c>
    </row>
    <row r="304" spans="1:4" x14ac:dyDescent="0.35">
      <c r="A304">
        <v>303</v>
      </c>
      <c r="B304" s="1">
        <f>SUM($L$3:$L$7)/2</f>
        <v>6.8025000000000002</v>
      </c>
      <c r="C304">
        <f>ROUND($U$4/2,3)</f>
        <v>8.08</v>
      </c>
      <c r="D304">
        <f t="shared" si="27"/>
        <v>37.992275618487284</v>
      </c>
    </row>
    <row r="305" spans="1:4" x14ac:dyDescent="0.35">
      <c r="A305">
        <v>304</v>
      </c>
      <c r="B305" s="1">
        <f>SUM($L$3:$L$7)/2</f>
        <v>6.8025000000000002</v>
      </c>
      <c r="C305">
        <f>ROUND($U$4*3/4,3)</f>
        <v>12.12</v>
      </c>
      <c r="D305">
        <f t="shared" si="27"/>
        <v>37.992275618487284</v>
      </c>
    </row>
    <row r="306" spans="1:4" x14ac:dyDescent="0.35">
      <c r="A306">
        <v>305</v>
      </c>
      <c r="B306" s="1">
        <f>SUM($L$3:$L$7)/2</f>
        <v>6.8025000000000002</v>
      </c>
      <c r="C306">
        <f>$U$4</f>
        <v>16.16</v>
      </c>
      <c r="D306">
        <f t="shared" si="27"/>
        <v>37.992275618487284</v>
      </c>
    </row>
    <row r="307" spans="1:4" x14ac:dyDescent="0.35">
      <c r="A307">
        <v>306</v>
      </c>
      <c r="B307" s="1">
        <f t="shared" ref="B307:B313" si="28">$L$1</f>
        <v>-1.4</v>
      </c>
      <c r="C307">
        <f>$U$3</f>
        <v>0</v>
      </c>
      <c r="D307">
        <f t="shared" ref="D307:D313" si="29">$I$5+$I$11</f>
        <v>38.14227561848729</v>
      </c>
    </row>
    <row r="308" spans="1:4" x14ac:dyDescent="0.35">
      <c r="A308">
        <v>307</v>
      </c>
      <c r="B308" s="1">
        <f t="shared" si="28"/>
        <v>-1.4</v>
      </c>
      <c r="C308">
        <f>ROUND($U$4/6,3)</f>
        <v>2.6930000000000001</v>
      </c>
      <c r="D308">
        <f t="shared" si="29"/>
        <v>38.14227561848729</v>
      </c>
    </row>
    <row r="309" spans="1:4" x14ac:dyDescent="0.35">
      <c r="A309">
        <v>308</v>
      </c>
      <c r="B309" s="1">
        <f t="shared" si="28"/>
        <v>-1.4</v>
      </c>
      <c r="C309">
        <f>ROUND($U$4/6*2,3)</f>
        <v>5.3869999999999996</v>
      </c>
      <c r="D309">
        <f t="shared" si="29"/>
        <v>38.14227561848729</v>
      </c>
    </row>
    <row r="310" spans="1:4" x14ac:dyDescent="0.35">
      <c r="A310">
        <v>309</v>
      </c>
      <c r="B310" s="1">
        <f t="shared" si="28"/>
        <v>-1.4</v>
      </c>
      <c r="C310">
        <f>ROUND($U$4/2,3)</f>
        <v>8.08</v>
      </c>
      <c r="D310">
        <f t="shared" si="29"/>
        <v>38.14227561848729</v>
      </c>
    </row>
    <row r="311" spans="1:4" x14ac:dyDescent="0.35">
      <c r="A311">
        <v>310</v>
      </c>
      <c r="B311" s="1">
        <f t="shared" si="28"/>
        <v>-1.4</v>
      </c>
      <c r="C311">
        <f>ROUND($U$4/2+$U$4/6,3)</f>
        <v>10.773</v>
      </c>
      <c r="D311">
        <f t="shared" si="29"/>
        <v>38.14227561848729</v>
      </c>
    </row>
    <row r="312" spans="1:4" x14ac:dyDescent="0.35">
      <c r="A312">
        <v>311</v>
      </c>
      <c r="B312" s="1">
        <f t="shared" si="28"/>
        <v>-1.4</v>
      </c>
      <c r="C312">
        <f>ROUND($U$4/2+2*$U$4/6,3)</f>
        <v>13.467000000000001</v>
      </c>
      <c r="D312">
        <f t="shared" si="29"/>
        <v>38.14227561848729</v>
      </c>
    </row>
    <row r="313" spans="1:4" x14ac:dyDescent="0.35">
      <c r="A313">
        <v>312</v>
      </c>
      <c r="B313" s="1">
        <f t="shared" si="28"/>
        <v>-1.4</v>
      </c>
      <c r="C313">
        <f>$U$4</f>
        <v>16.16</v>
      </c>
      <c r="D313">
        <f t="shared" si="29"/>
        <v>38.14227561848729</v>
      </c>
    </row>
    <row r="314" spans="1:4" x14ac:dyDescent="0.35">
      <c r="A314">
        <v>313</v>
      </c>
      <c r="B314" s="1">
        <f t="shared" ref="B314:B320" si="30">SUM($L$3:$L$7)/2</f>
        <v>6.8025000000000002</v>
      </c>
      <c r="C314">
        <f>$U$3</f>
        <v>0</v>
      </c>
      <c r="D314">
        <f t="shared" ref="D314:D320" si="31">$I$5+$I$11+$I$12</f>
        <v>38.292275618487288</v>
      </c>
    </row>
    <row r="315" spans="1:4" x14ac:dyDescent="0.35">
      <c r="A315">
        <v>314</v>
      </c>
      <c r="B315" s="1">
        <f t="shared" si="30"/>
        <v>6.8025000000000002</v>
      </c>
      <c r="C315">
        <f>ROUND($U$4/6,3)</f>
        <v>2.6930000000000001</v>
      </c>
      <c r="D315">
        <f t="shared" si="31"/>
        <v>38.292275618487288</v>
      </c>
    </row>
    <row r="316" spans="1:4" x14ac:dyDescent="0.35">
      <c r="A316">
        <v>315</v>
      </c>
      <c r="B316" s="1">
        <f t="shared" si="30"/>
        <v>6.8025000000000002</v>
      </c>
      <c r="C316">
        <f>ROUND($U$4/6*2,3)</f>
        <v>5.3869999999999996</v>
      </c>
      <c r="D316">
        <f t="shared" si="31"/>
        <v>38.292275618487288</v>
      </c>
    </row>
    <row r="317" spans="1:4" x14ac:dyDescent="0.35">
      <c r="A317">
        <v>316</v>
      </c>
      <c r="B317" s="1">
        <f t="shared" si="30"/>
        <v>6.8025000000000002</v>
      </c>
      <c r="C317">
        <f>ROUND($U$4/2,3)</f>
        <v>8.08</v>
      </c>
      <c r="D317">
        <f t="shared" si="31"/>
        <v>38.292275618487288</v>
      </c>
    </row>
    <row r="318" spans="1:4" x14ac:dyDescent="0.35">
      <c r="A318">
        <v>317</v>
      </c>
      <c r="B318" s="1">
        <f t="shared" si="30"/>
        <v>6.8025000000000002</v>
      </c>
      <c r="C318">
        <f>ROUND($U$4/2+$U$4/6,3)</f>
        <v>10.773</v>
      </c>
      <c r="D318">
        <f t="shared" si="31"/>
        <v>38.292275618487288</v>
      </c>
    </row>
    <row r="319" spans="1:4" x14ac:dyDescent="0.35">
      <c r="A319">
        <v>318</v>
      </c>
      <c r="B319" s="1">
        <f t="shared" si="30"/>
        <v>6.8025000000000002</v>
      </c>
      <c r="C319">
        <f>ROUND($U$4/2+2*$U$4/6,3)</f>
        <v>13.467000000000001</v>
      </c>
      <c r="D319">
        <f t="shared" si="31"/>
        <v>38.292275618487288</v>
      </c>
    </row>
    <row r="320" spans="1:4" x14ac:dyDescent="0.35">
      <c r="A320">
        <v>319</v>
      </c>
      <c r="B320" s="1">
        <f t="shared" si="30"/>
        <v>6.8025000000000002</v>
      </c>
      <c r="C320">
        <f>$U$4</f>
        <v>16.16</v>
      </c>
      <c r="D320">
        <f t="shared" si="31"/>
        <v>38.292275618487288</v>
      </c>
    </row>
  </sheetData>
  <sheetProtection selectLockedCells="1" selectUnlockedCells="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autoPageBreaks="0"/>
  </sheetPr>
  <dimension ref="A1:I321"/>
  <sheetViews>
    <sheetView topLeftCell="A268" workbookViewId="0">
      <selection activeCell="I9" sqref="I9"/>
    </sheetView>
  </sheetViews>
  <sheetFormatPr baseColWidth="10" defaultColWidth="8.7265625" defaultRowHeight="14.5" x14ac:dyDescent="0.35"/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H1" t="s">
        <v>52</v>
      </c>
      <c r="I1">
        <f>INITIALIZE!D26/2</f>
        <v>34.012500000000003</v>
      </c>
    </row>
    <row r="2" spans="1:9" x14ac:dyDescent="0.35">
      <c r="A2">
        <v>757</v>
      </c>
      <c r="B2" s="4">
        <f>SUM(Coin1!$L$3:$L$7)/2</f>
        <v>6.8025000000000002</v>
      </c>
      <c r="C2" s="4">
        <f>Coin1!$U$5</f>
        <v>64.099999999999994</v>
      </c>
      <c r="D2" s="4">
        <f>Coin1!$I$5+Coin1!$I$10</f>
        <v>32.176137809243642</v>
      </c>
      <c r="F2" t="s">
        <v>50</v>
      </c>
      <c r="H2" t="s">
        <v>51</v>
      </c>
      <c r="I2">
        <f>INITIALIZE!D25/2</f>
        <v>48.480000000000004</v>
      </c>
    </row>
    <row r="3" spans="1:9" x14ac:dyDescent="0.35">
      <c r="A3">
        <v>501</v>
      </c>
      <c r="B3">
        <f>INDEX(Coin1!$A:$D,MATCH(VLOOKUP(Coin2!$A3,Correspondance!$A:$B,2,FALSE),Coin1!$A:$A,0),2)</f>
        <v>0</v>
      </c>
      <c r="C3">
        <f>2*$I$2-INDEX(Coin1!$A:$D,MATCH(VLOOKUP(Coin2!$A3,Correspondance!$A:$B,2,FALSE),Coin1!$A:$A,0),3)</f>
        <v>80.800000000000011</v>
      </c>
      <c r="D3">
        <f>INDEX(Coin1!$A:$D,MATCH(VLOOKUP(Coin2!$A3,Correspondance!$A:$B,2,FALSE),Coin1!$A:$A,0),4)</f>
        <v>0</v>
      </c>
    </row>
    <row r="4" spans="1:9" x14ac:dyDescent="0.35">
      <c r="A4">
        <v>502</v>
      </c>
      <c r="B4">
        <f>INDEX(Coin1!$A:$D,MATCH(VLOOKUP(Coin2!$A4,Correspondance!$A:$B,2,FALSE),Coin1!$A:$A,0),2)</f>
        <v>13.605</v>
      </c>
      <c r="C4">
        <f>2*$I$2-INDEX(Coin1!$A:$D,MATCH(VLOOKUP(Coin2!$A4,Correspondance!$A:$B,2,FALSE),Coin1!$A:$A,0),3)</f>
        <v>80.800000000000011</v>
      </c>
      <c r="D4">
        <f>INDEX(Coin1!$A:$D,MATCH(VLOOKUP(Coin2!$A4,Correspondance!$A:$B,2,FALSE),Coin1!$A:$A,0),4)</f>
        <v>0</v>
      </c>
    </row>
    <row r="5" spans="1:9" x14ac:dyDescent="0.35">
      <c r="A5">
        <v>503</v>
      </c>
      <c r="B5">
        <f>INDEX(Coin1!$A:$D,MATCH(VLOOKUP(Coin2!$A5,Correspondance!$A:$B,2,FALSE),Coin1!$A:$A,0),2)</f>
        <v>0</v>
      </c>
      <c r="C5">
        <f>2*$I$2-INDEX(Coin1!$A:$D,MATCH(VLOOKUP(Coin2!$A5,Correspondance!$A:$B,2,FALSE),Coin1!$A:$A,0),3)</f>
        <v>96.960000000000008</v>
      </c>
      <c r="D5">
        <f>INDEX(Coin1!$A:$D,MATCH(VLOOKUP(Coin2!$A5,Correspondance!$A:$B,2,FALSE),Coin1!$A:$A,0),4)</f>
        <v>0</v>
      </c>
    </row>
    <row r="6" spans="1:9" x14ac:dyDescent="0.35">
      <c r="A6">
        <v>504</v>
      </c>
      <c r="B6">
        <f>INDEX(Coin1!$A:$D,MATCH(VLOOKUP(Coin2!$A6,Correspondance!$A:$B,2,FALSE),Coin1!$A:$A,0),2)</f>
        <v>13.605</v>
      </c>
      <c r="C6">
        <f>2*$I$2-INDEX(Coin1!$A:$D,MATCH(VLOOKUP(Coin2!$A6,Correspondance!$A:$B,2,FALSE),Coin1!$A:$A,0),3)</f>
        <v>96.960000000000008</v>
      </c>
      <c r="D6">
        <f>INDEX(Coin1!$A:$D,MATCH(VLOOKUP(Coin2!$A6,Correspondance!$A:$B,2,FALSE),Coin1!$A:$A,0),4)</f>
        <v>0</v>
      </c>
    </row>
    <row r="7" spans="1:9" x14ac:dyDescent="0.35">
      <c r="A7">
        <v>505</v>
      </c>
      <c r="B7">
        <f>INDEX(Coin1!$A:$D,MATCH(VLOOKUP(Coin2!$A7,Correspondance!$A:$B,2,FALSE),Coin1!$A:$A,0),2)</f>
        <v>0</v>
      </c>
      <c r="C7">
        <f>2*$I$2-INDEX(Coin1!$A:$D,MATCH(VLOOKUP(Coin2!$A7,Correspondance!$A:$B,2,FALSE),Coin1!$A:$A,0),3)</f>
        <v>80.800000000000011</v>
      </c>
      <c r="D7">
        <f>INDEX(Coin1!$A:$D,MATCH(VLOOKUP(Coin2!$A7,Correspondance!$A:$B,2,FALSE),Coin1!$A:$A,0),4)</f>
        <v>8.85</v>
      </c>
    </row>
    <row r="8" spans="1:9" x14ac:dyDescent="0.35">
      <c r="A8">
        <v>506</v>
      </c>
      <c r="B8">
        <f>INDEX(Coin1!$A:$D,MATCH(VLOOKUP(Coin2!$A8,Correspondance!$A:$B,2,FALSE),Coin1!$A:$A,0),2)</f>
        <v>6.8029999999999999</v>
      </c>
      <c r="C8">
        <f>2*$I$2-INDEX(Coin1!$A:$D,MATCH(VLOOKUP(Coin2!$A8,Correspondance!$A:$B,2,FALSE),Coin1!$A:$A,0),3)</f>
        <v>80.800000000000011</v>
      </c>
      <c r="D8">
        <f>INDEX(Coin1!$A:$D,MATCH(VLOOKUP(Coin2!$A8,Correspondance!$A:$B,2,FALSE),Coin1!$A:$A,0),4)</f>
        <v>8.85</v>
      </c>
    </row>
    <row r="9" spans="1:9" x14ac:dyDescent="0.35">
      <c r="A9">
        <v>507</v>
      </c>
      <c r="B9">
        <f>INDEX(Coin1!$A:$D,MATCH(VLOOKUP(Coin2!$A9,Correspondance!$A:$B,2,FALSE),Coin1!$A:$A,0),2)</f>
        <v>13.605</v>
      </c>
      <c r="C9">
        <f>2*$I$2-INDEX(Coin1!$A:$D,MATCH(VLOOKUP(Coin2!$A9,Correspondance!$A:$B,2,FALSE),Coin1!$A:$A,0),3)</f>
        <v>80.800000000000011</v>
      </c>
      <c r="D9">
        <f>INDEX(Coin1!$A:$D,MATCH(VLOOKUP(Coin2!$A9,Correspondance!$A:$B,2,FALSE),Coin1!$A:$A,0),4)</f>
        <v>8.85</v>
      </c>
    </row>
    <row r="10" spans="1:9" x14ac:dyDescent="0.35">
      <c r="A10">
        <v>508</v>
      </c>
      <c r="B10">
        <f>INDEX(Coin1!$A:$D,MATCH(VLOOKUP(Coin2!$A10,Correspondance!$A:$B,2,FALSE),Coin1!$A:$A,0),2)</f>
        <v>0</v>
      </c>
      <c r="C10">
        <f>2*$I$2-INDEX(Coin1!$A:$D,MATCH(VLOOKUP(Coin2!$A10,Correspondance!$A:$B,2,FALSE),Coin1!$A:$A,0),3)</f>
        <v>88.88000000000001</v>
      </c>
      <c r="D10">
        <f>INDEX(Coin1!$A:$D,MATCH(VLOOKUP(Coin2!$A10,Correspondance!$A:$B,2,FALSE),Coin1!$A:$A,0),4)</f>
        <v>8.85</v>
      </c>
    </row>
    <row r="11" spans="1:9" x14ac:dyDescent="0.35">
      <c r="A11">
        <v>509</v>
      </c>
      <c r="B11">
        <f>INDEX(Coin1!$A:$D,MATCH(VLOOKUP(Coin2!$A11,Correspondance!$A:$B,2,FALSE),Coin1!$A:$A,0),2)</f>
        <v>13.605</v>
      </c>
      <c r="C11">
        <f>2*$I$2-INDEX(Coin1!$A:$D,MATCH(VLOOKUP(Coin2!$A11,Correspondance!$A:$B,2,FALSE),Coin1!$A:$A,0),3)</f>
        <v>88.88000000000001</v>
      </c>
      <c r="D11">
        <f>INDEX(Coin1!$A:$D,MATCH(VLOOKUP(Coin2!$A11,Correspondance!$A:$B,2,FALSE),Coin1!$A:$A,0),4)</f>
        <v>8.85</v>
      </c>
    </row>
    <row r="12" spans="1:9" x14ac:dyDescent="0.35">
      <c r="A12">
        <v>510</v>
      </c>
      <c r="B12">
        <f>INDEX(Coin1!$A:$D,MATCH(VLOOKUP(Coin2!$A12,Correspondance!$A:$B,2,FALSE),Coin1!$A:$A,0),2)</f>
        <v>0</v>
      </c>
      <c r="C12">
        <f>2*$I$2-INDEX(Coin1!$A:$D,MATCH(VLOOKUP(Coin2!$A12,Correspondance!$A:$B,2,FALSE),Coin1!$A:$A,0),3)</f>
        <v>96.960000000000008</v>
      </c>
      <c r="D12">
        <f>INDEX(Coin1!$A:$D,MATCH(VLOOKUP(Coin2!$A12,Correspondance!$A:$B,2,FALSE),Coin1!$A:$A,0),4)</f>
        <v>8.85</v>
      </c>
    </row>
    <row r="13" spans="1:9" x14ac:dyDescent="0.35">
      <c r="A13">
        <v>511</v>
      </c>
      <c r="B13">
        <f>INDEX(Coin1!$A:$D,MATCH(VLOOKUP(Coin2!$A13,Correspondance!$A:$B,2,FALSE),Coin1!$A:$A,0),2)</f>
        <v>6.8029999999999999</v>
      </c>
      <c r="C13">
        <f>2*$I$2-INDEX(Coin1!$A:$D,MATCH(VLOOKUP(Coin2!$A13,Correspondance!$A:$B,2,FALSE),Coin1!$A:$A,0),3)</f>
        <v>96.960000000000008</v>
      </c>
      <c r="D13">
        <f>INDEX(Coin1!$A:$D,MATCH(VLOOKUP(Coin2!$A13,Correspondance!$A:$B,2,FALSE),Coin1!$A:$A,0),4)</f>
        <v>8.85</v>
      </c>
    </row>
    <row r="14" spans="1:9" x14ac:dyDescent="0.35">
      <c r="A14">
        <v>512</v>
      </c>
      <c r="B14">
        <f>INDEX(Coin1!$A:$D,MATCH(VLOOKUP(Coin2!$A14,Correspondance!$A:$B,2,FALSE),Coin1!$A:$A,0),2)</f>
        <v>13.605</v>
      </c>
      <c r="C14">
        <f>2*$I$2-INDEX(Coin1!$A:$D,MATCH(VLOOKUP(Coin2!$A14,Correspondance!$A:$B,2,FALSE),Coin1!$A:$A,0),3)</f>
        <v>96.960000000000008</v>
      </c>
      <c r="D14">
        <f>INDEX(Coin1!$A:$D,MATCH(VLOOKUP(Coin2!$A14,Correspondance!$A:$B,2,FALSE),Coin1!$A:$A,0),4)</f>
        <v>8.85</v>
      </c>
    </row>
    <row r="15" spans="1:9" x14ac:dyDescent="0.35">
      <c r="A15">
        <v>513</v>
      </c>
      <c r="B15">
        <f>INDEX(Coin1!$A:$D,MATCH(VLOOKUP(Coin2!$A15,Correspondance!$A:$B,2,FALSE),Coin1!$A:$A,0),2)</f>
        <v>0</v>
      </c>
      <c r="C15">
        <f>2*$I$2-INDEX(Coin1!$A:$D,MATCH(VLOOKUP(Coin2!$A15,Correspondance!$A:$B,2,FALSE),Coin1!$A:$A,0),3)</f>
        <v>80.800000000000011</v>
      </c>
      <c r="D15">
        <f>INDEX(Coin1!$A:$D,MATCH(VLOOKUP(Coin2!$A15,Correspondance!$A:$B,2,FALSE),Coin1!$A:$A,0),4)</f>
        <v>17.7</v>
      </c>
    </row>
    <row r="16" spans="1:9" x14ac:dyDescent="0.35">
      <c r="A16">
        <v>514</v>
      </c>
      <c r="B16">
        <f>INDEX(Coin1!$A:$D,MATCH(VLOOKUP(Coin2!$A16,Correspondance!$A:$B,2,FALSE),Coin1!$A:$A,0),2)</f>
        <v>6.8029999999999999</v>
      </c>
      <c r="C16">
        <f>2*$I$2-INDEX(Coin1!$A:$D,MATCH(VLOOKUP(Coin2!$A16,Correspondance!$A:$B,2,FALSE),Coin1!$A:$A,0),3)</f>
        <v>80.800000000000011</v>
      </c>
      <c r="D16">
        <f>INDEX(Coin1!$A:$D,MATCH(VLOOKUP(Coin2!$A16,Correspondance!$A:$B,2,FALSE),Coin1!$A:$A,0),4)</f>
        <v>17.7</v>
      </c>
    </row>
    <row r="17" spans="1:4" x14ac:dyDescent="0.35">
      <c r="A17">
        <v>515</v>
      </c>
      <c r="B17">
        <f>INDEX(Coin1!$A:$D,MATCH(VLOOKUP(Coin2!$A17,Correspondance!$A:$B,2,FALSE),Coin1!$A:$A,0),2)</f>
        <v>13.605</v>
      </c>
      <c r="C17">
        <f>2*$I$2-INDEX(Coin1!$A:$D,MATCH(VLOOKUP(Coin2!$A17,Correspondance!$A:$B,2,FALSE),Coin1!$A:$A,0),3)</f>
        <v>80.800000000000011</v>
      </c>
      <c r="D17">
        <f>INDEX(Coin1!$A:$D,MATCH(VLOOKUP(Coin2!$A17,Correspondance!$A:$B,2,FALSE),Coin1!$A:$A,0),4)</f>
        <v>17.7</v>
      </c>
    </row>
    <row r="18" spans="1:4" x14ac:dyDescent="0.35">
      <c r="A18">
        <v>516</v>
      </c>
      <c r="B18">
        <f>INDEX(Coin1!$A:$D,MATCH(VLOOKUP(Coin2!$A18,Correspondance!$A:$B,2,FALSE),Coin1!$A:$A,0),2)</f>
        <v>0</v>
      </c>
      <c r="C18">
        <f>2*$I$2-INDEX(Coin1!$A:$D,MATCH(VLOOKUP(Coin2!$A18,Correspondance!$A:$B,2,FALSE),Coin1!$A:$A,0),3)</f>
        <v>88.88000000000001</v>
      </c>
      <c r="D18">
        <f>INDEX(Coin1!$A:$D,MATCH(VLOOKUP(Coin2!$A18,Correspondance!$A:$B,2,FALSE),Coin1!$A:$A,0),4)</f>
        <v>17.7</v>
      </c>
    </row>
    <row r="19" spans="1:4" x14ac:dyDescent="0.35">
      <c r="A19">
        <v>517</v>
      </c>
      <c r="B19">
        <f>INDEX(Coin1!$A:$D,MATCH(VLOOKUP(Coin2!$A19,Correspondance!$A:$B,2,FALSE),Coin1!$A:$A,0),2)</f>
        <v>13.605</v>
      </c>
      <c r="C19">
        <f>2*$I$2-INDEX(Coin1!$A:$D,MATCH(VLOOKUP(Coin2!$A19,Correspondance!$A:$B,2,FALSE),Coin1!$A:$A,0),3)</f>
        <v>88.88000000000001</v>
      </c>
      <c r="D19">
        <f>INDEX(Coin1!$A:$D,MATCH(VLOOKUP(Coin2!$A19,Correspondance!$A:$B,2,FALSE),Coin1!$A:$A,0),4)</f>
        <v>17.7</v>
      </c>
    </row>
    <row r="20" spans="1:4" x14ac:dyDescent="0.35">
      <c r="A20">
        <v>518</v>
      </c>
      <c r="B20">
        <f>INDEX(Coin1!$A:$D,MATCH(VLOOKUP(Coin2!$A20,Correspondance!$A:$B,2,FALSE),Coin1!$A:$A,0),2)</f>
        <v>0</v>
      </c>
      <c r="C20">
        <f>2*$I$2-INDEX(Coin1!$A:$D,MATCH(VLOOKUP(Coin2!$A20,Correspondance!$A:$B,2,FALSE),Coin1!$A:$A,0),3)</f>
        <v>96.960000000000008</v>
      </c>
      <c r="D20">
        <f>INDEX(Coin1!$A:$D,MATCH(VLOOKUP(Coin2!$A20,Correspondance!$A:$B,2,FALSE),Coin1!$A:$A,0),4)</f>
        <v>17.7</v>
      </c>
    </row>
    <row r="21" spans="1:4" x14ac:dyDescent="0.35">
      <c r="A21">
        <v>519</v>
      </c>
      <c r="B21">
        <f>INDEX(Coin1!$A:$D,MATCH(VLOOKUP(Coin2!$A21,Correspondance!$A:$B,2,FALSE),Coin1!$A:$A,0),2)</f>
        <v>6.8029999999999999</v>
      </c>
      <c r="C21">
        <f>2*$I$2-INDEX(Coin1!$A:$D,MATCH(VLOOKUP(Coin2!$A21,Correspondance!$A:$B,2,FALSE),Coin1!$A:$A,0),3)</f>
        <v>96.960000000000008</v>
      </c>
      <c r="D21">
        <f>INDEX(Coin1!$A:$D,MATCH(VLOOKUP(Coin2!$A21,Correspondance!$A:$B,2,FALSE),Coin1!$A:$A,0),4)</f>
        <v>17.7</v>
      </c>
    </row>
    <row r="22" spans="1:4" x14ac:dyDescent="0.35">
      <c r="A22">
        <v>520</v>
      </c>
      <c r="B22">
        <f>INDEX(Coin1!$A:$D,MATCH(VLOOKUP(Coin2!$A22,Correspondance!$A:$B,2,FALSE),Coin1!$A:$A,0),2)</f>
        <v>13.605</v>
      </c>
      <c r="C22">
        <f>2*$I$2-INDEX(Coin1!$A:$D,MATCH(VLOOKUP(Coin2!$A22,Correspondance!$A:$B,2,FALSE),Coin1!$A:$A,0),3)</f>
        <v>96.960000000000008</v>
      </c>
      <c r="D22">
        <f>INDEX(Coin1!$A:$D,MATCH(VLOOKUP(Coin2!$A22,Correspondance!$A:$B,2,FALSE),Coin1!$A:$A,0),4)</f>
        <v>17.7</v>
      </c>
    </row>
    <row r="23" spans="1:4" x14ac:dyDescent="0.35">
      <c r="A23">
        <v>521</v>
      </c>
      <c r="B23">
        <f>INDEX(Coin1!$A:$D,MATCH(VLOOKUP(Coin2!$A23,Correspondance!$A:$B,2,FALSE),Coin1!$A:$A,0),2)</f>
        <v>0</v>
      </c>
      <c r="C23">
        <f>2*$I$2-INDEX(Coin1!$A:$D,MATCH(VLOOKUP(Coin2!$A23,Correspondance!$A:$B,2,FALSE),Coin1!$A:$A,0),3)</f>
        <v>80.800000000000011</v>
      </c>
      <c r="D23">
        <f>INDEX(Coin1!$A:$D,MATCH(VLOOKUP(Coin2!$A23,Correspondance!$A:$B,2,FALSE),Coin1!$A:$A,0),4)</f>
        <v>24.96</v>
      </c>
    </row>
    <row r="24" spans="1:4" x14ac:dyDescent="0.35">
      <c r="A24">
        <v>522</v>
      </c>
      <c r="B24">
        <f>INDEX(Coin1!$A:$D,MATCH(VLOOKUP(Coin2!$A24,Correspondance!$A:$B,2,FALSE),Coin1!$A:$A,0),2)</f>
        <v>13.605</v>
      </c>
      <c r="C24">
        <f>2*$I$2-INDEX(Coin1!$A:$D,MATCH(VLOOKUP(Coin2!$A24,Correspondance!$A:$B,2,FALSE),Coin1!$A:$A,0),3)</f>
        <v>80.800000000000011</v>
      </c>
      <c r="D24">
        <f>INDEX(Coin1!$A:$D,MATCH(VLOOKUP(Coin2!$A24,Correspondance!$A:$B,2,FALSE),Coin1!$A:$A,0),4)</f>
        <v>24.96</v>
      </c>
    </row>
    <row r="25" spans="1:4" x14ac:dyDescent="0.35">
      <c r="A25">
        <v>523</v>
      </c>
      <c r="B25">
        <f>INDEX(Coin1!$A:$D,MATCH(VLOOKUP(Coin2!$A25,Correspondance!$A:$B,2,FALSE),Coin1!$A:$A,0),2)</f>
        <v>0</v>
      </c>
      <c r="C25">
        <f>2*$I$2-INDEX(Coin1!$A:$D,MATCH(VLOOKUP(Coin2!$A25,Correspondance!$A:$B,2,FALSE),Coin1!$A:$A,0),3)</f>
        <v>96.960000000000008</v>
      </c>
      <c r="D25">
        <f>INDEX(Coin1!$A:$D,MATCH(VLOOKUP(Coin2!$A25,Correspondance!$A:$B,2,FALSE),Coin1!$A:$A,0),4)</f>
        <v>24.96</v>
      </c>
    </row>
    <row r="26" spans="1:4" x14ac:dyDescent="0.35">
      <c r="A26">
        <v>524</v>
      </c>
      <c r="B26">
        <f>INDEX(Coin1!$A:$D,MATCH(VLOOKUP(Coin2!$A26,Correspondance!$A:$B,2,FALSE),Coin1!$A:$A,0),2)</f>
        <v>13.605</v>
      </c>
      <c r="C26">
        <f>2*$I$2-INDEX(Coin1!$A:$D,MATCH(VLOOKUP(Coin2!$A26,Correspondance!$A:$B,2,FALSE),Coin1!$A:$A,0),3)</f>
        <v>96.960000000000008</v>
      </c>
      <c r="D26">
        <f>INDEX(Coin1!$A:$D,MATCH(VLOOKUP(Coin2!$A26,Correspondance!$A:$B,2,FALSE),Coin1!$A:$A,0),4)</f>
        <v>24.96</v>
      </c>
    </row>
    <row r="27" spans="1:4" x14ac:dyDescent="0.35">
      <c r="A27">
        <v>525</v>
      </c>
      <c r="B27">
        <f>INDEX(Coin1!$A:$D,MATCH(VLOOKUP(Coin2!$A27,Correspondance!$A:$B,2,FALSE),Coin1!$A:$A,0),2)</f>
        <v>-1.4</v>
      </c>
      <c r="C27">
        <f>2*$I$2-INDEX(Coin1!$A:$D,MATCH(VLOOKUP(Coin2!$A27,Correspondance!$A:$B,2,FALSE),Coin1!$A:$A,0),3)</f>
        <v>80.800000000000011</v>
      </c>
      <c r="D27">
        <f>INDEX(Coin1!$A:$D,MATCH(VLOOKUP(Coin2!$A27,Correspondance!$A:$B,2,FALSE),Coin1!$A:$A,0),4)</f>
        <v>26.36</v>
      </c>
    </row>
    <row r="28" spans="1:4" x14ac:dyDescent="0.35">
      <c r="A28">
        <v>526</v>
      </c>
      <c r="B28">
        <f>INDEX(Coin1!$A:$D,MATCH(VLOOKUP(Coin2!$A28,Correspondance!$A:$B,2,FALSE),Coin1!$A:$A,0),2)</f>
        <v>0</v>
      </c>
      <c r="C28">
        <f>2*$I$2-INDEX(Coin1!$A:$D,MATCH(VLOOKUP(Coin2!$A28,Correspondance!$A:$B,2,FALSE),Coin1!$A:$A,0),3)</f>
        <v>80.800000000000011</v>
      </c>
      <c r="D28">
        <f>INDEX(Coin1!$A:$D,MATCH(VLOOKUP(Coin2!$A28,Correspondance!$A:$B,2,FALSE),Coin1!$A:$A,0),4)</f>
        <v>26.36</v>
      </c>
    </row>
    <row r="29" spans="1:4" x14ac:dyDescent="0.35">
      <c r="A29">
        <v>527</v>
      </c>
      <c r="B29">
        <f>INDEX(Coin1!$A:$D,MATCH(VLOOKUP(Coin2!$A29,Correspondance!$A:$B,2,FALSE),Coin1!$A:$A,0),2)</f>
        <v>2.0546244626566232</v>
      </c>
      <c r="C29">
        <f>2*$I$2-INDEX(Coin1!$A:$D,MATCH(VLOOKUP(Coin2!$A29,Correspondance!$A:$B,2,FALSE),Coin1!$A:$A,0),3)</f>
        <v>80.800000000000011</v>
      </c>
      <c r="D29">
        <f>INDEX(Coin1!$A:$D,MATCH(VLOOKUP(Coin2!$A29,Correspondance!$A:$B,2,FALSE),Coin1!$A:$A,0),4)</f>
        <v>26.36</v>
      </c>
    </row>
    <row r="30" spans="1:4" x14ac:dyDescent="0.35">
      <c r="A30">
        <v>528</v>
      </c>
      <c r="B30">
        <f>INDEX(Coin1!$A:$D,MATCH(VLOOKUP(Coin2!$A30,Correspondance!$A:$B,2,FALSE),Coin1!$A:$A,0),2)</f>
        <v>4.1092489253132465</v>
      </c>
      <c r="C30">
        <f>2*$I$2-INDEX(Coin1!$A:$D,MATCH(VLOOKUP(Coin2!$A30,Correspondance!$A:$B,2,FALSE),Coin1!$A:$A,0),3)</f>
        <v>80.800000000000011</v>
      </c>
      <c r="D30">
        <f>INDEX(Coin1!$A:$D,MATCH(VLOOKUP(Coin2!$A30,Correspondance!$A:$B,2,FALSE),Coin1!$A:$A,0),4)</f>
        <v>26.36</v>
      </c>
    </row>
    <row r="31" spans="1:4" x14ac:dyDescent="0.35">
      <c r="A31">
        <v>529</v>
      </c>
      <c r="B31">
        <f>INDEX(Coin1!$A:$D,MATCH(VLOOKUP(Coin2!$A31,Correspondance!$A:$B,2,FALSE),Coin1!$A:$A,0),2)</f>
        <v>6.1638733879698702</v>
      </c>
      <c r="C31">
        <f>2*$I$2-INDEX(Coin1!$A:$D,MATCH(VLOOKUP(Coin2!$A31,Correspondance!$A:$B,2,FALSE),Coin1!$A:$A,0),3)</f>
        <v>80.800000000000011</v>
      </c>
      <c r="D31">
        <f>INDEX(Coin1!$A:$D,MATCH(VLOOKUP(Coin2!$A31,Correspondance!$A:$B,2,FALSE),Coin1!$A:$A,0),4)</f>
        <v>26.36</v>
      </c>
    </row>
    <row r="32" spans="1:4" x14ac:dyDescent="0.35">
      <c r="A32">
        <v>530</v>
      </c>
      <c r="B32">
        <f>INDEX(Coin1!$A:$D,MATCH(VLOOKUP(Coin2!$A32,Correspondance!$A:$B,2,FALSE),Coin1!$A:$A,0),2)</f>
        <v>5.9525000000000006</v>
      </c>
      <c r="C32">
        <f>2*$I$2-INDEX(Coin1!$A:$D,MATCH(VLOOKUP(Coin2!$A32,Correspondance!$A:$B,2,FALSE),Coin1!$A:$A,0),3)</f>
        <v>80.800000000000011</v>
      </c>
      <c r="D32">
        <f>INDEX(Coin1!$A:$D,MATCH(VLOOKUP(Coin2!$A32,Correspondance!$A:$B,2,FALSE),Coin1!$A:$A,0),4)</f>
        <v>26.36</v>
      </c>
    </row>
    <row r="33" spans="1:4" x14ac:dyDescent="0.35">
      <c r="A33">
        <v>531</v>
      </c>
      <c r="B33">
        <f>INDEX(Coin1!$A:$D,MATCH(VLOOKUP(Coin2!$A33,Correspondance!$A:$B,2,FALSE),Coin1!$A:$A,0),2)</f>
        <v>6.1875</v>
      </c>
      <c r="C33">
        <f>2*$I$2-INDEX(Coin1!$A:$D,MATCH(VLOOKUP(Coin2!$A33,Correspondance!$A:$B,2,FALSE),Coin1!$A:$A,0),3)</f>
        <v>80.800000000000011</v>
      </c>
      <c r="D33">
        <f>INDEX(Coin1!$A:$D,MATCH(VLOOKUP(Coin2!$A33,Correspondance!$A:$B,2,FALSE),Coin1!$A:$A,0),4)</f>
        <v>26.36</v>
      </c>
    </row>
    <row r="34" spans="1:4" x14ac:dyDescent="0.35">
      <c r="A34">
        <v>532</v>
      </c>
      <c r="B34">
        <f>INDEX(Coin1!$A:$D,MATCH(VLOOKUP(Coin2!$A34,Correspondance!$A:$B,2,FALSE),Coin1!$A:$A,0),2)</f>
        <v>6.8025000000000002</v>
      </c>
      <c r="C34">
        <f>2*$I$2-INDEX(Coin1!$A:$D,MATCH(VLOOKUP(Coin2!$A34,Correspondance!$A:$B,2,FALSE),Coin1!$A:$A,0),3)</f>
        <v>80.800000000000011</v>
      </c>
      <c r="D34">
        <f>INDEX(Coin1!$A:$D,MATCH(VLOOKUP(Coin2!$A34,Correspondance!$A:$B,2,FALSE),Coin1!$A:$A,0),4)</f>
        <v>26.36</v>
      </c>
    </row>
    <row r="35" spans="1:4" x14ac:dyDescent="0.35">
      <c r="A35">
        <v>533</v>
      </c>
      <c r="B35">
        <f>INDEX(Coin1!$A:$D,MATCH(VLOOKUP(Coin2!$A35,Correspondance!$A:$B,2,FALSE),Coin1!$A:$A,0),2)</f>
        <v>7.4175000000000004</v>
      </c>
      <c r="C35">
        <f>2*$I$2-INDEX(Coin1!$A:$D,MATCH(VLOOKUP(Coin2!$A35,Correspondance!$A:$B,2,FALSE),Coin1!$A:$A,0),3)</f>
        <v>80.800000000000011</v>
      </c>
      <c r="D35">
        <f>INDEX(Coin1!$A:$D,MATCH(VLOOKUP(Coin2!$A35,Correspondance!$A:$B,2,FALSE),Coin1!$A:$A,0),4)</f>
        <v>26.36</v>
      </c>
    </row>
    <row r="36" spans="1:4" x14ac:dyDescent="0.35">
      <c r="A36">
        <v>534</v>
      </c>
      <c r="B36">
        <f>INDEX(Coin1!$A:$D,MATCH(VLOOKUP(Coin2!$A36,Correspondance!$A:$B,2,FALSE),Coin1!$A:$A,0),2)</f>
        <v>7.6524999999999999</v>
      </c>
      <c r="C36">
        <f>2*$I$2-INDEX(Coin1!$A:$D,MATCH(VLOOKUP(Coin2!$A36,Correspondance!$A:$B,2,FALSE),Coin1!$A:$A,0),3)</f>
        <v>80.800000000000011</v>
      </c>
      <c r="D36">
        <f>INDEX(Coin1!$A:$D,MATCH(VLOOKUP(Coin2!$A36,Correspondance!$A:$B,2,FALSE),Coin1!$A:$A,0),4)</f>
        <v>26.36</v>
      </c>
    </row>
    <row r="37" spans="1:4" x14ac:dyDescent="0.35">
      <c r="A37">
        <v>535</v>
      </c>
      <c r="B37">
        <f>INDEX(Coin1!$A:$D,MATCH(VLOOKUP(Coin2!$A37,Correspondance!$A:$B,2,FALSE),Coin1!$A:$A,0),2)</f>
        <v>7.441126612030132</v>
      </c>
      <c r="C37">
        <f>2*$I$2-INDEX(Coin1!$A:$D,MATCH(VLOOKUP(Coin2!$A37,Correspondance!$A:$B,2,FALSE),Coin1!$A:$A,0),3)</f>
        <v>80.800000000000011</v>
      </c>
      <c r="D37">
        <f>INDEX(Coin1!$A:$D,MATCH(VLOOKUP(Coin2!$A37,Correspondance!$A:$B,2,FALSE),Coin1!$A:$A,0),4)</f>
        <v>26.36</v>
      </c>
    </row>
    <row r="38" spans="1:4" x14ac:dyDescent="0.35">
      <c r="A38">
        <v>536</v>
      </c>
      <c r="B38">
        <f>INDEX(Coin1!$A:$D,MATCH(VLOOKUP(Coin2!$A38,Correspondance!$A:$B,2,FALSE),Coin1!$A:$A,0),2)</f>
        <v>9.4957510746867548</v>
      </c>
      <c r="C38">
        <f>2*$I$2-INDEX(Coin1!$A:$D,MATCH(VLOOKUP(Coin2!$A38,Correspondance!$A:$B,2,FALSE),Coin1!$A:$A,0),3)</f>
        <v>80.800000000000011</v>
      </c>
      <c r="D38">
        <f>INDEX(Coin1!$A:$D,MATCH(VLOOKUP(Coin2!$A38,Correspondance!$A:$B,2,FALSE),Coin1!$A:$A,0),4)</f>
        <v>26.36</v>
      </c>
    </row>
    <row r="39" spans="1:4" x14ac:dyDescent="0.35">
      <c r="A39">
        <v>537</v>
      </c>
      <c r="B39">
        <f>INDEX(Coin1!$A:$D,MATCH(VLOOKUP(Coin2!$A39,Correspondance!$A:$B,2,FALSE),Coin1!$A:$A,0),2)</f>
        <v>11.550375537343378</v>
      </c>
      <c r="C39">
        <f>2*$I$2-INDEX(Coin1!$A:$D,MATCH(VLOOKUP(Coin2!$A39,Correspondance!$A:$B,2,FALSE),Coin1!$A:$A,0),3)</f>
        <v>80.800000000000011</v>
      </c>
      <c r="D39">
        <f>INDEX(Coin1!$A:$D,MATCH(VLOOKUP(Coin2!$A39,Correspondance!$A:$B,2,FALSE),Coin1!$A:$A,0),4)</f>
        <v>26.36</v>
      </c>
    </row>
    <row r="40" spans="1:4" x14ac:dyDescent="0.35">
      <c r="A40">
        <v>538</v>
      </c>
      <c r="B40">
        <f>INDEX(Coin1!$A:$D,MATCH(VLOOKUP(Coin2!$A40,Correspondance!$A:$B,2,FALSE),Coin1!$A:$A,0),2)</f>
        <v>13.605</v>
      </c>
      <c r="C40">
        <f>2*$I$2-INDEX(Coin1!$A:$D,MATCH(VLOOKUP(Coin2!$A40,Correspondance!$A:$B,2,FALSE),Coin1!$A:$A,0),3)</f>
        <v>80.800000000000011</v>
      </c>
      <c r="D40">
        <f>INDEX(Coin1!$A:$D,MATCH(VLOOKUP(Coin2!$A40,Correspondance!$A:$B,2,FALSE),Coin1!$A:$A,0),4)</f>
        <v>26.36</v>
      </c>
    </row>
    <row r="41" spans="1:4" x14ac:dyDescent="0.35">
      <c r="A41">
        <v>539</v>
      </c>
      <c r="B41">
        <f>INDEX(Coin1!$A:$D,MATCH(VLOOKUP(Coin2!$A41,Correspondance!$A:$B,2,FALSE),Coin1!$A:$A,0),2)</f>
        <v>4.2488733879698692</v>
      </c>
      <c r="C41">
        <f>2*$I$2-INDEX(Coin1!$A:$D,MATCH(VLOOKUP(Coin2!$A41,Correspondance!$A:$B,2,FALSE),Coin1!$A:$A,0),3)</f>
        <v>82.715000000000003</v>
      </c>
      <c r="D41">
        <f>INDEX(Coin1!$A:$D,MATCH(VLOOKUP(Coin2!$A41,Correspondance!$A:$B,2,FALSE),Coin1!$A:$A,0),4)</f>
        <v>26.36</v>
      </c>
    </row>
    <row r="42" spans="1:4" x14ac:dyDescent="0.35">
      <c r="A42">
        <v>540</v>
      </c>
      <c r="B42">
        <f>INDEX(Coin1!$A:$D,MATCH(VLOOKUP(Coin2!$A42,Correspondance!$A:$B,2,FALSE),Coin1!$A:$A,0),2)</f>
        <v>6.8025000000000002</v>
      </c>
      <c r="C42">
        <f>2*$I$2-INDEX(Coin1!$A:$D,MATCH(VLOOKUP(Coin2!$A42,Correspondance!$A:$B,2,FALSE),Coin1!$A:$A,0),3)</f>
        <v>82.715000000000003</v>
      </c>
      <c r="D42">
        <f>INDEX(Coin1!$A:$D,MATCH(VLOOKUP(Coin2!$A42,Correspondance!$A:$B,2,FALSE),Coin1!$A:$A,0),4)</f>
        <v>26.36</v>
      </c>
    </row>
    <row r="43" spans="1:4" x14ac:dyDescent="0.35">
      <c r="A43">
        <v>541</v>
      </c>
      <c r="B43">
        <f>INDEX(Coin1!$A:$D,MATCH(VLOOKUP(Coin2!$A43,Correspondance!$A:$B,2,FALSE),Coin1!$A:$A,0),2)</f>
        <v>9.3561266120301312</v>
      </c>
      <c r="C43">
        <f>2*$I$2-INDEX(Coin1!$A:$D,MATCH(VLOOKUP(Coin2!$A43,Correspondance!$A:$B,2,FALSE),Coin1!$A:$A,0),3)</f>
        <v>82.715000000000003</v>
      </c>
      <c r="D43">
        <f>INDEX(Coin1!$A:$D,MATCH(VLOOKUP(Coin2!$A43,Correspondance!$A:$B,2,FALSE),Coin1!$A:$A,0),4)</f>
        <v>26.36</v>
      </c>
    </row>
    <row r="44" spans="1:4" x14ac:dyDescent="0.35">
      <c r="A44">
        <v>542</v>
      </c>
      <c r="B44">
        <f>INDEX(Coin1!$A:$D,MATCH(VLOOKUP(Coin2!$A44,Correspondance!$A:$B,2,FALSE),Coin1!$A:$A,0),2)</f>
        <v>6.8025000000000002</v>
      </c>
      <c r="C44">
        <f>2*$I$2-INDEX(Coin1!$A:$D,MATCH(VLOOKUP(Coin2!$A44,Correspondance!$A:$B,2,FALSE),Coin1!$A:$A,0),3)</f>
        <v>83.03</v>
      </c>
      <c r="D44">
        <f>INDEX(Coin1!$A:$D,MATCH(VLOOKUP(Coin2!$A44,Correspondance!$A:$B,2,FALSE),Coin1!$A:$A,0),4)</f>
        <v>26.36</v>
      </c>
    </row>
    <row r="45" spans="1:4" x14ac:dyDescent="0.35">
      <c r="A45">
        <v>543</v>
      </c>
      <c r="B45">
        <f>INDEX(Coin1!$A:$D,MATCH(VLOOKUP(Coin2!$A45,Correspondance!$A:$B,2,FALSE),Coin1!$A:$A,0),2)</f>
        <v>0</v>
      </c>
      <c r="C45">
        <f>2*$I$2-INDEX(Coin1!$A:$D,MATCH(VLOOKUP(Coin2!$A45,Correspondance!$A:$B,2,FALSE),Coin1!$A:$A,0),3)</f>
        <v>82.854624462656631</v>
      </c>
      <c r="D45">
        <f>INDEX(Coin1!$A:$D,MATCH(VLOOKUP(Coin2!$A45,Correspondance!$A:$B,2,FALSE),Coin1!$A:$A,0),4)</f>
        <v>26.36</v>
      </c>
    </row>
    <row r="46" spans="1:4" x14ac:dyDescent="0.35">
      <c r="A46">
        <v>544</v>
      </c>
      <c r="B46">
        <f>INDEX(Coin1!$A:$D,MATCH(VLOOKUP(Coin2!$A46,Correspondance!$A:$B,2,FALSE),Coin1!$A:$A,0),2)</f>
        <v>13.605</v>
      </c>
      <c r="C46">
        <f>2*$I$2-INDEX(Coin1!$A:$D,MATCH(VLOOKUP(Coin2!$A46,Correspondance!$A:$B,2,FALSE),Coin1!$A:$A,0),3)</f>
        <v>82.854624462656631</v>
      </c>
      <c r="D46">
        <f>INDEX(Coin1!$A:$D,MATCH(VLOOKUP(Coin2!$A46,Correspondance!$A:$B,2,FALSE),Coin1!$A:$A,0),4)</f>
        <v>26.36</v>
      </c>
    </row>
    <row r="47" spans="1:4" x14ac:dyDescent="0.35">
      <c r="A47">
        <v>545</v>
      </c>
      <c r="B47">
        <f>INDEX(Coin1!$A:$D,MATCH(VLOOKUP(Coin2!$A47,Correspondance!$A:$B,2,FALSE),Coin1!$A:$A,0),2)</f>
        <v>1.4155000000000006</v>
      </c>
      <c r="C47">
        <f>2*$I$2-INDEX(Coin1!$A:$D,MATCH(VLOOKUP(Coin2!$A47,Correspondance!$A:$B,2,FALSE),Coin1!$A:$A,0),3)</f>
        <v>83.493000000000009</v>
      </c>
      <c r="D47">
        <f>INDEX(Coin1!$A:$D,MATCH(VLOOKUP(Coin2!$A47,Correspondance!$A:$B,2,FALSE),Coin1!$A:$A,0),4)</f>
        <v>26.36</v>
      </c>
    </row>
    <row r="48" spans="1:4" x14ac:dyDescent="0.35">
      <c r="A48">
        <v>546</v>
      </c>
      <c r="B48">
        <f>INDEX(Coin1!$A:$D,MATCH(VLOOKUP(Coin2!$A48,Correspondance!$A:$B,2,FALSE),Coin1!$A:$A,0),2)</f>
        <v>12.189499999999999</v>
      </c>
      <c r="C48">
        <f>2*$I$2-INDEX(Coin1!$A:$D,MATCH(VLOOKUP(Coin2!$A48,Correspondance!$A:$B,2,FALSE),Coin1!$A:$A,0),3)</f>
        <v>83.493000000000009</v>
      </c>
      <c r="D48">
        <f>INDEX(Coin1!$A:$D,MATCH(VLOOKUP(Coin2!$A48,Correspondance!$A:$B,2,FALSE),Coin1!$A:$A,0),4)</f>
        <v>26.36</v>
      </c>
    </row>
    <row r="49" spans="1:4" x14ac:dyDescent="0.35">
      <c r="A49">
        <v>547</v>
      </c>
      <c r="B49">
        <f>INDEX(Coin1!$A:$D,MATCH(VLOOKUP(Coin2!$A49,Correspondance!$A:$B,2,FALSE),Coin1!$A:$A,0),2)</f>
        <v>-1.4</v>
      </c>
      <c r="C49">
        <f>2*$I$2-INDEX(Coin1!$A:$D,MATCH(VLOOKUP(Coin2!$A49,Correspondance!$A:$B,2,FALSE),Coin1!$A:$A,0),3)</f>
        <v>83.493000000000009</v>
      </c>
      <c r="D49">
        <f>INDEX(Coin1!$A:$D,MATCH(VLOOKUP(Coin2!$A49,Correspondance!$A:$B,2,FALSE),Coin1!$A:$A,0),4)</f>
        <v>26.36</v>
      </c>
    </row>
    <row r="50" spans="1:4" x14ac:dyDescent="0.35">
      <c r="A50">
        <v>548</v>
      </c>
      <c r="B50">
        <f>INDEX(Coin1!$A:$D,MATCH(VLOOKUP(Coin2!$A50,Correspondance!$A:$B,2,FALSE),Coin1!$A:$A,0),2)</f>
        <v>0</v>
      </c>
      <c r="C50">
        <f>2*$I$2-INDEX(Coin1!$A:$D,MATCH(VLOOKUP(Coin2!$A50,Correspondance!$A:$B,2,FALSE),Coin1!$A:$A,0),3)</f>
        <v>83.493000000000009</v>
      </c>
      <c r="D50">
        <f>INDEX(Coin1!$A:$D,MATCH(VLOOKUP(Coin2!$A50,Correspondance!$A:$B,2,FALSE),Coin1!$A:$A,0),4)</f>
        <v>26.36</v>
      </c>
    </row>
    <row r="51" spans="1:4" x14ac:dyDescent="0.35">
      <c r="A51">
        <v>549</v>
      </c>
      <c r="B51">
        <f>INDEX(Coin1!$A:$D,MATCH(VLOOKUP(Coin2!$A51,Correspondance!$A:$B,2,FALSE),Coin1!$A:$A,0),2)</f>
        <v>2.4435000000000002</v>
      </c>
      <c r="C51">
        <f>2*$I$2-INDEX(Coin1!$A:$D,MATCH(VLOOKUP(Coin2!$A51,Correspondance!$A:$B,2,FALSE),Coin1!$A:$A,0),3)</f>
        <v>84.521000000000015</v>
      </c>
      <c r="D51">
        <f>INDEX(Coin1!$A:$D,MATCH(VLOOKUP(Coin2!$A51,Correspondance!$A:$B,2,FALSE),Coin1!$A:$A,0),4)</f>
        <v>26.36</v>
      </c>
    </row>
    <row r="52" spans="1:4" x14ac:dyDescent="0.35">
      <c r="A52">
        <v>550</v>
      </c>
      <c r="B52">
        <f>INDEX(Coin1!$A:$D,MATCH(VLOOKUP(Coin2!$A52,Correspondance!$A:$B,2,FALSE),Coin1!$A:$A,0),2)</f>
        <v>11.1615</v>
      </c>
      <c r="C52">
        <f>2*$I$2-INDEX(Coin1!$A:$D,MATCH(VLOOKUP(Coin2!$A52,Correspondance!$A:$B,2,FALSE),Coin1!$A:$A,0),3)</f>
        <v>84.521000000000015</v>
      </c>
      <c r="D52">
        <f>INDEX(Coin1!$A:$D,MATCH(VLOOKUP(Coin2!$A52,Correspondance!$A:$B,2,FALSE),Coin1!$A:$A,0),4)</f>
        <v>26.36</v>
      </c>
    </row>
    <row r="53" spans="1:4" x14ac:dyDescent="0.35">
      <c r="A53">
        <v>551</v>
      </c>
      <c r="B53">
        <f>INDEX(Coin1!$A:$D,MATCH(VLOOKUP(Coin2!$A53,Correspondance!$A:$B,2,FALSE),Coin1!$A:$A,0),2)</f>
        <v>2.6655000000000006</v>
      </c>
      <c r="C53">
        <f>2*$I$2-INDEX(Coin1!$A:$D,MATCH(VLOOKUP(Coin2!$A53,Correspondance!$A:$B,2,FALSE),Coin1!$A:$A,0),3)</f>
        <v>84.743000000000009</v>
      </c>
      <c r="D53">
        <f>INDEX(Coin1!$A:$D,MATCH(VLOOKUP(Coin2!$A53,Correspondance!$A:$B,2,FALSE),Coin1!$A:$A,0),4)</f>
        <v>26.36</v>
      </c>
    </row>
    <row r="54" spans="1:4" x14ac:dyDescent="0.35">
      <c r="A54">
        <v>552</v>
      </c>
      <c r="B54">
        <f>INDEX(Coin1!$A:$D,MATCH(VLOOKUP(Coin2!$A54,Correspondance!$A:$B,2,FALSE),Coin1!$A:$A,0),2)</f>
        <v>10.939499999999999</v>
      </c>
      <c r="C54">
        <f>2*$I$2-INDEX(Coin1!$A:$D,MATCH(VLOOKUP(Coin2!$A54,Correspondance!$A:$B,2,FALSE),Coin1!$A:$A,0),3)</f>
        <v>84.743000000000009</v>
      </c>
      <c r="D54">
        <f>INDEX(Coin1!$A:$D,MATCH(VLOOKUP(Coin2!$A54,Correspondance!$A:$B,2,FALSE),Coin1!$A:$A,0),4)</f>
        <v>26.36</v>
      </c>
    </row>
    <row r="55" spans="1:4" x14ac:dyDescent="0.35">
      <c r="A55">
        <v>553</v>
      </c>
      <c r="B55">
        <f>INDEX(Coin1!$A:$D,MATCH(VLOOKUP(Coin2!$A55,Correspondance!$A:$B,2,FALSE),Coin1!$A:$A,0),2)</f>
        <v>0</v>
      </c>
      <c r="C55">
        <f>2*$I$2-INDEX(Coin1!$A:$D,MATCH(VLOOKUP(Coin2!$A55,Correspondance!$A:$B,2,FALSE),Coin1!$A:$A,0),3)</f>
        <v>84.90924892531325</v>
      </c>
      <c r="D55">
        <f>INDEX(Coin1!$A:$D,MATCH(VLOOKUP(Coin2!$A55,Correspondance!$A:$B,2,FALSE),Coin1!$A:$A,0),4)</f>
        <v>26.36</v>
      </c>
    </row>
    <row r="56" spans="1:4" x14ac:dyDescent="0.35">
      <c r="A56">
        <v>554</v>
      </c>
      <c r="B56">
        <f>INDEX(Coin1!$A:$D,MATCH(VLOOKUP(Coin2!$A56,Correspondance!$A:$B,2,FALSE),Coin1!$A:$A,0),2)</f>
        <v>13.605</v>
      </c>
      <c r="C56">
        <f>2*$I$2-INDEX(Coin1!$A:$D,MATCH(VLOOKUP(Coin2!$A56,Correspondance!$A:$B,2,FALSE),Coin1!$A:$A,0),3)</f>
        <v>84.90924892531325</v>
      </c>
      <c r="D56">
        <f>INDEX(Coin1!$A:$D,MATCH(VLOOKUP(Coin2!$A56,Correspondance!$A:$B,2,FALSE),Coin1!$A:$A,0),4)</f>
        <v>26.36</v>
      </c>
    </row>
    <row r="57" spans="1:4" x14ac:dyDescent="0.35">
      <c r="A57">
        <v>555</v>
      </c>
      <c r="B57">
        <f>INDEX(Coin1!$A:$D,MATCH(VLOOKUP(Coin2!$A57,Correspondance!$A:$B,2,FALSE),Coin1!$A:$A,0),2)</f>
        <v>0.63750000000000062</v>
      </c>
      <c r="C57">
        <f>2*$I$2-INDEX(Coin1!$A:$D,MATCH(VLOOKUP(Coin2!$A57,Correspondance!$A:$B,2,FALSE),Coin1!$A:$A,0),3)</f>
        <v>86.32637338796988</v>
      </c>
      <c r="D57">
        <f>INDEX(Coin1!$A:$D,MATCH(VLOOKUP(Coin2!$A57,Correspondance!$A:$B,2,FALSE),Coin1!$A:$A,0),4)</f>
        <v>26.36</v>
      </c>
    </row>
    <row r="58" spans="1:4" x14ac:dyDescent="0.35">
      <c r="A58">
        <v>556</v>
      </c>
      <c r="B58">
        <f>INDEX(Coin1!$A:$D,MATCH(VLOOKUP(Coin2!$A58,Correspondance!$A:$B,2,FALSE),Coin1!$A:$A,0),2)</f>
        <v>12.967499999999999</v>
      </c>
      <c r="C58">
        <f>2*$I$2-INDEX(Coin1!$A:$D,MATCH(VLOOKUP(Coin2!$A58,Correspondance!$A:$B,2,FALSE),Coin1!$A:$A,0),3)</f>
        <v>86.32637338796988</v>
      </c>
      <c r="D58">
        <f>INDEX(Coin1!$A:$D,MATCH(VLOOKUP(Coin2!$A58,Correspondance!$A:$B,2,FALSE),Coin1!$A:$A,0),4)</f>
        <v>26.36</v>
      </c>
    </row>
    <row r="59" spans="1:4" x14ac:dyDescent="0.35">
      <c r="A59">
        <v>557</v>
      </c>
      <c r="B59">
        <f>INDEX(Coin1!$A:$D,MATCH(VLOOKUP(Coin2!$A59,Correspondance!$A:$B,2,FALSE),Coin1!$A:$A,0),2)</f>
        <v>-1.4</v>
      </c>
      <c r="C59">
        <f>2*$I$2-INDEX(Coin1!$A:$D,MATCH(VLOOKUP(Coin2!$A59,Correspondance!$A:$B,2,FALSE),Coin1!$A:$A,0),3)</f>
        <v>86.187000000000012</v>
      </c>
      <c r="D59">
        <f>INDEX(Coin1!$A:$D,MATCH(VLOOKUP(Coin2!$A59,Correspondance!$A:$B,2,FALSE),Coin1!$A:$A,0),4)</f>
        <v>26.36</v>
      </c>
    </row>
    <row r="60" spans="1:4" x14ac:dyDescent="0.35">
      <c r="A60">
        <v>558</v>
      </c>
      <c r="B60">
        <f>INDEX(Coin1!$A:$D,MATCH(VLOOKUP(Coin2!$A60,Correspondance!$A:$B,2,FALSE),Coin1!$A:$A,0),2)</f>
        <v>0</v>
      </c>
      <c r="C60">
        <f>2*$I$2-INDEX(Coin1!$A:$D,MATCH(VLOOKUP(Coin2!$A60,Correspondance!$A:$B,2,FALSE),Coin1!$A:$A,0),3)</f>
        <v>86.187000000000012</v>
      </c>
      <c r="D60">
        <f>INDEX(Coin1!$A:$D,MATCH(VLOOKUP(Coin2!$A60,Correspondance!$A:$B,2,FALSE),Coin1!$A:$A,0),4)</f>
        <v>26.36</v>
      </c>
    </row>
    <row r="61" spans="1:4" x14ac:dyDescent="0.35">
      <c r="A61">
        <v>559</v>
      </c>
      <c r="B61">
        <f>INDEX(Coin1!$A:$D,MATCH(VLOOKUP(Coin2!$A61,Correspondance!$A:$B,2,FALSE),Coin1!$A:$A,0),2)</f>
        <v>0</v>
      </c>
      <c r="C61">
        <f>2*$I$2-INDEX(Coin1!$A:$D,MATCH(VLOOKUP(Coin2!$A61,Correspondance!$A:$B,2,FALSE),Coin1!$A:$A,0),3)</f>
        <v>86.963873387969869</v>
      </c>
      <c r="D61">
        <f>INDEX(Coin1!$A:$D,MATCH(VLOOKUP(Coin2!$A61,Correspondance!$A:$B,2,FALSE),Coin1!$A:$A,0),4)</f>
        <v>26.36</v>
      </c>
    </row>
    <row r="62" spans="1:4" x14ac:dyDescent="0.35">
      <c r="A62">
        <v>560</v>
      </c>
      <c r="B62">
        <f>INDEX(Coin1!$A:$D,MATCH(VLOOKUP(Coin2!$A62,Correspondance!$A:$B,2,FALSE),Coin1!$A:$A,0),2)</f>
        <v>13.605</v>
      </c>
      <c r="C62">
        <f>2*$I$2-INDEX(Coin1!$A:$D,MATCH(VLOOKUP(Coin2!$A62,Correspondance!$A:$B,2,FALSE),Coin1!$A:$A,0),3)</f>
        <v>86.963873387969869</v>
      </c>
      <c r="D62">
        <f>INDEX(Coin1!$A:$D,MATCH(VLOOKUP(Coin2!$A62,Correspondance!$A:$B,2,FALSE),Coin1!$A:$A,0),4)</f>
        <v>26.36</v>
      </c>
    </row>
    <row r="63" spans="1:4" x14ac:dyDescent="0.35">
      <c r="A63">
        <v>561</v>
      </c>
      <c r="B63">
        <f>INDEX(Coin1!$A:$D,MATCH(VLOOKUP(Coin2!$A63,Correspondance!$A:$B,2,FALSE),Coin1!$A:$A,0),2)</f>
        <v>-1.4</v>
      </c>
      <c r="C63">
        <f>2*$I$2-INDEX(Coin1!$A:$D,MATCH(VLOOKUP(Coin2!$A63,Correspondance!$A:$B,2,FALSE),Coin1!$A:$A,0),3)</f>
        <v>88.88000000000001</v>
      </c>
      <c r="D63">
        <f>INDEX(Coin1!$A:$D,MATCH(VLOOKUP(Coin2!$A63,Correspondance!$A:$B,2,FALSE),Coin1!$A:$A,0),4)</f>
        <v>26.36</v>
      </c>
    </row>
    <row r="64" spans="1:4" x14ac:dyDescent="0.35">
      <c r="A64">
        <v>562</v>
      </c>
      <c r="B64">
        <f>INDEX(Coin1!$A:$D,MATCH(VLOOKUP(Coin2!$A64,Correspondance!$A:$B,2,FALSE),Coin1!$A:$A,0),2)</f>
        <v>0</v>
      </c>
      <c r="C64">
        <f>2*$I$2-INDEX(Coin1!$A:$D,MATCH(VLOOKUP(Coin2!$A64,Correspondance!$A:$B,2,FALSE),Coin1!$A:$A,0),3)</f>
        <v>88.88000000000001</v>
      </c>
      <c r="D64">
        <f>INDEX(Coin1!$A:$D,MATCH(VLOOKUP(Coin2!$A64,Correspondance!$A:$B,2,FALSE),Coin1!$A:$A,0),4)</f>
        <v>26.36</v>
      </c>
    </row>
    <row r="65" spans="1:4" x14ac:dyDescent="0.35">
      <c r="A65">
        <v>563</v>
      </c>
      <c r="B65">
        <f>INDEX(Coin1!$A:$D,MATCH(VLOOKUP(Coin2!$A65,Correspondance!$A:$B,2,FALSE),Coin1!$A:$A,0),2)</f>
        <v>0.63750000000000062</v>
      </c>
      <c r="C65">
        <f>2*$I$2-INDEX(Coin1!$A:$D,MATCH(VLOOKUP(Coin2!$A65,Correspondance!$A:$B,2,FALSE),Coin1!$A:$A,0),3)</f>
        <v>88.88000000000001</v>
      </c>
      <c r="D65">
        <f>INDEX(Coin1!$A:$D,MATCH(VLOOKUP(Coin2!$A65,Correspondance!$A:$B,2,FALSE),Coin1!$A:$A,0),4)</f>
        <v>26.36</v>
      </c>
    </row>
    <row r="66" spans="1:4" x14ac:dyDescent="0.35">
      <c r="A66">
        <v>564</v>
      </c>
      <c r="B66">
        <f>INDEX(Coin1!$A:$D,MATCH(VLOOKUP(Coin2!$A66,Correspondance!$A:$B,2,FALSE),Coin1!$A:$A,0),2)</f>
        <v>0.95250000000000057</v>
      </c>
      <c r="C66">
        <f>2*$I$2-INDEX(Coin1!$A:$D,MATCH(VLOOKUP(Coin2!$A66,Correspondance!$A:$B,2,FALSE),Coin1!$A:$A,0),3)</f>
        <v>88.88000000000001</v>
      </c>
      <c r="D66">
        <f>INDEX(Coin1!$A:$D,MATCH(VLOOKUP(Coin2!$A66,Correspondance!$A:$B,2,FALSE),Coin1!$A:$A,0),4)</f>
        <v>26.36</v>
      </c>
    </row>
    <row r="67" spans="1:4" x14ac:dyDescent="0.35">
      <c r="A67">
        <v>565</v>
      </c>
      <c r="B67">
        <f>INDEX(Coin1!$A:$D,MATCH(VLOOKUP(Coin2!$A67,Correspondance!$A:$B,2,FALSE),Coin1!$A:$A,0),2)</f>
        <v>12.6525</v>
      </c>
      <c r="C67">
        <f>2*$I$2-INDEX(Coin1!$A:$D,MATCH(VLOOKUP(Coin2!$A67,Correspondance!$A:$B,2,FALSE),Coin1!$A:$A,0),3)</f>
        <v>88.88000000000001</v>
      </c>
      <c r="D67">
        <f>INDEX(Coin1!$A:$D,MATCH(VLOOKUP(Coin2!$A67,Correspondance!$A:$B,2,FALSE),Coin1!$A:$A,0),4)</f>
        <v>26.36</v>
      </c>
    </row>
    <row r="68" spans="1:4" x14ac:dyDescent="0.35">
      <c r="A68">
        <v>566</v>
      </c>
      <c r="B68">
        <f>INDEX(Coin1!$A:$D,MATCH(VLOOKUP(Coin2!$A68,Correspondance!$A:$B,2,FALSE),Coin1!$A:$A,0),2)</f>
        <v>12.967499999999999</v>
      </c>
      <c r="C68">
        <f>2*$I$2-INDEX(Coin1!$A:$D,MATCH(VLOOKUP(Coin2!$A68,Correspondance!$A:$B,2,FALSE),Coin1!$A:$A,0),3)</f>
        <v>88.88000000000001</v>
      </c>
      <c r="D68">
        <f>INDEX(Coin1!$A:$D,MATCH(VLOOKUP(Coin2!$A68,Correspondance!$A:$B,2,FALSE),Coin1!$A:$A,0),4)</f>
        <v>26.36</v>
      </c>
    </row>
    <row r="69" spans="1:4" x14ac:dyDescent="0.35">
      <c r="A69">
        <v>567</v>
      </c>
      <c r="B69">
        <f>INDEX(Coin1!$A:$D,MATCH(VLOOKUP(Coin2!$A69,Correspondance!$A:$B,2,FALSE),Coin1!$A:$A,0),2)</f>
        <v>13.605</v>
      </c>
      <c r="C69">
        <f>2*$I$2-INDEX(Coin1!$A:$D,MATCH(VLOOKUP(Coin2!$A69,Correspondance!$A:$B,2,FALSE),Coin1!$A:$A,0),3)</f>
        <v>88.88000000000001</v>
      </c>
      <c r="D69">
        <f>INDEX(Coin1!$A:$D,MATCH(VLOOKUP(Coin2!$A69,Correspondance!$A:$B,2,FALSE),Coin1!$A:$A,0),4)</f>
        <v>26.36</v>
      </c>
    </row>
    <row r="70" spans="1:4" x14ac:dyDescent="0.35">
      <c r="A70">
        <v>568</v>
      </c>
      <c r="B70">
        <f>INDEX(Coin1!$A:$D,MATCH(VLOOKUP(Coin2!$A70,Correspondance!$A:$B,2,FALSE),Coin1!$A:$A,0),2)</f>
        <v>0</v>
      </c>
      <c r="C70">
        <f>2*$I$2-INDEX(Coin1!$A:$D,MATCH(VLOOKUP(Coin2!$A70,Correspondance!$A:$B,2,FALSE),Coin1!$A:$A,0),3)</f>
        <v>90.796126612030136</v>
      </c>
      <c r="D70">
        <f>INDEX(Coin1!$A:$D,MATCH(VLOOKUP(Coin2!$A70,Correspondance!$A:$B,2,FALSE),Coin1!$A:$A,0),4)</f>
        <v>26.36</v>
      </c>
    </row>
    <row r="71" spans="1:4" x14ac:dyDescent="0.35">
      <c r="A71">
        <v>569</v>
      </c>
      <c r="B71">
        <f>INDEX(Coin1!$A:$D,MATCH(VLOOKUP(Coin2!$A71,Correspondance!$A:$B,2,FALSE),Coin1!$A:$A,0),2)</f>
        <v>13.605</v>
      </c>
      <c r="C71">
        <f>2*$I$2-INDEX(Coin1!$A:$D,MATCH(VLOOKUP(Coin2!$A71,Correspondance!$A:$B,2,FALSE),Coin1!$A:$A,0),3)</f>
        <v>90.796126612030136</v>
      </c>
      <c r="D71">
        <f>INDEX(Coin1!$A:$D,MATCH(VLOOKUP(Coin2!$A71,Correspondance!$A:$B,2,FALSE),Coin1!$A:$A,0),4)</f>
        <v>26.36</v>
      </c>
    </row>
    <row r="72" spans="1:4" x14ac:dyDescent="0.35">
      <c r="A72">
        <v>570</v>
      </c>
      <c r="B72">
        <f>INDEX(Coin1!$A:$D,MATCH(VLOOKUP(Coin2!$A72,Correspondance!$A:$B,2,FALSE),Coin1!$A:$A,0),2)</f>
        <v>-1.4</v>
      </c>
      <c r="C72">
        <f>2*$I$2-INDEX(Coin1!$A:$D,MATCH(VLOOKUP(Coin2!$A72,Correspondance!$A:$B,2,FALSE),Coin1!$A:$A,0),3)</f>
        <v>91.573000000000008</v>
      </c>
      <c r="D72">
        <f>INDEX(Coin1!$A:$D,MATCH(VLOOKUP(Coin2!$A72,Correspondance!$A:$B,2,FALSE),Coin1!$A:$A,0),4)</f>
        <v>26.36</v>
      </c>
    </row>
    <row r="73" spans="1:4" x14ac:dyDescent="0.35">
      <c r="A73">
        <v>571</v>
      </c>
      <c r="B73">
        <f>INDEX(Coin1!$A:$D,MATCH(VLOOKUP(Coin2!$A73,Correspondance!$A:$B,2,FALSE),Coin1!$A:$A,0),2)</f>
        <v>0</v>
      </c>
      <c r="C73">
        <f>2*$I$2-INDEX(Coin1!$A:$D,MATCH(VLOOKUP(Coin2!$A73,Correspondance!$A:$B,2,FALSE),Coin1!$A:$A,0),3)</f>
        <v>91.573000000000008</v>
      </c>
      <c r="D73">
        <f>INDEX(Coin1!$A:$D,MATCH(VLOOKUP(Coin2!$A73,Correspondance!$A:$B,2,FALSE),Coin1!$A:$A,0),4)</f>
        <v>26.36</v>
      </c>
    </row>
    <row r="74" spans="1:4" x14ac:dyDescent="0.35">
      <c r="A74">
        <v>572</v>
      </c>
      <c r="B74">
        <f>INDEX(Coin1!$A:$D,MATCH(VLOOKUP(Coin2!$A74,Correspondance!$A:$B,2,FALSE),Coin1!$A:$A,0),2)</f>
        <v>0.63750000000000062</v>
      </c>
      <c r="C74">
        <f>2*$I$2-INDEX(Coin1!$A:$D,MATCH(VLOOKUP(Coin2!$A74,Correspondance!$A:$B,2,FALSE),Coin1!$A:$A,0),3)</f>
        <v>91.433626612030139</v>
      </c>
      <c r="D74">
        <f>INDEX(Coin1!$A:$D,MATCH(VLOOKUP(Coin2!$A74,Correspondance!$A:$B,2,FALSE),Coin1!$A:$A,0),4)</f>
        <v>26.36</v>
      </c>
    </row>
    <row r="75" spans="1:4" x14ac:dyDescent="0.35">
      <c r="A75">
        <v>573</v>
      </c>
      <c r="B75">
        <f>INDEX(Coin1!$A:$D,MATCH(VLOOKUP(Coin2!$A75,Correspondance!$A:$B,2,FALSE),Coin1!$A:$A,0),2)</f>
        <v>12.967499999999999</v>
      </c>
      <c r="C75">
        <f>2*$I$2-INDEX(Coin1!$A:$D,MATCH(VLOOKUP(Coin2!$A75,Correspondance!$A:$B,2,FALSE),Coin1!$A:$A,0),3)</f>
        <v>91.433626612030139</v>
      </c>
      <c r="D75">
        <f>INDEX(Coin1!$A:$D,MATCH(VLOOKUP(Coin2!$A75,Correspondance!$A:$B,2,FALSE),Coin1!$A:$A,0),4)</f>
        <v>26.36</v>
      </c>
    </row>
    <row r="76" spans="1:4" x14ac:dyDescent="0.35">
      <c r="A76">
        <v>574</v>
      </c>
      <c r="B76">
        <f>INDEX(Coin1!$A:$D,MATCH(VLOOKUP(Coin2!$A76,Correspondance!$A:$B,2,FALSE),Coin1!$A:$A,0),2)</f>
        <v>0</v>
      </c>
      <c r="C76">
        <f>2*$I$2-INDEX(Coin1!$A:$D,MATCH(VLOOKUP(Coin2!$A76,Correspondance!$A:$B,2,FALSE),Coin1!$A:$A,0),3)</f>
        <v>92.850751074686755</v>
      </c>
      <c r="D76">
        <f>INDEX(Coin1!$A:$D,MATCH(VLOOKUP(Coin2!$A76,Correspondance!$A:$B,2,FALSE),Coin1!$A:$A,0),4)</f>
        <v>26.36</v>
      </c>
    </row>
    <row r="77" spans="1:4" x14ac:dyDescent="0.35">
      <c r="A77">
        <v>575</v>
      </c>
      <c r="B77">
        <f>INDEX(Coin1!$A:$D,MATCH(VLOOKUP(Coin2!$A77,Correspondance!$A:$B,2,FALSE),Coin1!$A:$A,0),2)</f>
        <v>13.605</v>
      </c>
      <c r="C77">
        <f>2*$I$2-INDEX(Coin1!$A:$D,MATCH(VLOOKUP(Coin2!$A77,Correspondance!$A:$B,2,FALSE),Coin1!$A:$A,0),3)</f>
        <v>92.850751074686755</v>
      </c>
      <c r="D77">
        <f>INDEX(Coin1!$A:$D,MATCH(VLOOKUP(Coin2!$A77,Correspondance!$A:$B,2,FALSE),Coin1!$A:$A,0),4)</f>
        <v>26.36</v>
      </c>
    </row>
    <row r="78" spans="1:4" x14ac:dyDescent="0.35">
      <c r="A78">
        <v>576</v>
      </c>
      <c r="B78">
        <f>INDEX(Coin1!$A:$D,MATCH(VLOOKUP(Coin2!$A78,Correspondance!$A:$B,2,FALSE),Coin1!$A:$A,0),2)</f>
        <v>2.6655000000000006</v>
      </c>
      <c r="C78">
        <f>2*$I$2-INDEX(Coin1!$A:$D,MATCH(VLOOKUP(Coin2!$A78,Correspondance!$A:$B,2,FALSE),Coin1!$A:$A,0),3)</f>
        <v>93.01700000000001</v>
      </c>
      <c r="D78">
        <f>INDEX(Coin1!$A:$D,MATCH(VLOOKUP(Coin2!$A78,Correspondance!$A:$B,2,FALSE),Coin1!$A:$A,0),4)</f>
        <v>26.36</v>
      </c>
    </row>
    <row r="79" spans="1:4" x14ac:dyDescent="0.35">
      <c r="A79">
        <v>577</v>
      </c>
      <c r="B79">
        <f>INDEX(Coin1!$A:$D,MATCH(VLOOKUP(Coin2!$A79,Correspondance!$A:$B,2,FALSE),Coin1!$A:$A,0),2)</f>
        <v>10.939499999999999</v>
      </c>
      <c r="C79">
        <f>2*$I$2-INDEX(Coin1!$A:$D,MATCH(VLOOKUP(Coin2!$A79,Correspondance!$A:$B,2,FALSE),Coin1!$A:$A,0),3)</f>
        <v>93.01700000000001</v>
      </c>
      <c r="D79">
        <f>INDEX(Coin1!$A:$D,MATCH(VLOOKUP(Coin2!$A79,Correspondance!$A:$B,2,FALSE),Coin1!$A:$A,0),4)</f>
        <v>26.36</v>
      </c>
    </row>
    <row r="80" spans="1:4" x14ac:dyDescent="0.35">
      <c r="A80">
        <v>578</v>
      </c>
      <c r="B80">
        <f>INDEX(Coin1!$A:$D,MATCH(VLOOKUP(Coin2!$A80,Correspondance!$A:$B,2,FALSE),Coin1!$A:$A,0),2)</f>
        <v>2.4435000000000002</v>
      </c>
      <c r="C80">
        <f>2*$I$2-INDEX(Coin1!$A:$D,MATCH(VLOOKUP(Coin2!$A80,Correspondance!$A:$B,2,FALSE),Coin1!$A:$A,0),3)</f>
        <v>93.239000000000004</v>
      </c>
      <c r="D80">
        <f>INDEX(Coin1!$A:$D,MATCH(VLOOKUP(Coin2!$A80,Correspondance!$A:$B,2,FALSE),Coin1!$A:$A,0),4)</f>
        <v>26.36</v>
      </c>
    </row>
    <row r="81" spans="1:4" x14ac:dyDescent="0.35">
      <c r="A81">
        <v>579</v>
      </c>
      <c r="B81">
        <f>INDEX(Coin1!$A:$D,MATCH(VLOOKUP(Coin2!$A81,Correspondance!$A:$B,2,FALSE),Coin1!$A:$A,0),2)</f>
        <v>11.1615</v>
      </c>
      <c r="C81">
        <f>2*$I$2-INDEX(Coin1!$A:$D,MATCH(VLOOKUP(Coin2!$A81,Correspondance!$A:$B,2,FALSE),Coin1!$A:$A,0),3)</f>
        <v>93.239000000000004</v>
      </c>
      <c r="D81">
        <f>INDEX(Coin1!$A:$D,MATCH(VLOOKUP(Coin2!$A81,Correspondance!$A:$B,2,FALSE),Coin1!$A:$A,0),4)</f>
        <v>26.36</v>
      </c>
    </row>
    <row r="82" spans="1:4" x14ac:dyDescent="0.35">
      <c r="A82">
        <v>580</v>
      </c>
      <c r="B82">
        <f>INDEX(Coin1!$A:$D,MATCH(VLOOKUP(Coin2!$A82,Correspondance!$A:$B,2,FALSE),Coin1!$A:$A,0),2)</f>
        <v>-1.4</v>
      </c>
      <c r="C82">
        <f>2*$I$2-INDEX(Coin1!$A:$D,MATCH(VLOOKUP(Coin2!$A82,Correspondance!$A:$B,2,FALSE),Coin1!$A:$A,0),3)</f>
        <v>94.26700000000001</v>
      </c>
      <c r="D82">
        <f>INDEX(Coin1!$A:$D,MATCH(VLOOKUP(Coin2!$A82,Correspondance!$A:$B,2,FALSE),Coin1!$A:$A,0),4)</f>
        <v>26.36</v>
      </c>
    </row>
    <row r="83" spans="1:4" x14ac:dyDescent="0.35">
      <c r="A83">
        <v>581</v>
      </c>
      <c r="B83">
        <f>INDEX(Coin1!$A:$D,MATCH(VLOOKUP(Coin2!$A83,Correspondance!$A:$B,2,FALSE),Coin1!$A:$A,0),2)</f>
        <v>0</v>
      </c>
      <c r="C83">
        <f>2*$I$2-INDEX(Coin1!$A:$D,MATCH(VLOOKUP(Coin2!$A83,Correspondance!$A:$B,2,FALSE),Coin1!$A:$A,0),3)</f>
        <v>94.26700000000001</v>
      </c>
      <c r="D83">
        <f>INDEX(Coin1!$A:$D,MATCH(VLOOKUP(Coin2!$A83,Correspondance!$A:$B,2,FALSE),Coin1!$A:$A,0),4)</f>
        <v>26.36</v>
      </c>
    </row>
    <row r="84" spans="1:4" x14ac:dyDescent="0.35">
      <c r="A84">
        <v>582</v>
      </c>
      <c r="B84">
        <f>INDEX(Coin1!$A:$D,MATCH(VLOOKUP(Coin2!$A84,Correspondance!$A:$B,2,FALSE),Coin1!$A:$A,0),2)</f>
        <v>1.4155000000000006</v>
      </c>
      <c r="C84">
        <f>2*$I$2-INDEX(Coin1!$A:$D,MATCH(VLOOKUP(Coin2!$A84,Correspondance!$A:$B,2,FALSE),Coin1!$A:$A,0),3)</f>
        <v>94.26700000000001</v>
      </c>
      <c r="D84">
        <f>INDEX(Coin1!$A:$D,MATCH(VLOOKUP(Coin2!$A84,Correspondance!$A:$B,2,FALSE),Coin1!$A:$A,0),4)</f>
        <v>26.36</v>
      </c>
    </row>
    <row r="85" spans="1:4" x14ac:dyDescent="0.35">
      <c r="A85">
        <v>583</v>
      </c>
      <c r="B85">
        <f>INDEX(Coin1!$A:$D,MATCH(VLOOKUP(Coin2!$A85,Correspondance!$A:$B,2,FALSE),Coin1!$A:$A,0),2)</f>
        <v>12.189499999999999</v>
      </c>
      <c r="C85">
        <f>2*$I$2-INDEX(Coin1!$A:$D,MATCH(VLOOKUP(Coin2!$A85,Correspondance!$A:$B,2,FALSE),Coin1!$A:$A,0),3)</f>
        <v>94.26700000000001</v>
      </c>
      <c r="D85">
        <f>INDEX(Coin1!$A:$D,MATCH(VLOOKUP(Coin2!$A85,Correspondance!$A:$B,2,FALSE),Coin1!$A:$A,0),4)</f>
        <v>26.36</v>
      </c>
    </row>
    <row r="86" spans="1:4" x14ac:dyDescent="0.35">
      <c r="A86">
        <v>584</v>
      </c>
      <c r="B86">
        <f>INDEX(Coin1!$A:$D,MATCH(VLOOKUP(Coin2!$A86,Correspondance!$A:$B,2,FALSE),Coin1!$A:$A,0),2)</f>
        <v>0</v>
      </c>
      <c r="C86">
        <f>2*$I$2-INDEX(Coin1!$A:$D,MATCH(VLOOKUP(Coin2!$A86,Correspondance!$A:$B,2,FALSE),Coin1!$A:$A,0),3)</f>
        <v>94.905375537343389</v>
      </c>
      <c r="D86">
        <f>INDEX(Coin1!$A:$D,MATCH(VLOOKUP(Coin2!$A86,Correspondance!$A:$B,2,FALSE),Coin1!$A:$A,0),4)</f>
        <v>26.36</v>
      </c>
    </row>
    <row r="87" spans="1:4" x14ac:dyDescent="0.35">
      <c r="A87">
        <v>585</v>
      </c>
      <c r="B87">
        <f>INDEX(Coin1!$A:$D,MATCH(VLOOKUP(Coin2!$A87,Correspondance!$A:$B,2,FALSE),Coin1!$A:$A,0),2)</f>
        <v>13.605</v>
      </c>
      <c r="C87">
        <f>2*$I$2-INDEX(Coin1!$A:$D,MATCH(VLOOKUP(Coin2!$A87,Correspondance!$A:$B,2,FALSE),Coin1!$A:$A,0),3)</f>
        <v>94.905375537343389</v>
      </c>
      <c r="D87">
        <f>INDEX(Coin1!$A:$D,MATCH(VLOOKUP(Coin2!$A87,Correspondance!$A:$B,2,FALSE),Coin1!$A:$A,0),4)</f>
        <v>26.36</v>
      </c>
    </row>
    <row r="88" spans="1:4" x14ac:dyDescent="0.35">
      <c r="A88">
        <v>586</v>
      </c>
      <c r="B88">
        <f>INDEX(Coin1!$A:$D,MATCH(VLOOKUP(Coin2!$A88,Correspondance!$A:$B,2,FALSE),Coin1!$A:$A,0),2)</f>
        <v>6.8025000000000002</v>
      </c>
      <c r="C88">
        <f>2*$I$2-INDEX(Coin1!$A:$D,MATCH(VLOOKUP(Coin2!$A88,Correspondance!$A:$B,2,FALSE),Coin1!$A:$A,0),3)</f>
        <v>94.73</v>
      </c>
      <c r="D88">
        <f>INDEX(Coin1!$A:$D,MATCH(VLOOKUP(Coin2!$A88,Correspondance!$A:$B,2,FALSE),Coin1!$A:$A,0),4)</f>
        <v>26.36</v>
      </c>
    </row>
    <row r="89" spans="1:4" x14ac:dyDescent="0.35">
      <c r="A89">
        <v>587</v>
      </c>
      <c r="B89">
        <f>INDEX(Coin1!$A:$D,MATCH(VLOOKUP(Coin2!$A89,Correspondance!$A:$B,2,FALSE),Coin1!$A:$A,0),2)</f>
        <v>4.2488733879698692</v>
      </c>
      <c r="C89">
        <f>2*$I$2-INDEX(Coin1!$A:$D,MATCH(VLOOKUP(Coin2!$A89,Correspondance!$A:$B,2,FALSE),Coin1!$A:$A,0),3)</f>
        <v>95.045000000000002</v>
      </c>
      <c r="D89">
        <f>INDEX(Coin1!$A:$D,MATCH(VLOOKUP(Coin2!$A89,Correspondance!$A:$B,2,FALSE),Coin1!$A:$A,0),4)</f>
        <v>26.36</v>
      </c>
    </row>
    <row r="90" spans="1:4" x14ac:dyDescent="0.35">
      <c r="A90">
        <v>588</v>
      </c>
      <c r="B90">
        <f>INDEX(Coin1!$A:$D,MATCH(VLOOKUP(Coin2!$A90,Correspondance!$A:$B,2,FALSE),Coin1!$A:$A,0),2)</f>
        <v>6.8025000000000002</v>
      </c>
      <c r="C90">
        <f>2*$I$2-INDEX(Coin1!$A:$D,MATCH(VLOOKUP(Coin2!$A90,Correspondance!$A:$B,2,FALSE),Coin1!$A:$A,0),3)</f>
        <v>95.045000000000002</v>
      </c>
      <c r="D90">
        <f>INDEX(Coin1!$A:$D,MATCH(VLOOKUP(Coin2!$A90,Correspondance!$A:$B,2,FALSE),Coin1!$A:$A,0),4)</f>
        <v>26.36</v>
      </c>
    </row>
    <row r="91" spans="1:4" x14ac:dyDescent="0.35">
      <c r="A91">
        <v>589</v>
      </c>
      <c r="B91">
        <f>INDEX(Coin1!$A:$D,MATCH(VLOOKUP(Coin2!$A91,Correspondance!$A:$B,2,FALSE),Coin1!$A:$A,0),2)</f>
        <v>9.3561266120301312</v>
      </c>
      <c r="C91">
        <f>2*$I$2-INDEX(Coin1!$A:$D,MATCH(VLOOKUP(Coin2!$A91,Correspondance!$A:$B,2,FALSE),Coin1!$A:$A,0),3)</f>
        <v>95.045000000000002</v>
      </c>
      <c r="D91">
        <f>INDEX(Coin1!$A:$D,MATCH(VLOOKUP(Coin2!$A91,Correspondance!$A:$B,2,FALSE),Coin1!$A:$A,0),4)</f>
        <v>26.36</v>
      </c>
    </row>
    <row r="92" spans="1:4" x14ac:dyDescent="0.35">
      <c r="A92">
        <v>590</v>
      </c>
      <c r="B92">
        <f>INDEX(Coin1!$A:$D,MATCH(VLOOKUP(Coin2!$A92,Correspondance!$A:$B,2,FALSE),Coin1!$A:$A,0),2)</f>
        <v>-1.4</v>
      </c>
      <c r="C92">
        <f>2*$I$2-INDEX(Coin1!$A:$D,MATCH(VLOOKUP(Coin2!$A92,Correspondance!$A:$B,2,FALSE),Coin1!$A:$A,0),3)</f>
        <v>96.960000000000008</v>
      </c>
      <c r="D92">
        <f>INDEX(Coin1!$A:$D,MATCH(VLOOKUP(Coin2!$A92,Correspondance!$A:$B,2,FALSE),Coin1!$A:$A,0),4)</f>
        <v>26.36</v>
      </c>
    </row>
    <row r="93" spans="1:4" x14ac:dyDescent="0.35">
      <c r="A93">
        <v>591</v>
      </c>
      <c r="B93">
        <f>INDEX(Coin1!$A:$D,MATCH(VLOOKUP(Coin2!$A93,Correspondance!$A:$B,2,FALSE),Coin1!$A:$A,0),2)</f>
        <v>0</v>
      </c>
      <c r="C93">
        <f>2*$I$2-INDEX(Coin1!$A:$D,MATCH(VLOOKUP(Coin2!$A93,Correspondance!$A:$B,2,FALSE),Coin1!$A:$A,0),3)</f>
        <v>96.960000000000008</v>
      </c>
      <c r="D93">
        <f>INDEX(Coin1!$A:$D,MATCH(VLOOKUP(Coin2!$A93,Correspondance!$A:$B,2,FALSE),Coin1!$A:$A,0),4)</f>
        <v>26.36</v>
      </c>
    </row>
    <row r="94" spans="1:4" x14ac:dyDescent="0.35">
      <c r="A94">
        <v>592</v>
      </c>
      <c r="B94">
        <f>INDEX(Coin1!$A:$D,MATCH(VLOOKUP(Coin2!$A94,Correspondance!$A:$B,2,FALSE),Coin1!$A:$A,0),2)</f>
        <v>1.1200000000000001</v>
      </c>
      <c r="C94">
        <f>2*$I$2-INDEX(Coin1!$A:$D,MATCH(VLOOKUP(Coin2!$A94,Correspondance!$A:$B,2,FALSE),Coin1!$A:$A,0),3)</f>
        <v>96.960000000000008</v>
      </c>
      <c r="D94">
        <f>INDEX(Coin1!$A:$D,MATCH(VLOOKUP(Coin2!$A94,Correspondance!$A:$B,2,FALSE),Coin1!$A:$A,0),4)</f>
        <v>26.36</v>
      </c>
    </row>
    <row r="95" spans="1:4" x14ac:dyDescent="0.35">
      <c r="A95">
        <v>593</v>
      </c>
      <c r="B95">
        <f>INDEX(Coin1!$A:$D,MATCH(VLOOKUP(Coin2!$A95,Correspondance!$A:$B,2,FALSE),Coin1!$A:$A,0),2)</f>
        <v>2.0546244626566232</v>
      </c>
      <c r="C95">
        <f>2*$I$2-INDEX(Coin1!$A:$D,MATCH(VLOOKUP(Coin2!$A95,Correspondance!$A:$B,2,FALSE),Coin1!$A:$A,0),3)</f>
        <v>96.960000000000008</v>
      </c>
      <c r="D95">
        <f>INDEX(Coin1!$A:$D,MATCH(VLOOKUP(Coin2!$A95,Correspondance!$A:$B,2,FALSE),Coin1!$A:$A,0),4)</f>
        <v>26.36</v>
      </c>
    </row>
    <row r="96" spans="1:4" x14ac:dyDescent="0.35">
      <c r="A96">
        <v>594</v>
      </c>
      <c r="B96">
        <f>INDEX(Coin1!$A:$D,MATCH(VLOOKUP(Coin2!$A96,Correspondance!$A:$B,2,FALSE),Coin1!$A:$A,0),2)</f>
        <v>2.2379487298107779</v>
      </c>
      <c r="C96">
        <f>2*$I$2-INDEX(Coin1!$A:$D,MATCH(VLOOKUP(Coin2!$A96,Correspondance!$A:$B,2,FALSE),Coin1!$A:$A,0),3)</f>
        <v>96.960000000000008</v>
      </c>
      <c r="D96">
        <f>INDEX(Coin1!$A:$D,MATCH(VLOOKUP(Coin2!$A96,Correspondance!$A:$B,2,FALSE),Coin1!$A:$A,0),4)</f>
        <v>26.36</v>
      </c>
    </row>
    <row r="97" spans="1:4" x14ac:dyDescent="0.35">
      <c r="A97">
        <v>595</v>
      </c>
      <c r="B97">
        <f>INDEX(Coin1!$A:$D,MATCH(VLOOKUP(Coin2!$A97,Correspondance!$A:$B,2,FALSE),Coin1!$A:$A,0),2)</f>
        <v>3.357948729810778</v>
      </c>
      <c r="C97">
        <f>2*$I$2-INDEX(Coin1!$A:$D,MATCH(VLOOKUP(Coin2!$A97,Correspondance!$A:$B,2,FALSE),Coin1!$A:$A,0),3)</f>
        <v>96.960000000000008</v>
      </c>
      <c r="D97">
        <f>INDEX(Coin1!$A:$D,MATCH(VLOOKUP(Coin2!$A97,Correspondance!$A:$B,2,FALSE),Coin1!$A:$A,0),4)</f>
        <v>26.36</v>
      </c>
    </row>
    <row r="98" spans="1:4" x14ac:dyDescent="0.35">
      <c r="A98">
        <v>596</v>
      </c>
      <c r="B98">
        <f>INDEX(Coin1!$A:$D,MATCH(VLOOKUP(Coin2!$A98,Correspondance!$A:$B,2,FALSE),Coin1!$A:$A,0),2)</f>
        <v>4.1092489253132465</v>
      </c>
      <c r="C98">
        <f>2*$I$2-INDEX(Coin1!$A:$D,MATCH(VLOOKUP(Coin2!$A98,Correspondance!$A:$B,2,FALSE),Coin1!$A:$A,0),3)</f>
        <v>96.960000000000008</v>
      </c>
      <c r="D98">
        <f>INDEX(Coin1!$A:$D,MATCH(VLOOKUP(Coin2!$A98,Correspondance!$A:$B,2,FALSE),Coin1!$A:$A,0),4)</f>
        <v>26.36</v>
      </c>
    </row>
    <row r="99" spans="1:4" x14ac:dyDescent="0.35">
      <c r="A99">
        <v>597</v>
      </c>
      <c r="B99">
        <f>INDEX(Coin1!$A:$D,MATCH(VLOOKUP(Coin2!$A99,Correspondance!$A:$B,2,FALSE),Coin1!$A:$A,0),2)</f>
        <v>4.2979487298107779</v>
      </c>
      <c r="C99">
        <f>2*$I$2-INDEX(Coin1!$A:$D,MATCH(VLOOKUP(Coin2!$A99,Correspondance!$A:$B,2,FALSE),Coin1!$A:$A,0),3)</f>
        <v>96.960000000000008</v>
      </c>
      <c r="D99">
        <f>INDEX(Coin1!$A:$D,MATCH(VLOOKUP(Coin2!$A99,Correspondance!$A:$B,2,FALSE),Coin1!$A:$A,0),4)</f>
        <v>26.36</v>
      </c>
    </row>
    <row r="100" spans="1:4" x14ac:dyDescent="0.35">
      <c r="A100">
        <v>598</v>
      </c>
      <c r="B100">
        <f>INDEX(Coin1!$A:$D,MATCH(VLOOKUP(Coin2!$A100,Correspondance!$A:$B,2,FALSE),Coin1!$A:$A,0),2)</f>
        <v>5.2475000000000005</v>
      </c>
      <c r="C100">
        <f>2*$I$2-INDEX(Coin1!$A:$D,MATCH(VLOOKUP(Coin2!$A100,Correspondance!$A:$B,2,FALSE),Coin1!$A:$A,0),3)</f>
        <v>96.960000000000008</v>
      </c>
      <c r="D100">
        <f>INDEX(Coin1!$A:$D,MATCH(VLOOKUP(Coin2!$A100,Correspondance!$A:$B,2,FALSE),Coin1!$A:$A,0),4)</f>
        <v>26.36</v>
      </c>
    </row>
    <row r="101" spans="1:4" x14ac:dyDescent="0.35">
      <c r="A101">
        <v>599</v>
      </c>
      <c r="B101">
        <f>INDEX(Coin1!$A:$D,MATCH(VLOOKUP(Coin2!$A101,Correspondance!$A:$B,2,FALSE),Coin1!$A:$A,0),2)</f>
        <v>6.1638733879698702</v>
      </c>
      <c r="C101">
        <f>2*$I$2-INDEX(Coin1!$A:$D,MATCH(VLOOKUP(Coin2!$A101,Correspondance!$A:$B,2,FALSE),Coin1!$A:$A,0),3)</f>
        <v>96.960000000000008</v>
      </c>
      <c r="D101">
        <f>INDEX(Coin1!$A:$D,MATCH(VLOOKUP(Coin2!$A101,Correspondance!$A:$B,2,FALSE),Coin1!$A:$A,0),4)</f>
        <v>26.36</v>
      </c>
    </row>
    <row r="102" spans="1:4" x14ac:dyDescent="0.35">
      <c r="A102">
        <v>600</v>
      </c>
      <c r="B102">
        <f>INDEX(Coin1!$A:$D,MATCH(VLOOKUP(Coin2!$A102,Correspondance!$A:$B,2,FALSE),Coin1!$A:$A,0),2)</f>
        <v>5.9525000000000006</v>
      </c>
      <c r="C102">
        <f>2*$I$2-INDEX(Coin1!$A:$D,MATCH(VLOOKUP(Coin2!$A102,Correspondance!$A:$B,2,FALSE),Coin1!$A:$A,0),3)</f>
        <v>96.960000000000008</v>
      </c>
      <c r="D102">
        <f>INDEX(Coin1!$A:$D,MATCH(VLOOKUP(Coin2!$A102,Correspondance!$A:$B,2,FALSE),Coin1!$A:$A,0),4)</f>
        <v>26.36</v>
      </c>
    </row>
    <row r="103" spans="1:4" x14ac:dyDescent="0.35">
      <c r="A103">
        <v>601</v>
      </c>
      <c r="B103">
        <f>INDEX(Coin1!$A:$D,MATCH(VLOOKUP(Coin2!$A103,Correspondance!$A:$B,2,FALSE),Coin1!$A:$A,0),2)</f>
        <v>6.1875</v>
      </c>
      <c r="C103">
        <f>2*$I$2-INDEX(Coin1!$A:$D,MATCH(VLOOKUP(Coin2!$A103,Correspondance!$A:$B,2,FALSE),Coin1!$A:$A,0),3)</f>
        <v>96.960000000000008</v>
      </c>
      <c r="D103">
        <f>INDEX(Coin1!$A:$D,MATCH(VLOOKUP(Coin2!$A103,Correspondance!$A:$B,2,FALSE),Coin1!$A:$A,0),4)</f>
        <v>26.36</v>
      </c>
    </row>
    <row r="104" spans="1:4" x14ac:dyDescent="0.35">
      <c r="A104">
        <v>602</v>
      </c>
      <c r="B104">
        <f>INDEX(Coin1!$A:$D,MATCH(VLOOKUP(Coin2!$A104,Correspondance!$A:$B,2,FALSE),Coin1!$A:$A,0),2)</f>
        <v>6.8025000000000002</v>
      </c>
      <c r="C104">
        <f>2*$I$2-INDEX(Coin1!$A:$D,MATCH(VLOOKUP(Coin2!$A104,Correspondance!$A:$B,2,FALSE),Coin1!$A:$A,0),3)</f>
        <v>96.960000000000008</v>
      </c>
      <c r="D104">
        <f>INDEX(Coin1!$A:$D,MATCH(VLOOKUP(Coin2!$A104,Correspondance!$A:$B,2,FALSE),Coin1!$A:$A,0),4)</f>
        <v>26.36</v>
      </c>
    </row>
    <row r="105" spans="1:4" x14ac:dyDescent="0.35">
      <c r="A105">
        <v>603</v>
      </c>
      <c r="B105">
        <f>INDEX(Coin1!$A:$D,MATCH(VLOOKUP(Coin2!$A105,Correspondance!$A:$B,2,FALSE),Coin1!$A:$A,0),2)</f>
        <v>7.4175000000000004</v>
      </c>
      <c r="C105">
        <f>2*$I$2-INDEX(Coin1!$A:$D,MATCH(VLOOKUP(Coin2!$A105,Correspondance!$A:$B,2,FALSE),Coin1!$A:$A,0),3)</f>
        <v>96.960000000000008</v>
      </c>
      <c r="D105">
        <f>INDEX(Coin1!$A:$D,MATCH(VLOOKUP(Coin2!$A105,Correspondance!$A:$B,2,FALSE),Coin1!$A:$A,0),4)</f>
        <v>26.36</v>
      </c>
    </row>
    <row r="106" spans="1:4" x14ac:dyDescent="0.35">
      <c r="A106">
        <v>604</v>
      </c>
      <c r="B106">
        <f>INDEX(Coin1!$A:$D,MATCH(VLOOKUP(Coin2!$A106,Correspondance!$A:$B,2,FALSE),Coin1!$A:$A,0),2)</f>
        <v>7.6524999999999999</v>
      </c>
      <c r="C106">
        <f>2*$I$2-INDEX(Coin1!$A:$D,MATCH(VLOOKUP(Coin2!$A106,Correspondance!$A:$B,2,FALSE),Coin1!$A:$A,0),3)</f>
        <v>96.960000000000008</v>
      </c>
      <c r="D106">
        <f>INDEX(Coin1!$A:$D,MATCH(VLOOKUP(Coin2!$A106,Correspondance!$A:$B,2,FALSE),Coin1!$A:$A,0),4)</f>
        <v>26.36</v>
      </c>
    </row>
    <row r="107" spans="1:4" x14ac:dyDescent="0.35">
      <c r="A107">
        <v>605</v>
      </c>
      <c r="B107">
        <f>INDEX(Coin1!$A:$D,MATCH(VLOOKUP(Coin2!$A107,Correspondance!$A:$B,2,FALSE),Coin1!$A:$A,0),2)</f>
        <v>7.441126612030132</v>
      </c>
      <c r="C107">
        <f>2*$I$2-INDEX(Coin1!$A:$D,MATCH(VLOOKUP(Coin2!$A107,Correspondance!$A:$B,2,FALSE),Coin1!$A:$A,0),3)</f>
        <v>96.960000000000008</v>
      </c>
      <c r="D107">
        <f>INDEX(Coin1!$A:$D,MATCH(VLOOKUP(Coin2!$A107,Correspondance!$A:$B,2,FALSE),Coin1!$A:$A,0),4)</f>
        <v>26.36</v>
      </c>
    </row>
    <row r="108" spans="1:4" x14ac:dyDescent="0.35">
      <c r="A108">
        <v>606</v>
      </c>
      <c r="B108">
        <f>INDEX(Coin1!$A:$D,MATCH(VLOOKUP(Coin2!$A108,Correspondance!$A:$B,2,FALSE),Coin1!$A:$A,0),2)</f>
        <v>8.3574999999999999</v>
      </c>
      <c r="C108">
        <f>2*$I$2-INDEX(Coin1!$A:$D,MATCH(VLOOKUP(Coin2!$A108,Correspondance!$A:$B,2,FALSE),Coin1!$A:$A,0),3)</f>
        <v>96.960000000000008</v>
      </c>
      <c r="D108">
        <f>INDEX(Coin1!$A:$D,MATCH(VLOOKUP(Coin2!$A108,Correspondance!$A:$B,2,FALSE),Coin1!$A:$A,0),4)</f>
        <v>26.36</v>
      </c>
    </row>
    <row r="109" spans="1:4" x14ac:dyDescent="0.35">
      <c r="A109">
        <v>607</v>
      </c>
      <c r="B109">
        <f>INDEX(Coin1!$A:$D,MATCH(VLOOKUP(Coin2!$A109,Correspondance!$A:$B,2,FALSE),Coin1!$A:$A,0),2)</f>
        <v>9.3070512701892234</v>
      </c>
      <c r="C109">
        <f>2*$I$2-INDEX(Coin1!$A:$D,MATCH(VLOOKUP(Coin2!$A109,Correspondance!$A:$B,2,FALSE),Coin1!$A:$A,0),3)</f>
        <v>96.960000000000008</v>
      </c>
      <c r="D109">
        <f>INDEX(Coin1!$A:$D,MATCH(VLOOKUP(Coin2!$A109,Correspondance!$A:$B,2,FALSE),Coin1!$A:$A,0),4)</f>
        <v>26.36</v>
      </c>
    </row>
    <row r="110" spans="1:4" x14ac:dyDescent="0.35">
      <c r="A110">
        <v>608</v>
      </c>
      <c r="B110">
        <f>INDEX(Coin1!$A:$D,MATCH(VLOOKUP(Coin2!$A110,Correspondance!$A:$B,2,FALSE),Coin1!$A:$A,0),2)</f>
        <v>9.4957510746867548</v>
      </c>
      <c r="C110">
        <f>2*$I$2-INDEX(Coin1!$A:$D,MATCH(VLOOKUP(Coin2!$A110,Correspondance!$A:$B,2,FALSE),Coin1!$A:$A,0),3)</f>
        <v>96.960000000000008</v>
      </c>
      <c r="D110">
        <f>INDEX(Coin1!$A:$D,MATCH(VLOOKUP(Coin2!$A110,Correspondance!$A:$B,2,FALSE),Coin1!$A:$A,0),4)</f>
        <v>26.36</v>
      </c>
    </row>
    <row r="111" spans="1:4" x14ac:dyDescent="0.35">
      <c r="A111">
        <v>609</v>
      </c>
      <c r="B111">
        <f>INDEX(Coin1!$A:$D,MATCH(VLOOKUP(Coin2!$A111,Correspondance!$A:$B,2,FALSE),Coin1!$A:$A,0),2)</f>
        <v>10.247051270189223</v>
      </c>
      <c r="C111">
        <f>2*$I$2-INDEX(Coin1!$A:$D,MATCH(VLOOKUP(Coin2!$A111,Correspondance!$A:$B,2,FALSE),Coin1!$A:$A,0),3)</f>
        <v>96.960000000000008</v>
      </c>
      <c r="D111">
        <f>INDEX(Coin1!$A:$D,MATCH(VLOOKUP(Coin2!$A111,Correspondance!$A:$B,2,FALSE),Coin1!$A:$A,0),4)</f>
        <v>26.36</v>
      </c>
    </row>
    <row r="112" spans="1:4" x14ac:dyDescent="0.35">
      <c r="A112">
        <v>610</v>
      </c>
      <c r="B112">
        <f>INDEX(Coin1!$A:$D,MATCH(VLOOKUP(Coin2!$A112,Correspondance!$A:$B,2,FALSE),Coin1!$A:$A,0),2)</f>
        <v>11.367051270189224</v>
      </c>
      <c r="C112">
        <f>2*$I$2-INDEX(Coin1!$A:$D,MATCH(VLOOKUP(Coin2!$A112,Correspondance!$A:$B,2,FALSE),Coin1!$A:$A,0),3)</f>
        <v>96.960000000000008</v>
      </c>
      <c r="D112">
        <f>INDEX(Coin1!$A:$D,MATCH(VLOOKUP(Coin2!$A112,Correspondance!$A:$B,2,FALSE),Coin1!$A:$A,0),4)</f>
        <v>26.36</v>
      </c>
    </row>
    <row r="113" spans="1:4" x14ac:dyDescent="0.35">
      <c r="A113">
        <v>611</v>
      </c>
      <c r="B113">
        <f>INDEX(Coin1!$A:$D,MATCH(VLOOKUP(Coin2!$A113,Correspondance!$A:$B,2,FALSE),Coin1!$A:$A,0),2)</f>
        <v>11.550375537343378</v>
      </c>
      <c r="C113">
        <f>2*$I$2-INDEX(Coin1!$A:$D,MATCH(VLOOKUP(Coin2!$A113,Correspondance!$A:$B,2,FALSE),Coin1!$A:$A,0),3)</f>
        <v>96.960000000000008</v>
      </c>
      <c r="D113">
        <f>INDEX(Coin1!$A:$D,MATCH(VLOOKUP(Coin2!$A113,Correspondance!$A:$B,2,FALSE),Coin1!$A:$A,0),4)</f>
        <v>26.36</v>
      </c>
    </row>
    <row r="114" spans="1:4" x14ac:dyDescent="0.35">
      <c r="A114">
        <v>612</v>
      </c>
      <c r="B114">
        <f>INDEX(Coin1!$A:$D,MATCH(VLOOKUP(Coin2!$A114,Correspondance!$A:$B,2,FALSE),Coin1!$A:$A,0),2)</f>
        <v>12.484999999999999</v>
      </c>
      <c r="C114">
        <f>2*$I$2-INDEX(Coin1!$A:$D,MATCH(VLOOKUP(Coin2!$A114,Correspondance!$A:$B,2,FALSE),Coin1!$A:$A,0),3)</f>
        <v>96.960000000000008</v>
      </c>
      <c r="D114">
        <f>INDEX(Coin1!$A:$D,MATCH(VLOOKUP(Coin2!$A114,Correspondance!$A:$B,2,FALSE),Coin1!$A:$A,0),4)</f>
        <v>26.36</v>
      </c>
    </row>
    <row r="115" spans="1:4" x14ac:dyDescent="0.35">
      <c r="A115">
        <v>613</v>
      </c>
      <c r="B115">
        <f>INDEX(Coin1!$A:$D,MATCH(VLOOKUP(Coin2!$A115,Correspondance!$A:$B,2,FALSE),Coin1!$A:$A,0),2)</f>
        <v>13.605</v>
      </c>
      <c r="C115">
        <f>2*$I$2-INDEX(Coin1!$A:$D,MATCH(VLOOKUP(Coin2!$A115,Correspondance!$A:$B,2,FALSE),Coin1!$A:$A,0),3)</f>
        <v>96.960000000000008</v>
      </c>
      <c r="D115">
        <f>INDEX(Coin1!$A:$D,MATCH(VLOOKUP(Coin2!$A115,Correspondance!$A:$B,2,FALSE),Coin1!$A:$A,0),4)</f>
        <v>26.36</v>
      </c>
    </row>
    <row r="116" spans="1:4" x14ac:dyDescent="0.35">
      <c r="A116">
        <v>614</v>
      </c>
      <c r="B116">
        <f>INDEX(Coin1!$A:$D,MATCH(VLOOKUP(Coin2!$A116,Correspondance!$A:$B,2,FALSE),Coin1!$A:$A,0),2)</f>
        <v>-1.4</v>
      </c>
      <c r="C116">
        <f>2*$I$2-INDEX(Coin1!$A:$D,MATCH(VLOOKUP(Coin2!$A116,Correspondance!$A:$B,2,FALSE),Coin1!$A:$A,0),3)</f>
        <v>97.31</v>
      </c>
      <c r="D116">
        <f>INDEX(Coin1!$A:$D,MATCH(VLOOKUP(Coin2!$A116,Correspondance!$A:$B,2,FALSE),Coin1!$A:$A,0),4)</f>
        <v>26.36</v>
      </c>
    </row>
    <row r="117" spans="1:4" x14ac:dyDescent="0.35">
      <c r="A117">
        <v>615</v>
      </c>
      <c r="B117">
        <f>INDEX(Coin1!$A:$D,MATCH(VLOOKUP(Coin2!$A117,Correspondance!$A:$B,2,FALSE),Coin1!$A:$A,0),2)</f>
        <v>0</v>
      </c>
      <c r="C117">
        <f>2*$I$2-INDEX(Coin1!$A:$D,MATCH(VLOOKUP(Coin2!$A117,Correspondance!$A:$B,2,FALSE),Coin1!$A:$A,0),3)</f>
        <v>97.31</v>
      </c>
      <c r="D117">
        <f>INDEX(Coin1!$A:$D,MATCH(VLOOKUP(Coin2!$A117,Correspondance!$A:$B,2,FALSE),Coin1!$A:$A,0),4)</f>
        <v>26.36</v>
      </c>
    </row>
    <row r="118" spans="1:4" x14ac:dyDescent="0.35">
      <c r="A118">
        <v>616</v>
      </c>
      <c r="B118">
        <f>INDEX(Coin1!$A:$D,MATCH(VLOOKUP(Coin2!$A118,Correspondance!$A:$B,2,FALSE),Coin1!$A:$A,0),2)</f>
        <v>3.357948729810778</v>
      </c>
      <c r="C118">
        <f>2*$I$2-INDEX(Coin1!$A:$D,MATCH(VLOOKUP(Coin2!$A118,Correspondance!$A:$B,2,FALSE),Coin1!$A:$A,0),3)</f>
        <v>97.31</v>
      </c>
      <c r="D118">
        <f>INDEX(Coin1!$A:$D,MATCH(VLOOKUP(Coin2!$A118,Correspondance!$A:$B,2,FALSE),Coin1!$A:$A,0),4)</f>
        <v>26.36</v>
      </c>
    </row>
    <row r="119" spans="1:4" x14ac:dyDescent="0.35">
      <c r="A119">
        <v>617</v>
      </c>
      <c r="B119">
        <f>INDEX(Coin1!$A:$D,MATCH(VLOOKUP(Coin2!$A119,Correspondance!$A:$B,2,FALSE),Coin1!$A:$A,0),2)</f>
        <v>6.1875</v>
      </c>
      <c r="C119">
        <f>2*$I$2-INDEX(Coin1!$A:$D,MATCH(VLOOKUP(Coin2!$A119,Correspondance!$A:$B,2,FALSE),Coin1!$A:$A,0),3)</f>
        <v>97.31</v>
      </c>
      <c r="D119">
        <f>INDEX(Coin1!$A:$D,MATCH(VLOOKUP(Coin2!$A119,Correspondance!$A:$B,2,FALSE),Coin1!$A:$A,0),4)</f>
        <v>26.36</v>
      </c>
    </row>
    <row r="120" spans="1:4" x14ac:dyDescent="0.35">
      <c r="A120">
        <v>618</v>
      </c>
      <c r="B120">
        <f>INDEX(Coin1!$A:$D,MATCH(VLOOKUP(Coin2!$A120,Correspondance!$A:$B,2,FALSE),Coin1!$A:$A,0),2)</f>
        <v>7.4175000000000004</v>
      </c>
      <c r="C120">
        <f>2*$I$2-INDEX(Coin1!$A:$D,MATCH(VLOOKUP(Coin2!$A120,Correspondance!$A:$B,2,FALSE),Coin1!$A:$A,0),3)</f>
        <v>97.31</v>
      </c>
      <c r="D120">
        <f>INDEX(Coin1!$A:$D,MATCH(VLOOKUP(Coin2!$A120,Correspondance!$A:$B,2,FALSE),Coin1!$A:$A,0),4)</f>
        <v>26.36</v>
      </c>
    </row>
    <row r="121" spans="1:4" x14ac:dyDescent="0.35">
      <c r="A121">
        <v>619</v>
      </c>
      <c r="B121">
        <f>INDEX(Coin1!$A:$D,MATCH(VLOOKUP(Coin2!$A121,Correspondance!$A:$B,2,FALSE),Coin1!$A:$A,0),2)</f>
        <v>10.247051270189223</v>
      </c>
      <c r="C121">
        <f>2*$I$2-INDEX(Coin1!$A:$D,MATCH(VLOOKUP(Coin2!$A121,Correspondance!$A:$B,2,FALSE),Coin1!$A:$A,0),3)</f>
        <v>97.31</v>
      </c>
      <c r="D121">
        <f>INDEX(Coin1!$A:$D,MATCH(VLOOKUP(Coin2!$A121,Correspondance!$A:$B,2,FALSE),Coin1!$A:$A,0),4)</f>
        <v>26.36</v>
      </c>
    </row>
    <row r="122" spans="1:4" x14ac:dyDescent="0.35">
      <c r="A122">
        <v>620</v>
      </c>
      <c r="B122">
        <f>INDEX(Coin1!$A:$D,MATCH(VLOOKUP(Coin2!$A122,Correspondance!$A:$B,2,FALSE),Coin1!$A:$A,0),2)</f>
        <v>-1.4</v>
      </c>
      <c r="C122">
        <f>2*$I$2-INDEX(Coin1!$A:$D,MATCH(VLOOKUP(Coin2!$A122,Correspondance!$A:$B,2,FALSE),Coin1!$A:$A,0),3)</f>
        <v>98.56</v>
      </c>
      <c r="D122">
        <f>INDEX(Coin1!$A:$D,MATCH(VLOOKUP(Coin2!$A122,Correspondance!$A:$B,2,FALSE),Coin1!$A:$A,0),4)</f>
        <v>26.36</v>
      </c>
    </row>
    <row r="123" spans="1:4" x14ac:dyDescent="0.35">
      <c r="A123">
        <v>621</v>
      </c>
      <c r="B123">
        <f>INDEX(Coin1!$A:$D,MATCH(VLOOKUP(Coin2!$A123,Correspondance!$A:$B,2,FALSE),Coin1!$A:$A,0),2)</f>
        <v>0</v>
      </c>
      <c r="C123">
        <f>2*$I$2-INDEX(Coin1!$A:$D,MATCH(VLOOKUP(Coin2!$A123,Correspondance!$A:$B,2,FALSE),Coin1!$A:$A,0),3)</f>
        <v>98.56</v>
      </c>
      <c r="D123">
        <f>INDEX(Coin1!$A:$D,MATCH(VLOOKUP(Coin2!$A123,Correspondance!$A:$B,2,FALSE),Coin1!$A:$A,0),4)</f>
        <v>26.36</v>
      </c>
    </row>
    <row r="124" spans="1:4" x14ac:dyDescent="0.35">
      <c r="A124">
        <v>622</v>
      </c>
      <c r="B124">
        <f>INDEX(Coin1!$A:$D,MATCH(VLOOKUP(Coin2!$A124,Correspondance!$A:$B,2,FALSE),Coin1!$A:$A,0),2)</f>
        <v>1.1200000000000001</v>
      </c>
      <c r="C124">
        <f>2*$I$2-INDEX(Coin1!$A:$D,MATCH(VLOOKUP(Coin2!$A124,Correspondance!$A:$B,2,FALSE),Coin1!$A:$A,0),3)</f>
        <v>98.56</v>
      </c>
      <c r="D124">
        <f>INDEX(Coin1!$A:$D,MATCH(VLOOKUP(Coin2!$A124,Correspondance!$A:$B,2,FALSE),Coin1!$A:$A,0),4)</f>
        <v>26.36</v>
      </c>
    </row>
    <row r="125" spans="1:4" x14ac:dyDescent="0.35">
      <c r="A125">
        <v>623</v>
      </c>
      <c r="B125">
        <f>INDEX(Coin1!$A:$D,MATCH(VLOOKUP(Coin2!$A125,Correspondance!$A:$B,2,FALSE),Coin1!$A:$A,0),2)</f>
        <v>2.2379487298107779</v>
      </c>
      <c r="C125">
        <f>2*$I$2-INDEX(Coin1!$A:$D,MATCH(VLOOKUP(Coin2!$A125,Correspondance!$A:$B,2,FALSE),Coin1!$A:$A,0),3)</f>
        <v>98.56</v>
      </c>
      <c r="D125">
        <f>INDEX(Coin1!$A:$D,MATCH(VLOOKUP(Coin2!$A125,Correspondance!$A:$B,2,FALSE),Coin1!$A:$A,0),4)</f>
        <v>26.36</v>
      </c>
    </row>
    <row r="126" spans="1:4" x14ac:dyDescent="0.35">
      <c r="A126">
        <v>624</v>
      </c>
      <c r="B126">
        <f>INDEX(Coin1!$A:$D,MATCH(VLOOKUP(Coin2!$A126,Correspondance!$A:$B,2,FALSE),Coin1!$A:$A,0),2)</f>
        <v>3.357948729810778</v>
      </c>
      <c r="C126">
        <f>2*$I$2-INDEX(Coin1!$A:$D,MATCH(VLOOKUP(Coin2!$A126,Correspondance!$A:$B,2,FALSE),Coin1!$A:$A,0),3)</f>
        <v>98.56</v>
      </c>
      <c r="D126">
        <f>INDEX(Coin1!$A:$D,MATCH(VLOOKUP(Coin2!$A126,Correspondance!$A:$B,2,FALSE),Coin1!$A:$A,0),4)</f>
        <v>26.36</v>
      </c>
    </row>
    <row r="127" spans="1:4" x14ac:dyDescent="0.35">
      <c r="A127">
        <v>625</v>
      </c>
      <c r="B127">
        <f>INDEX(Coin1!$A:$D,MATCH(VLOOKUP(Coin2!$A127,Correspondance!$A:$B,2,FALSE),Coin1!$A:$A,0),2)</f>
        <v>4.2979487298107779</v>
      </c>
      <c r="C127">
        <f>2*$I$2-INDEX(Coin1!$A:$D,MATCH(VLOOKUP(Coin2!$A127,Correspondance!$A:$B,2,FALSE),Coin1!$A:$A,0),3)</f>
        <v>98.56</v>
      </c>
      <c r="D127">
        <f>INDEX(Coin1!$A:$D,MATCH(VLOOKUP(Coin2!$A127,Correspondance!$A:$B,2,FALSE),Coin1!$A:$A,0),4)</f>
        <v>26.36</v>
      </c>
    </row>
    <row r="128" spans="1:4" x14ac:dyDescent="0.35">
      <c r="A128">
        <v>626</v>
      </c>
      <c r="B128">
        <f>INDEX(Coin1!$A:$D,MATCH(VLOOKUP(Coin2!$A128,Correspondance!$A:$B,2,FALSE),Coin1!$A:$A,0),2)</f>
        <v>5.2475000000000005</v>
      </c>
      <c r="C128">
        <f>2*$I$2-INDEX(Coin1!$A:$D,MATCH(VLOOKUP(Coin2!$A128,Correspondance!$A:$B,2,FALSE),Coin1!$A:$A,0),3)</f>
        <v>98.56</v>
      </c>
      <c r="D128">
        <f>INDEX(Coin1!$A:$D,MATCH(VLOOKUP(Coin2!$A128,Correspondance!$A:$B,2,FALSE),Coin1!$A:$A,0),4)</f>
        <v>26.36</v>
      </c>
    </row>
    <row r="129" spans="1:4" x14ac:dyDescent="0.35">
      <c r="A129">
        <v>627</v>
      </c>
      <c r="B129">
        <f>INDEX(Coin1!$A:$D,MATCH(VLOOKUP(Coin2!$A129,Correspondance!$A:$B,2,FALSE),Coin1!$A:$A,0),2)</f>
        <v>6.1875</v>
      </c>
      <c r="C129">
        <f>2*$I$2-INDEX(Coin1!$A:$D,MATCH(VLOOKUP(Coin2!$A129,Correspondance!$A:$B,2,FALSE),Coin1!$A:$A,0),3)</f>
        <v>98.56</v>
      </c>
      <c r="D129">
        <f>INDEX(Coin1!$A:$D,MATCH(VLOOKUP(Coin2!$A129,Correspondance!$A:$B,2,FALSE),Coin1!$A:$A,0),4)</f>
        <v>26.36</v>
      </c>
    </row>
    <row r="130" spans="1:4" x14ac:dyDescent="0.35">
      <c r="A130">
        <v>628</v>
      </c>
      <c r="B130">
        <f>INDEX(Coin1!$A:$D,MATCH(VLOOKUP(Coin2!$A130,Correspondance!$A:$B,2,FALSE),Coin1!$A:$A,0),2)</f>
        <v>7.4175000000000004</v>
      </c>
      <c r="C130">
        <f>2*$I$2-INDEX(Coin1!$A:$D,MATCH(VLOOKUP(Coin2!$A130,Correspondance!$A:$B,2,FALSE),Coin1!$A:$A,0),3)</f>
        <v>98.56</v>
      </c>
      <c r="D130">
        <f>INDEX(Coin1!$A:$D,MATCH(VLOOKUP(Coin2!$A130,Correspondance!$A:$B,2,FALSE),Coin1!$A:$A,0),4)</f>
        <v>26.36</v>
      </c>
    </row>
    <row r="131" spans="1:4" x14ac:dyDescent="0.35">
      <c r="A131">
        <v>629</v>
      </c>
      <c r="B131">
        <f>INDEX(Coin1!$A:$D,MATCH(VLOOKUP(Coin2!$A131,Correspondance!$A:$B,2,FALSE),Coin1!$A:$A,0),2)</f>
        <v>8.3574999999999999</v>
      </c>
      <c r="C131">
        <f>2*$I$2-INDEX(Coin1!$A:$D,MATCH(VLOOKUP(Coin2!$A131,Correspondance!$A:$B,2,FALSE),Coin1!$A:$A,0),3)</f>
        <v>98.56</v>
      </c>
      <c r="D131">
        <f>INDEX(Coin1!$A:$D,MATCH(VLOOKUP(Coin2!$A131,Correspondance!$A:$B,2,FALSE),Coin1!$A:$A,0),4)</f>
        <v>26.36</v>
      </c>
    </row>
    <row r="132" spans="1:4" x14ac:dyDescent="0.35">
      <c r="A132">
        <v>630</v>
      </c>
      <c r="B132">
        <f>INDEX(Coin1!$A:$D,MATCH(VLOOKUP(Coin2!$A132,Correspondance!$A:$B,2,FALSE),Coin1!$A:$A,0),2)</f>
        <v>9.3070512701892234</v>
      </c>
      <c r="C132">
        <f>2*$I$2-INDEX(Coin1!$A:$D,MATCH(VLOOKUP(Coin2!$A132,Correspondance!$A:$B,2,FALSE),Coin1!$A:$A,0),3)</f>
        <v>98.56</v>
      </c>
      <c r="D132">
        <f>INDEX(Coin1!$A:$D,MATCH(VLOOKUP(Coin2!$A132,Correspondance!$A:$B,2,FALSE),Coin1!$A:$A,0),4)</f>
        <v>26.36</v>
      </c>
    </row>
    <row r="133" spans="1:4" x14ac:dyDescent="0.35">
      <c r="A133">
        <v>631</v>
      </c>
      <c r="B133">
        <f>INDEX(Coin1!$A:$D,MATCH(VLOOKUP(Coin2!$A133,Correspondance!$A:$B,2,FALSE),Coin1!$A:$A,0),2)</f>
        <v>10.247051270189223</v>
      </c>
      <c r="C133">
        <f>2*$I$2-INDEX(Coin1!$A:$D,MATCH(VLOOKUP(Coin2!$A133,Correspondance!$A:$B,2,FALSE),Coin1!$A:$A,0),3)</f>
        <v>98.56</v>
      </c>
      <c r="D133">
        <f>INDEX(Coin1!$A:$D,MATCH(VLOOKUP(Coin2!$A133,Correspondance!$A:$B,2,FALSE),Coin1!$A:$A,0),4)</f>
        <v>26.36</v>
      </c>
    </row>
    <row r="134" spans="1:4" x14ac:dyDescent="0.35">
      <c r="A134">
        <v>632</v>
      </c>
      <c r="B134">
        <f>INDEX(Coin1!$A:$D,MATCH(VLOOKUP(Coin2!$A134,Correspondance!$A:$B,2,FALSE),Coin1!$A:$A,0),2)</f>
        <v>11.367051270189224</v>
      </c>
      <c r="C134">
        <f>2*$I$2-INDEX(Coin1!$A:$D,MATCH(VLOOKUP(Coin2!$A134,Correspondance!$A:$B,2,FALSE),Coin1!$A:$A,0),3)</f>
        <v>98.56</v>
      </c>
      <c r="D134">
        <f>INDEX(Coin1!$A:$D,MATCH(VLOOKUP(Coin2!$A134,Correspondance!$A:$B,2,FALSE),Coin1!$A:$A,0),4)</f>
        <v>26.36</v>
      </c>
    </row>
    <row r="135" spans="1:4" x14ac:dyDescent="0.35">
      <c r="A135">
        <v>633</v>
      </c>
      <c r="B135">
        <f>INDEX(Coin1!$A:$D,MATCH(VLOOKUP(Coin2!$A135,Correspondance!$A:$B,2,FALSE),Coin1!$A:$A,0),2)</f>
        <v>12.484999999999999</v>
      </c>
      <c r="C135">
        <f>2*$I$2-INDEX(Coin1!$A:$D,MATCH(VLOOKUP(Coin2!$A135,Correspondance!$A:$B,2,FALSE),Coin1!$A:$A,0),3)</f>
        <v>98.56</v>
      </c>
      <c r="D135">
        <f>INDEX(Coin1!$A:$D,MATCH(VLOOKUP(Coin2!$A135,Correspondance!$A:$B,2,FALSE),Coin1!$A:$A,0),4)</f>
        <v>26.36</v>
      </c>
    </row>
    <row r="136" spans="1:4" x14ac:dyDescent="0.35">
      <c r="A136">
        <v>634</v>
      </c>
      <c r="B136">
        <f>INDEX(Coin1!$A:$D,MATCH(VLOOKUP(Coin2!$A136,Correspondance!$A:$B,2,FALSE),Coin1!$A:$A,0),2)</f>
        <v>13.605</v>
      </c>
      <c r="C136">
        <f>2*$I$2-INDEX(Coin1!$A:$D,MATCH(VLOOKUP(Coin2!$A136,Correspondance!$A:$B,2,FALSE),Coin1!$A:$A,0),3)</f>
        <v>98.56</v>
      </c>
      <c r="D136">
        <f>INDEX(Coin1!$A:$D,MATCH(VLOOKUP(Coin2!$A136,Correspondance!$A:$B,2,FALSE),Coin1!$A:$A,0),4)</f>
        <v>26.36</v>
      </c>
    </row>
    <row r="137" spans="1:4" x14ac:dyDescent="0.35">
      <c r="A137">
        <v>635</v>
      </c>
      <c r="B137">
        <f>INDEX(Coin1!$A:$D,MATCH(VLOOKUP(Coin2!$A137,Correspondance!$A:$B,2,FALSE),Coin1!$A:$A,0),2)</f>
        <v>5.9525000000000006</v>
      </c>
      <c r="C137">
        <f>2*$I$2-INDEX(Coin1!$A:$D,MATCH(VLOOKUP(Coin2!$A137,Correspondance!$A:$B,2,FALSE),Coin1!$A:$A,0),3)</f>
        <v>88.175000000000011</v>
      </c>
      <c r="D137">
        <f>INDEX(Coin1!$A:$D,MATCH(VLOOKUP(Coin2!$A137,Correspondance!$A:$B,2,FALSE),Coin1!$A:$A,0),4)</f>
        <v>27.25</v>
      </c>
    </row>
    <row r="138" spans="1:4" x14ac:dyDescent="0.35">
      <c r="A138">
        <v>636</v>
      </c>
      <c r="B138">
        <f>INDEX(Coin1!$A:$D,MATCH(VLOOKUP(Coin2!$A138,Correspondance!$A:$B,2,FALSE),Coin1!$A:$A,0),2)</f>
        <v>6.3525</v>
      </c>
      <c r="C138">
        <f>2*$I$2-INDEX(Coin1!$A:$D,MATCH(VLOOKUP(Coin2!$A138,Correspondance!$A:$B,2,FALSE),Coin1!$A:$A,0),3)</f>
        <v>88.175000000000011</v>
      </c>
      <c r="D138">
        <f>INDEX(Coin1!$A:$D,MATCH(VLOOKUP(Coin2!$A138,Correspondance!$A:$B,2,FALSE),Coin1!$A:$A,0),4)</f>
        <v>27.25</v>
      </c>
    </row>
    <row r="139" spans="1:4" x14ac:dyDescent="0.35">
      <c r="A139">
        <v>637</v>
      </c>
      <c r="B139">
        <f>INDEX(Coin1!$A:$D,MATCH(VLOOKUP(Coin2!$A139,Correspondance!$A:$B,2,FALSE),Coin1!$A:$A,0),2)</f>
        <v>7.2525000000000004</v>
      </c>
      <c r="C139">
        <f>2*$I$2-INDEX(Coin1!$A:$D,MATCH(VLOOKUP(Coin2!$A139,Correspondance!$A:$B,2,FALSE),Coin1!$A:$A,0),3)</f>
        <v>88.175000000000011</v>
      </c>
      <c r="D139">
        <f>INDEX(Coin1!$A:$D,MATCH(VLOOKUP(Coin2!$A139,Correspondance!$A:$B,2,FALSE),Coin1!$A:$A,0),4)</f>
        <v>27.25</v>
      </c>
    </row>
    <row r="140" spans="1:4" x14ac:dyDescent="0.35">
      <c r="A140">
        <v>638</v>
      </c>
      <c r="B140">
        <f>INDEX(Coin1!$A:$D,MATCH(VLOOKUP(Coin2!$A140,Correspondance!$A:$B,2,FALSE),Coin1!$A:$A,0),2)</f>
        <v>7.6524999999999999</v>
      </c>
      <c r="C140">
        <f>2*$I$2-INDEX(Coin1!$A:$D,MATCH(VLOOKUP(Coin2!$A140,Correspondance!$A:$B,2,FALSE),Coin1!$A:$A,0),3)</f>
        <v>88.175000000000011</v>
      </c>
      <c r="D140">
        <f>INDEX(Coin1!$A:$D,MATCH(VLOOKUP(Coin2!$A140,Correspondance!$A:$B,2,FALSE),Coin1!$A:$A,0),4)</f>
        <v>27.25</v>
      </c>
    </row>
    <row r="141" spans="1:4" x14ac:dyDescent="0.35">
      <c r="A141">
        <v>639</v>
      </c>
      <c r="B141">
        <f>INDEX(Coin1!$A:$D,MATCH(VLOOKUP(Coin2!$A141,Correspondance!$A:$B,2,FALSE),Coin1!$A:$A,0),2)</f>
        <v>6.8025000000000002</v>
      </c>
      <c r="C141">
        <f>2*$I$2-INDEX(Coin1!$A:$D,MATCH(VLOOKUP(Coin2!$A141,Correspondance!$A:$B,2,FALSE),Coin1!$A:$A,0),3)</f>
        <v>88.88000000000001</v>
      </c>
      <c r="D141">
        <f>INDEX(Coin1!$A:$D,MATCH(VLOOKUP(Coin2!$A141,Correspondance!$A:$B,2,FALSE),Coin1!$A:$A,0),4)</f>
        <v>27.25</v>
      </c>
    </row>
    <row r="142" spans="1:4" x14ac:dyDescent="0.35">
      <c r="A142">
        <v>640</v>
      </c>
      <c r="B142">
        <f>INDEX(Coin1!$A:$D,MATCH(VLOOKUP(Coin2!$A142,Correspondance!$A:$B,2,FALSE),Coin1!$A:$A,0),2)</f>
        <v>5.9525000000000006</v>
      </c>
      <c r="C142">
        <f>2*$I$2-INDEX(Coin1!$A:$D,MATCH(VLOOKUP(Coin2!$A142,Correspondance!$A:$B,2,FALSE),Coin1!$A:$A,0),3)</f>
        <v>89.585000000000008</v>
      </c>
      <c r="D142">
        <f>INDEX(Coin1!$A:$D,MATCH(VLOOKUP(Coin2!$A142,Correspondance!$A:$B,2,FALSE),Coin1!$A:$A,0),4)</f>
        <v>27.25</v>
      </c>
    </row>
    <row r="143" spans="1:4" x14ac:dyDescent="0.35">
      <c r="A143">
        <v>641</v>
      </c>
      <c r="B143">
        <f>INDEX(Coin1!$A:$D,MATCH(VLOOKUP(Coin2!$A143,Correspondance!$A:$B,2,FALSE),Coin1!$A:$A,0),2)</f>
        <v>6.3525</v>
      </c>
      <c r="C143">
        <f>2*$I$2-INDEX(Coin1!$A:$D,MATCH(VLOOKUP(Coin2!$A143,Correspondance!$A:$B,2,FALSE),Coin1!$A:$A,0),3)</f>
        <v>89.585000000000008</v>
      </c>
      <c r="D143">
        <f>INDEX(Coin1!$A:$D,MATCH(VLOOKUP(Coin2!$A143,Correspondance!$A:$B,2,FALSE),Coin1!$A:$A,0),4)</f>
        <v>27.25</v>
      </c>
    </row>
    <row r="144" spans="1:4" x14ac:dyDescent="0.35">
      <c r="A144">
        <v>642</v>
      </c>
      <c r="B144">
        <f>INDEX(Coin1!$A:$D,MATCH(VLOOKUP(Coin2!$A144,Correspondance!$A:$B,2,FALSE),Coin1!$A:$A,0),2)</f>
        <v>7.2525000000000004</v>
      </c>
      <c r="C144">
        <f>2*$I$2-INDEX(Coin1!$A:$D,MATCH(VLOOKUP(Coin2!$A144,Correspondance!$A:$B,2,FALSE),Coin1!$A:$A,0),3)</f>
        <v>89.585000000000008</v>
      </c>
      <c r="D144">
        <f>INDEX(Coin1!$A:$D,MATCH(VLOOKUP(Coin2!$A144,Correspondance!$A:$B,2,FALSE),Coin1!$A:$A,0),4)</f>
        <v>27.25</v>
      </c>
    </row>
    <row r="145" spans="1:4" x14ac:dyDescent="0.35">
      <c r="A145">
        <v>643</v>
      </c>
      <c r="B145">
        <f>INDEX(Coin1!$A:$D,MATCH(VLOOKUP(Coin2!$A145,Correspondance!$A:$B,2,FALSE),Coin1!$A:$A,0),2)</f>
        <v>7.6524999999999999</v>
      </c>
      <c r="C145">
        <f>2*$I$2-INDEX(Coin1!$A:$D,MATCH(VLOOKUP(Coin2!$A145,Correspondance!$A:$B,2,FALSE),Coin1!$A:$A,0),3)</f>
        <v>89.585000000000008</v>
      </c>
      <c r="D145">
        <f>INDEX(Coin1!$A:$D,MATCH(VLOOKUP(Coin2!$A145,Correspondance!$A:$B,2,FALSE),Coin1!$A:$A,0),4)</f>
        <v>27.25</v>
      </c>
    </row>
    <row r="146" spans="1:4" x14ac:dyDescent="0.35">
      <c r="A146">
        <v>644</v>
      </c>
      <c r="B146">
        <f>INDEX(Coin1!$A:$D,MATCH(VLOOKUP(Coin2!$A146,Correspondance!$A:$B,2,FALSE),Coin1!$A:$A,0),2)</f>
        <v>5.9525000000000006</v>
      </c>
      <c r="C146">
        <f>2*$I$2-INDEX(Coin1!$A:$D,MATCH(VLOOKUP(Coin2!$A146,Correspondance!$A:$B,2,FALSE),Coin1!$A:$A,0),3)</f>
        <v>80.800000000000011</v>
      </c>
      <c r="D146">
        <f>INDEX(Coin1!$A:$D,MATCH(VLOOKUP(Coin2!$A146,Correspondance!$A:$B,2,FALSE),Coin1!$A:$A,0),4)</f>
        <v>27.55</v>
      </c>
    </row>
    <row r="147" spans="1:4" x14ac:dyDescent="0.35">
      <c r="A147">
        <v>645</v>
      </c>
      <c r="B147">
        <f>INDEX(Coin1!$A:$D,MATCH(VLOOKUP(Coin2!$A147,Correspondance!$A:$B,2,FALSE),Coin1!$A:$A,0),2)</f>
        <v>7.6524999999999999</v>
      </c>
      <c r="C147">
        <f>2*$I$2-INDEX(Coin1!$A:$D,MATCH(VLOOKUP(Coin2!$A147,Correspondance!$A:$B,2,FALSE),Coin1!$A:$A,0),3)</f>
        <v>80.800000000000011</v>
      </c>
      <c r="D147">
        <f>INDEX(Coin1!$A:$D,MATCH(VLOOKUP(Coin2!$A147,Correspondance!$A:$B,2,FALSE),Coin1!$A:$A,0),4)</f>
        <v>27.55</v>
      </c>
    </row>
    <row r="148" spans="1:4" x14ac:dyDescent="0.35">
      <c r="A148">
        <v>646</v>
      </c>
      <c r="B148">
        <f>INDEX(Coin1!$A:$D,MATCH(VLOOKUP(Coin2!$A148,Correspondance!$A:$B,2,FALSE),Coin1!$A:$A,0),2)</f>
        <v>5.9525000000000006</v>
      </c>
      <c r="C148">
        <f>2*$I$2-INDEX(Coin1!$A:$D,MATCH(VLOOKUP(Coin2!$A148,Correspondance!$A:$B,2,FALSE),Coin1!$A:$A,0),3)</f>
        <v>81.2</v>
      </c>
      <c r="D148">
        <f>INDEX(Coin1!$A:$D,MATCH(VLOOKUP(Coin2!$A148,Correspondance!$A:$B,2,FALSE),Coin1!$A:$A,0),4)</f>
        <v>27.55</v>
      </c>
    </row>
    <row r="149" spans="1:4" x14ac:dyDescent="0.35">
      <c r="A149">
        <v>647</v>
      </c>
      <c r="B149">
        <f>INDEX(Coin1!$A:$D,MATCH(VLOOKUP(Coin2!$A149,Correspondance!$A:$B,2,FALSE),Coin1!$A:$A,0),2)</f>
        <v>7.6524999999999999</v>
      </c>
      <c r="C149">
        <f>2*$I$2-INDEX(Coin1!$A:$D,MATCH(VLOOKUP(Coin2!$A149,Correspondance!$A:$B,2,FALSE),Coin1!$A:$A,0),3)</f>
        <v>81.2</v>
      </c>
      <c r="D149">
        <f>INDEX(Coin1!$A:$D,MATCH(VLOOKUP(Coin2!$A149,Correspondance!$A:$B,2,FALSE),Coin1!$A:$A,0),4)</f>
        <v>27.55</v>
      </c>
    </row>
    <row r="150" spans="1:4" x14ac:dyDescent="0.35">
      <c r="A150">
        <v>648</v>
      </c>
      <c r="B150">
        <f>INDEX(Coin1!$A:$D,MATCH(VLOOKUP(Coin2!$A150,Correspondance!$A:$B,2,FALSE),Coin1!$A:$A,0),2)</f>
        <v>5.9525000000000006</v>
      </c>
      <c r="C150">
        <f>2*$I$2-INDEX(Coin1!$A:$D,MATCH(VLOOKUP(Coin2!$A150,Correspondance!$A:$B,2,FALSE),Coin1!$A:$A,0),3)</f>
        <v>83.225000000000009</v>
      </c>
      <c r="D150">
        <f>INDEX(Coin1!$A:$D,MATCH(VLOOKUP(Coin2!$A150,Correspondance!$A:$B,2,FALSE),Coin1!$A:$A,0),4)</f>
        <v>27.55</v>
      </c>
    </row>
    <row r="151" spans="1:4" x14ac:dyDescent="0.35">
      <c r="A151">
        <v>649</v>
      </c>
      <c r="B151">
        <f>INDEX(Coin1!$A:$D,MATCH(VLOOKUP(Coin2!$A151,Correspondance!$A:$B,2,FALSE),Coin1!$A:$A,0),2)</f>
        <v>7.6524999999999999</v>
      </c>
      <c r="C151">
        <f>2*$I$2-INDEX(Coin1!$A:$D,MATCH(VLOOKUP(Coin2!$A151,Correspondance!$A:$B,2,FALSE),Coin1!$A:$A,0),3)</f>
        <v>83.225000000000009</v>
      </c>
      <c r="D151">
        <f>INDEX(Coin1!$A:$D,MATCH(VLOOKUP(Coin2!$A151,Correspondance!$A:$B,2,FALSE),Coin1!$A:$A,0),4)</f>
        <v>27.55</v>
      </c>
    </row>
    <row r="152" spans="1:4" x14ac:dyDescent="0.35">
      <c r="A152">
        <v>650</v>
      </c>
      <c r="B152">
        <f>INDEX(Coin1!$A:$D,MATCH(VLOOKUP(Coin2!$A152,Correspondance!$A:$B,2,FALSE),Coin1!$A:$A,0),2)</f>
        <v>5.9525000000000006</v>
      </c>
      <c r="C152">
        <f>2*$I$2-INDEX(Coin1!$A:$D,MATCH(VLOOKUP(Coin2!$A152,Correspondance!$A:$B,2,FALSE),Coin1!$A:$A,0),3)</f>
        <v>85.25</v>
      </c>
      <c r="D152">
        <f>INDEX(Coin1!$A:$D,MATCH(VLOOKUP(Coin2!$A152,Correspondance!$A:$B,2,FALSE),Coin1!$A:$A,0),4)</f>
        <v>27.55</v>
      </c>
    </row>
    <row r="153" spans="1:4" x14ac:dyDescent="0.35">
      <c r="A153">
        <v>651</v>
      </c>
      <c r="B153">
        <f>INDEX(Coin1!$A:$D,MATCH(VLOOKUP(Coin2!$A153,Correspondance!$A:$B,2,FALSE),Coin1!$A:$A,0),2)</f>
        <v>7.6524999999999999</v>
      </c>
      <c r="C153">
        <f>2*$I$2-INDEX(Coin1!$A:$D,MATCH(VLOOKUP(Coin2!$A153,Correspondance!$A:$B,2,FALSE),Coin1!$A:$A,0),3)</f>
        <v>85.25</v>
      </c>
      <c r="D153">
        <f>INDEX(Coin1!$A:$D,MATCH(VLOOKUP(Coin2!$A153,Correspondance!$A:$B,2,FALSE),Coin1!$A:$A,0),4)</f>
        <v>27.55</v>
      </c>
    </row>
    <row r="154" spans="1:4" x14ac:dyDescent="0.35">
      <c r="A154">
        <v>652</v>
      </c>
      <c r="B154">
        <f>INDEX(Coin1!$A:$D,MATCH(VLOOKUP(Coin2!$A154,Correspondance!$A:$B,2,FALSE),Coin1!$A:$A,0),2)</f>
        <v>5.9525000000000006</v>
      </c>
      <c r="C154">
        <f>2*$I$2-INDEX(Coin1!$A:$D,MATCH(VLOOKUP(Coin2!$A154,Correspondance!$A:$B,2,FALSE),Coin1!$A:$A,0),3)</f>
        <v>87.275000000000006</v>
      </c>
      <c r="D154">
        <f>INDEX(Coin1!$A:$D,MATCH(VLOOKUP(Coin2!$A154,Correspondance!$A:$B,2,FALSE),Coin1!$A:$A,0),4)</f>
        <v>27.55</v>
      </c>
    </row>
    <row r="155" spans="1:4" x14ac:dyDescent="0.35">
      <c r="A155">
        <v>653</v>
      </c>
      <c r="B155">
        <f>INDEX(Coin1!$A:$D,MATCH(VLOOKUP(Coin2!$A155,Correspondance!$A:$B,2,FALSE),Coin1!$A:$A,0),2)</f>
        <v>7.6524999999999999</v>
      </c>
      <c r="C155">
        <f>2*$I$2-INDEX(Coin1!$A:$D,MATCH(VLOOKUP(Coin2!$A155,Correspondance!$A:$B,2,FALSE),Coin1!$A:$A,0),3)</f>
        <v>87.275000000000006</v>
      </c>
      <c r="D155">
        <f>INDEX(Coin1!$A:$D,MATCH(VLOOKUP(Coin2!$A155,Correspondance!$A:$B,2,FALSE),Coin1!$A:$A,0),4)</f>
        <v>27.55</v>
      </c>
    </row>
    <row r="156" spans="1:4" x14ac:dyDescent="0.35">
      <c r="A156">
        <v>654</v>
      </c>
      <c r="B156">
        <f>INDEX(Coin1!$A:$D,MATCH(VLOOKUP(Coin2!$A156,Correspondance!$A:$B,2,FALSE),Coin1!$A:$A,0),2)</f>
        <v>5.9525000000000006</v>
      </c>
      <c r="C156">
        <f>2*$I$2-INDEX(Coin1!$A:$D,MATCH(VLOOKUP(Coin2!$A156,Correspondance!$A:$B,2,FALSE),Coin1!$A:$A,0),3)</f>
        <v>88.175000000000011</v>
      </c>
      <c r="D156">
        <f>INDEX(Coin1!$A:$D,MATCH(VLOOKUP(Coin2!$A156,Correspondance!$A:$B,2,FALSE),Coin1!$A:$A,0),4)</f>
        <v>27.55</v>
      </c>
    </row>
    <row r="157" spans="1:4" x14ac:dyDescent="0.35">
      <c r="A157">
        <v>655</v>
      </c>
      <c r="B157">
        <f>INDEX(Coin1!$A:$D,MATCH(VLOOKUP(Coin2!$A157,Correspondance!$A:$B,2,FALSE),Coin1!$A:$A,0),2)</f>
        <v>7.6524999999999999</v>
      </c>
      <c r="C157">
        <f>2*$I$2-INDEX(Coin1!$A:$D,MATCH(VLOOKUP(Coin2!$A157,Correspondance!$A:$B,2,FALSE),Coin1!$A:$A,0),3)</f>
        <v>88.175000000000011</v>
      </c>
      <c r="D157">
        <f>INDEX(Coin1!$A:$D,MATCH(VLOOKUP(Coin2!$A157,Correspondance!$A:$B,2,FALSE),Coin1!$A:$A,0),4)</f>
        <v>27.55</v>
      </c>
    </row>
    <row r="158" spans="1:4" x14ac:dyDescent="0.35">
      <c r="A158">
        <v>656</v>
      </c>
      <c r="B158">
        <f>INDEX(Coin1!$A:$D,MATCH(VLOOKUP(Coin2!$A158,Correspondance!$A:$B,2,FALSE),Coin1!$A:$A,0),2)</f>
        <v>5.9525000000000006</v>
      </c>
      <c r="C158">
        <f>2*$I$2-INDEX(Coin1!$A:$D,MATCH(VLOOKUP(Coin2!$A158,Correspondance!$A:$B,2,FALSE),Coin1!$A:$A,0),3)</f>
        <v>89.585000000000008</v>
      </c>
      <c r="D158">
        <f>INDEX(Coin1!$A:$D,MATCH(VLOOKUP(Coin2!$A158,Correspondance!$A:$B,2,FALSE),Coin1!$A:$A,0),4)</f>
        <v>27.55</v>
      </c>
    </row>
    <row r="159" spans="1:4" x14ac:dyDescent="0.35">
      <c r="A159">
        <v>657</v>
      </c>
      <c r="B159">
        <f>INDEX(Coin1!$A:$D,MATCH(VLOOKUP(Coin2!$A159,Correspondance!$A:$B,2,FALSE),Coin1!$A:$A,0),2)</f>
        <v>7.6524999999999999</v>
      </c>
      <c r="C159">
        <f>2*$I$2-INDEX(Coin1!$A:$D,MATCH(VLOOKUP(Coin2!$A159,Correspondance!$A:$B,2,FALSE),Coin1!$A:$A,0),3)</f>
        <v>89.585000000000008</v>
      </c>
      <c r="D159">
        <f>INDEX(Coin1!$A:$D,MATCH(VLOOKUP(Coin2!$A159,Correspondance!$A:$B,2,FALSE),Coin1!$A:$A,0),4)</f>
        <v>27.55</v>
      </c>
    </row>
    <row r="160" spans="1:4" x14ac:dyDescent="0.35">
      <c r="A160">
        <v>658</v>
      </c>
      <c r="B160">
        <f>INDEX(Coin1!$A:$D,MATCH(VLOOKUP(Coin2!$A160,Correspondance!$A:$B,2,FALSE),Coin1!$A:$A,0),2)</f>
        <v>5.9525000000000006</v>
      </c>
      <c r="C160">
        <f>2*$I$2-INDEX(Coin1!$A:$D,MATCH(VLOOKUP(Coin2!$A160,Correspondance!$A:$B,2,FALSE),Coin1!$A:$A,0),3)</f>
        <v>90.485000000000014</v>
      </c>
      <c r="D160">
        <f>INDEX(Coin1!$A:$D,MATCH(VLOOKUP(Coin2!$A160,Correspondance!$A:$B,2,FALSE),Coin1!$A:$A,0),4)</f>
        <v>27.55</v>
      </c>
    </row>
    <row r="161" spans="1:4" x14ac:dyDescent="0.35">
      <c r="A161">
        <v>659</v>
      </c>
      <c r="B161">
        <f>INDEX(Coin1!$A:$D,MATCH(VLOOKUP(Coin2!$A161,Correspondance!$A:$B,2,FALSE),Coin1!$A:$A,0),2)</f>
        <v>7.6524999999999999</v>
      </c>
      <c r="C161">
        <f>2*$I$2-INDEX(Coin1!$A:$D,MATCH(VLOOKUP(Coin2!$A161,Correspondance!$A:$B,2,FALSE),Coin1!$A:$A,0),3)</f>
        <v>90.485000000000014</v>
      </c>
      <c r="D161">
        <f>INDEX(Coin1!$A:$D,MATCH(VLOOKUP(Coin2!$A161,Correspondance!$A:$B,2,FALSE),Coin1!$A:$A,0),4)</f>
        <v>27.55</v>
      </c>
    </row>
    <row r="162" spans="1:4" x14ac:dyDescent="0.35">
      <c r="A162">
        <v>660</v>
      </c>
      <c r="B162">
        <f>INDEX(Coin1!$A:$D,MATCH(VLOOKUP(Coin2!$A162,Correspondance!$A:$B,2,FALSE),Coin1!$A:$A,0),2)</f>
        <v>5.9525000000000006</v>
      </c>
      <c r="C162">
        <f>2*$I$2-INDEX(Coin1!$A:$D,MATCH(VLOOKUP(Coin2!$A162,Correspondance!$A:$B,2,FALSE),Coin1!$A:$A,0),3)</f>
        <v>92.51</v>
      </c>
      <c r="D162">
        <f>INDEX(Coin1!$A:$D,MATCH(VLOOKUP(Coin2!$A162,Correspondance!$A:$B,2,FALSE),Coin1!$A:$A,0),4)</f>
        <v>27.55</v>
      </c>
    </row>
    <row r="163" spans="1:4" x14ac:dyDescent="0.35">
      <c r="A163">
        <v>661</v>
      </c>
      <c r="B163">
        <f>INDEX(Coin1!$A:$D,MATCH(VLOOKUP(Coin2!$A163,Correspondance!$A:$B,2,FALSE),Coin1!$A:$A,0),2)</f>
        <v>7.6524999999999999</v>
      </c>
      <c r="C163">
        <f>2*$I$2-INDEX(Coin1!$A:$D,MATCH(VLOOKUP(Coin2!$A163,Correspondance!$A:$B,2,FALSE),Coin1!$A:$A,0),3)</f>
        <v>92.51</v>
      </c>
      <c r="D163">
        <f>INDEX(Coin1!$A:$D,MATCH(VLOOKUP(Coin2!$A163,Correspondance!$A:$B,2,FALSE),Coin1!$A:$A,0),4)</f>
        <v>27.55</v>
      </c>
    </row>
    <row r="164" spans="1:4" x14ac:dyDescent="0.35">
      <c r="A164">
        <v>662</v>
      </c>
      <c r="B164">
        <f>INDEX(Coin1!$A:$D,MATCH(VLOOKUP(Coin2!$A164,Correspondance!$A:$B,2,FALSE),Coin1!$A:$A,0),2)</f>
        <v>5.9525000000000006</v>
      </c>
      <c r="C164">
        <f>2*$I$2-INDEX(Coin1!$A:$D,MATCH(VLOOKUP(Coin2!$A164,Correspondance!$A:$B,2,FALSE),Coin1!$A:$A,0),3)</f>
        <v>94.535000000000011</v>
      </c>
      <c r="D164">
        <f>INDEX(Coin1!$A:$D,MATCH(VLOOKUP(Coin2!$A164,Correspondance!$A:$B,2,FALSE),Coin1!$A:$A,0),4)</f>
        <v>27.55</v>
      </c>
    </row>
    <row r="165" spans="1:4" x14ac:dyDescent="0.35">
      <c r="A165">
        <v>663</v>
      </c>
      <c r="B165">
        <f>INDEX(Coin1!$A:$D,MATCH(VLOOKUP(Coin2!$A165,Correspondance!$A:$B,2,FALSE),Coin1!$A:$A,0),2)</f>
        <v>7.6524999999999999</v>
      </c>
      <c r="C165">
        <f>2*$I$2-INDEX(Coin1!$A:$D,MATCH(VLOOKUP(Coin2!$A165,Correspondance!$A:$B,2,FALSE),Coin1!$A:$A,0),3)</f>
        <v>94.535000000000011</v>
      </c>
      <c r="D165">
        <f>INDEX(Coin1!$A:$D,MATCH(VLOOKUP(Coin2!$A165,Correspondance!$A:$B,2,FALSE),Coin1!$A:$A,0),4)</f>
        <v>27.55</v>
      </c>
    </row>
    <row r="166" spans="1:4" x14ac:dyDescent="0.35">
      <c r="A166">
        <v>664</v>
      </c>
      <c r="B166">
        <f>INDEX(Coin1!$A:$D,MATCH(VLOOKUP(Coin2!$A166,Correspondance!$A:$B,2,FALSE),Coin1!$A:$A,0),2)</f>
        <v>5.9525000000000006</v>
      </c>
      <c r="C166">
        <f>2*$I$2-INDEX(Coin1!$A:$D,MATCH(VLOOKUP(Coin2!$A166,Correspondance!$A:$B,2,FALSE),Coin1!$A:$A,0),3)</f>
        <v>96.56</v>
      </c>
      <c r="D166">
        <f>INDEX(Coin1!$A:$D,MATCH(VLOOKUP(Coin2!$A166,Correspondance!$A:$B,2,FALSE),Coin1!$A:$A,0),4)</f>
        <v>27.55</v>
      </c>
    </row>
    <row r="167" spans="1:4" x14ac:dyDescent="0.35">
      <c r="A167">
        <v>665</v>
      </c>
      <c r="B167">
        <f>INDEX(Coin1!$A:$D,MATCH(VLOOKUP(Coin2!$A167,Correspondance!$A:$B,2,FALSE),Coin1!$A:$A,0),2)</f>
        <v>7.6524999999999999</v>
      </c>
      <c r="C167">
        <f>2*$I$2-INDEX(Coin1!$A:$D,MATCH(VLOOKUP(Coin2!$A167,Correspondance!$A:$B,2,FALSE),Coin1!$A:$A,0),3)</f>
        <v>96.56</v>
      </c>
      <c r="D167">
        <f>INDEX(Coin1!$A:$D,MATCH(VLOOKUP(Coin2!$A167,Correspondance!$A:$B,2,FALSE),Coin1!$A:$A,0),4)</f>
        <v>27.55</v>
      </c>
    </row>
    <row r="168" spans="1:4" x14ac:dyDescent="0.35">
      <c r="A168">
        <v>666</v>
      </c>
      <c r="B168">
        <f>INDEX(Coin1!$A:$D,MATCH(VLOOKUP(Coin2!$A168,Correspondance!$A:$B,2,FALSE),Coin1!$A:$A,0),2)</f>
        <v>5.9525000000000006</v>
      </c>
      <c r="C168">
        <f>2*$I$2-INDEX(Coin1!$A:$D,MATCH(VLOOKUP(Coin2!$A168,Correspondance!$A:$B,2,FALSE),Coin1!$A:$A,0),3)</f>
        <v>96.960000000000008</v>
      </c>
      <c r="D168">
        <f>INDEX(Coin1!$A:$D,MATCH(VLOOKUP(Coin2!$A168,Correspondance!$A:$B,2,FALSE),Coin1!$A:$A,0),4)</f>
        <v>27.55</v>
      </c>
    </row>
    <row r="169" spans="1:4" x14ac:dyDescent="0.35">
      <c r="A169">
        <v>667</v>
      </c>
      <c r="B169">
        <f>INDEX(Coin1!$A:$D,MATCH(VLOOKUP(Coin2!$A169,Correspondance!$A:$B,2,FALSE),Coin1!$A:$A,0),2)</f>
        <v>7.6524999999999999</v>
      </c>
      <c r="C169">
        <f>2*$I$2-INDEX(Coin1!$A:$D,MATCH(VLOOKUP(Coin2!$A169,Correspondance!$A:$B,2,FALSE),Coin1!$A:$A,0),3)</f>
        <v>96.960000000000008</v>
      </c>
      <c r="D169">
        <f>INDEX(Coin1!$A:$D,MATCH(VLOOKUP(Coin2!$A169,Correspondance!$A:$B,2,FALSE),Coin1!$A:$A,0),4)</f>
        <v>27.55</v>
      </c>
    </row>
    <row r="170" spans="1:4" x14ac:dyDescent="0.35">
      <c r="A170">
        <v>668</v>
      </c>
      <c r="B170">
        <f>INDEX(Coin1!$A:$D,MATCH(VLOOKUP(Coin2!$A170,Correspondance!$A:$B,2,FALSE),Coin1!$A:$A,0),2)</f>
        <v>0.91200000000000003</v>
      </c>
      <c r="C170">
        <f>2*$I$2-INDEX(Coin1!$A:$D,MATCH(VLOOKUP(Coin2!$A170,Correspondance!$A:$B,2,FALSE),Coin1!$A:$A,0),3)</f>
        <v>80.800000000000011</v>
      </c>
      <c r="D170">
        <f>INDEX(Coin1!$A:$D,MATCH(VLOOKUP(Coin2!$A170,Correspondance!$A:$B,2,FALSE),Coin1!$A:$A,0),4)</f>
        <v>27.939999999999998</v>
      </c>
    </row>
    <row r="171" spans="1:4" x14ac:dyDescent="0.35">
      <c r="A171">
        <v>669</v>
      </c>
      <c r="B171">
        <f>INDEX(Coin1!$A:$D,MATCH(VLOOKUP(Coin2!$A171,Correspondance!$A:$B,2,FALSE),Coin1!$A:$A,0),2)</f>
        <v>12.693</v>
      </c>
      <c r="C171">
        <f>2*$I$2-INDEX(Coin1!$A:$D,MATCH(VLOOKUP(Coin2!$A171,Correspondance!$A:$B,2,FALSE),Coin1!$A:$A,0),3)</f>
        <v>80.800000000000011</v>
      </c>
      <c r="D171">
        <f>INDEX(Coin1!$A:$D,MATCH(VLOOKUP(Coin2!$A171,Correspondance!$A:$B,2,FALSE),Coin1!$A:$A,0),4)</f>
        <v>27.939999999999998</v>
      </c>
    </row>
    <row r="172" spans="1:4" x14ac:dyDescent="0.35">
      <c r="A172">
        <v>670</v>
      </c>
      <c r="B172">
        <f>INDEX(Coin1!$A:$D,MATCH(VLOOKUP(Coin2!$A172,Correspondance!$A:$B,2,FALSE),Coin1!$A:$A,0),2)</f>
        <v>0.91200000000000003</v>
      </c>
      <c r="C172">
        <f>2*$I$2-INDEX(Coin1!$A:$D,MATCH(VLOOKUP(Coin2!$A172,Correspondance!$A:$B,2,FALSE),Coin1!$A:$A,0),3)</f>
        <v>88.88000000000001</v>
      </c>
      <c r="D172">
        <f>INDEX(Coin1!$A:$D,MATCH(VLOOKUP(Coin2!$A172,Correspondance!$A:$B,2,FALSE),Coin1!$A:$A,0),4)</f>
        <v>27.939999999999998</v>
      </c>
    </row>
    <row r="173" spans="1:4" x14ac:dyDescent="0.35">
      <c r="A173">
        <v>671</v>
      </c>
      <c r="B173">
        <f>INDEX(Coin1!$A:$D,MATCH(VLOOKUP(Coin2!$A173,Correspondance!$A:$B,2,FALSE),Coin1!$A:$A,0),2)</f>
        <v>12.693</v>
      </c>
      <c r="C173">
        <f>2*$I$2-INDEX(Coin1!$A:$D,MATCH(VLOOKUP(Coin2!$A173,Correspondance!$A:$B,2,FALSE),Coin1!$A:$A,0),3)</f>
        <v>88.88000000000001</v>
      </c>
      <c r="D173">
        <f>INDEX(Coin1!$A:$D,MATCH(VLOOKUP(Coin2!$A173,Correspondance!$A:$B,2,FALSE),Coin1!$A:$A,0),4)</f>
        <v>27.939999999999998</v>
      </c>
    </row>
    <row r="174" spans="1:4" x14ac:dyDescent="0.35">
      <c r="A174">
        <v>672</v>
      </c>
      <c r="B174">
        <f>INDEX(Coin1!$A:$D,MATCH(VLOOKUP(Coin2!$A174,Correspondance!$A:$B,2,FALSE),Coin1!$A:$A,0),2)</f>
        <v>0.91200000000000003</v>
      </c>
      <c r="C174">
        <f>2*$I$2-INDEX(Coin1!$A:$D,MATCH(VLOOKUP(Coin2!$A174,Correspondance!$A:$B,2,FALSE),Coin1!$A:$A,0),3)</f>
        <v>96.960000000000008</v>
      </c>
      <c r="D174">
        <f>INDEX(Coin1!$A:$D,MATCH(VLOOKUP(Coin2!$A174,Correspondance!$A:$B,2,FALSE),Coin1!$A:$A,0),4)</f>
        <v>27.939999999999998</v>
      </c>
    </row>
    <row r="175" spans="1:4" x14ac:dyDescent="0.35">
      <c r="A175">
        <v>673</v>
      </c>
      <c r="B175">
        <f>INDEX(Coin1!$A:$D,MATCH(VLOOKUP(Coin2!$A175,Correspondance!$A:$B,2,FALSE),Coin1!$A:$A,0),2)</f>
        <v>12.693</v>
      </c>
      <c r="C175">
        <f>2*$I$2-INDEX(Coin1!$A:$D,MATCH(VLOOKUP(Coin2!$A175,Correspondance!$A:$B,2,FALSE),Coin1!$A:$A,0),3)</f>
        <v>96.960000000000008</v>
      </c>
      <c r="D175">
        <f>INDEX(Coin1!$A:$D,MATCH(VLOOKUP(Coin2!$A175,Correspondance!$A:$B,2,FALSE),Coin1!$A:$A,0),4)</f>
        <v>27.939999999999998</v>
      </c>
    </row>
    <row r="176" spans="1:4" x14ac:dyDescent="0.35">
      <c r="A176">
        <v>674</v>
      </c>
      <c r="B176">
        <f>INDEX(Coin1!$A:$D,MATCH(VLOOKUP(Coin2!$A176,Correspondance!$A:$B,2,FALSE),Coin1!$A:$A,0),2)</f>
        <v>-1.4</v>
      </c>
      <c r="C176">
        <f>2*$I$2-INDEX(Coin1!$A:$D,MATCH(VLOOKUP(Coin2!$A176,Correspondance!$A:$B,2,FALSE),Coin1!$A:$A,0),3)</f>
        <v>80.800000000000011</v>
      </c>
      <c r="D176">
        <f>INDEX(Coin1!$A:$D,MATCH(VLOOKUP(Coin2!$A176,Correspondance!$A:$B,2,FALSE),Coin1!$A:$A,0),4)</f>
        <v>29.268068904621821</v>
      </c>
    </row>
    <row r="177" spans="1:4" x14ac:dyDescent="0.35">
      <c r="A177">
        <v>675</v>
      </c>
      <c r="B177">
        <f>INDEX(Coin1!$A:$D,MATCH(VLOOKUP(Coin2!$A177,Correspondance!$A:$B,2,FALSE),Coin1!$A:$A,0),2)</f>
        <v>1.679</v>
      </c>
      <c r="C177">
        <f>2*$I$2-INDEX(Coin1!$A:$D,MATCH(VLOOKUP(Coin2!$A177,Correspondance!$A:$B,2,FALSE),Coin1!$A:$A,0),3)</f>
        <v>80.800000000000011</v>
      </c>
      <c r="D177">
        <f>INDEX(Coin1!$A:$D,MATCH(VLOOKUP(Coin2!$A177,Correspondance!$A:$B,2,FALSE),Coin1!$A:$A,0),4)</f>
        <v>29.268068904621821</v>
      </c>
    </row>
    <row r="178" spans="1:4" x14ac:dyDescent="0.35">
      <c r="A178">
        <v>676</v>
      </c>
      <c r="B178">
        <f>INDEX(Coin1!$A:$D,MATCH(VLOOKUP(Coin2!$A178,Correspondance!$A:$B,2,FALSE),Coin1!$A:$A,0),2)</f>
        <v>6.1875</v>
      </c>
      <c r="C178">
        <f>2*$I$2-INDEX(Coin1!$A:$D,MATCH(VLOOKUP(Coin2!$A178,Correspondance!$A:$B,2,FALSE),Coin1!$A:$A,0),3)</f>
        <v>80.800000000000011</v>
      </c>
      <c r="D178">
        <f>INDEX(Coin1!$A:$D,MATCH(VLOOKUP(Coin2!$A178,Correspondance!$A:$B,2,FALSE),Coin1!$A:$A,0),4)</f>
        <v>29.268068904621821</v>
      </c>
    </row>
    <row r="179" spans="1:4" x14ac:dyDescent="0.35">
      <c r="A179">
        <v>677</v>
      </c>
      <c r="B179">
        <f>INDEX(Coin1!$A:$D,MATCH(VLOOKUP(Coin2!$A179,Correspondance!$A:$B,2,FALSE),Coin1!$A:$A,0),2)</f>
        <v>7.4175000000000004</v>
      </c>
      <c r="C179">
        <f>2*$I$2-INDEX(Coin1!$A:$D,MATCH(VLOOKUP(Coin2!$A179,Correspondance!$A:$B,2,FALSE),Coin1!$A:$A,0),3)</f>
        <v>80.800000000000011</v>
      </c>
      <c r="D179">
        <f>INDEX(Coin1!$A:$D,MATCH(VLOOKUP(Coin2!$A179,Correspondance!$A:$B,2,FALSE),Coin1!$A:$A,0),4)</f>
        <v>29.268068904621821</v>
      </c>
    </row>
    <row r="180" spans="1:4" x14ac:dyDescent="0.35">
      <c r="A180">
        <v>678</v>
      </c>
      <c r="B180">
        <f>INDEX(Coin1!$A:$D,MATCH(VLOOKUP(Coin2!$A180,Correspondance!$A:$B,2,FALSE),Coin1!$A:$A,0),2)</f>
        <v>11.926</v>
      </c>
      <c r="C180">
        <f>2*$I$2-INDEX(Coin1!$A:$D,MATCH(VLOOKUP(Coin2!$A180,Correspondance!$A:$B,2,FALSE),Coin1!$A:$A,0),3)</f>
        <v>80.800000000000011</v>
      </c>
      <c r="D180">
        <f>INDEX(Coin1!$A:$D,MATCH(VLOOKUP(Coin2!$A180,Correspondance!$A:$B,2,FALSE),Coin1!$A:$A,0),4)</f>
        <v>29.268068904621821</v>
      </c>
    </row>
    <row r="181" spans="1:4" x14ac:dyDescent="0.35">
      <c r="A181">
        <v>679</v>
      </c>
      <c r="B181">
        <f>INDEX(Coin1!$A:$D,MATCH(VLOOKUP(Coin2!$A181,Correspondance!$A:$B,2,FALSE),Coin1!$A:$A,0),2)</f>
        <v>-1.4</v>
      </c>
      <c r="C181">
        <f>2*$I$2-INDEX(Coin1!$A:$D,MATCH(VLOOKUP(Coin2!$A181,Correspondance!$A:$B,2,FALSE),Coin1!$A:$A,0),3)</f>
        <v>83.493000000000009</v>
      </c>
      <c r="D181">
        <f>INDEX(Coin1!$A:$D,MATCH(VLOOKUP(Coin2!$A181,Correspondance!$A:$B,2,FALSE),Coin1!$A:$A,0),4)</f>
        <v>29.268068904621821</v>
      </c>
    </row>
    <row r="182" spans="1:4" x14ac:dyDescent="0.35">
      <c r="A182">
        <v>680</v>
      </c>
      <c r="B182">
        <f>INDEX(Coin1!$A:$D,MATCH(VLOOKUP(Coin2!$A182,Correspondance!$A:$B,2,FALSE),Coin1!$A:$A,0),2)</f>
        <v>-1.4</v>
      </c>
      <c r="C182">
        <f>2*$I$2-INDEX(Coin1!$A:$D,MATCH(VLOOKUP(Coin2!$A182,Correspondance!$A:$B,2,FALSE),Coin1!$A:$A,0),3)</f>
        <v>86.187000000000012</v>
      </c>
      <c r="D182">
        <f>INDEX(Coin1!$A:$D,MATCH(VLOOKUP(Coin2!$A182,Correspondance!$A:$B,2,FALSE),Coin1!$A:$A,0),4)</f>
        <v>29.268068904621821</v>
      </c>
    </row>
    <row r="183" spans="1:4" x14ac:dyDescent="0.35">
      <c r="A183">
        <v>681</v>
      </c>
      <c r="B183">
        <f>INDEX(Coin1!$A:$D,MATCH(VLOOKUP(Coin2!$A183,Correspondance!$A:$B,2,FALSE),Coin1!$A:$A,0),2)</f>
        <v>-1.4</v>
      </c>
      <c r="C183">
        <f>2*$I$2-INDEX(Coin1!$A:$D,MATCH(VLOOKUP(Coin2!$A183,Correspondance!$A:$B,2,FALSE),Coin1!$A:$A,0),3)</f>
        <v>88.88000000000001</v>
      </c>
      <c r="D183">
        <f>INDEX(Coin1!$A:$D,MATCH(VLOOKUP(Coin2!$A183,Correspondance!$A:$B,2,FALSE),Coin1!$A:$A,0),4)</f>
        <v>29.268068904621821</v>
      </c>
    </row>
    <row r="184" spans="1:4" x14ac:dyDescent="0.35">
      <c r="A184">
        <v>682</v>
      </c>
      <c r="B184">
        <f>INDEX(Coin1!$A:$D,MATCH(VLOOKUP(Coin2!$A184,Correspondance!$A:$B,2,FALSE),Coin1!$A:$A,0),2)</f>
        <v>1.679</v>
      </c>
      <c r="C184">
        <f>2*$I$2-INDEX(Coin1!$A:$D,MATCH(VLOOKUP(Coin2!$A184,Correspondance!$A:$B,2,FALSE),Coin1!$A:$A,0),3)</f>
        <v>88.88000000000001</v>
      </c>
      <c r="D184">
        <f>INDEX(Coin1!$A:$D,MATCH(VLOOKUP(Coin2!$A184,Correspondance!$A:$B,2,FALSE),Coin1!$A:$A,0),4)</f>
        <v>29.268068904621821</v>
      </c>
    </row>
    <row r="185" spans="1:4" x14ac:dyDescent="0.35">
      <c r="A185">
        <v>683</v>
      </c>
      <c r="B185">
        <f>INDEX(Coin1!$A:$D,MATCH(VLOOKUP(Coin2!$A185,Correspondance!$A:$B,2,FALSE),Coin1!$A:$A,0),2)</f>
        <v>11.926</v>
      </c>
      <c r="C185">
        <f>2*$I$2-INDEX(Coin1!$A:$D,MATCH(VLOOKUP(Coin2!$A185,Correspondance!$A:$B,2,FALSE),Coin1!$A:$A,0),3)</f>
        <v>88.88000000000001</v>
      </c>
      <c r="D185">
        <f>INDEX(Coin1!$A:$D,MATCH(VLOOKUP(Coin2!$A185,Correspondance!$A:$B,2,FALSE),Coin1!$A:$A,0),4)</f>
        <v>29.268068904621821</v>
      </c>
    </row>
    <row r="186" spans="1:4" x14ac:dyDescent="0.35">
      <c r="A186">
        <v>684</v>
      </c>
      <c r="B186">
        <f>INDEX(Coin1!$A:$D,MATCH(VLOOKUP(Coin2!$A186,Correspondance!$A:$B,2,FALSE),Coin1!$A:$A,0),2)</f>
        <v>-1.4</v>
      </c>
      <c r="C186">
        <f>2*$I$2-INDEX(Coin1!$A:$D,MATCH(VLOOKUP(Coin2!$A186,Correspondance!$A:$B,2,FALSE),Coin1!$A:$A,0),3)</f>
        <v>91.573000000000008</v>
      </c>
      <c r="D186">
        <f>INDEX(Coin1!$A:$D,MATCH(VLOOKUP(Coin2!$A186,Correspondance!$A:$B,2,FALSE),Coin1!$A:$A,0),4)</f>
        <v>29.268068904621821</v>
      </c>
    </row>
    <row r="187" spans="1:4" x14ac:dyDescent="0.35">
      <c r="A187">
        <v>685</v>
      </c>
      <c r="B187">
        <f>INDEX(Coin1!$A:$D,MATCH(VLOOKUP(Coin2!$A187,Correspondance!$A:$B,2,FALSE),Coin1!$A:$A,0),2)</f>
        <v>-1.4</v>
      </c>
      <c r="C187">
        <f>2*$I$2-INDEX(Coin1!$A:$D,MATCH(VLOOKUP(Coin2!$A187,Correspondance!$A:$B,2,FALSE),Coin1!$A:$A,0),3)</f>
        <v>94.26700000000001</v>
      </c>
      <c r="D187">
        <f>INDEX(Coin1!$A:$D,MATCH(VLOOKUP(Coin2!$A187,Correspondance!$A:$B,2,FALSE),Coin1!$A:$A,0),4)</f>
        <v>29.268068904621821</v>
      </c>
    </row>
    <row r="188" spans="1:4" x14ac:dyDescent="0.35">
      <c r="A188">
        <v>686</v>
      </c>
      <c r="B188">
        <f>INDEX(Coin1!$A:$D,MATCH(VLOOKUP(Coin2!$A188,Correspondance!$A:$B,2,FALSE),Coin1!$A:$A,0),2)</f>
        <v>-1.4</v>
      </c>
      <c r="C188">
        <f>2*$I$2-INDEX(Coin1!$A:$D,MATCH(VLOOKUP(Coin2!$A188,Correspondance!$A:$B,2,FALSE),Coin1!$A:$A,0),3)</f>
        <v>96.960000000000008</v>
      </c>
      <c r="D188">
        <f>INDEX(Coin1!$A:$D,MATCH(VLOOKUP(Coin2!$A188,Correspondance!$A:$B,2,FALSE),Coin1!$A:$A,0),4)</f>
        <v>29.268068904621821</v>
      </c>
    </row>
    <row r="189" spans="1:4" x14ac:dyDescent="0.35">
      <c r="A189">
        <v>687</v>
      </c>
      <c r="B189">
        <f>INDEX(Coin1!$A:$D,MATCH(VLOOKUP(Coin2!$A189,Correspondance!$A:$B,2,FALSE),Coin1!$A:$A,0),2)</f>
        <v>1.679</v>
      </c>
      <c r="C189">
        <f>2*$I$2-INDEX(Coin1!$A:$D,MATCH(VLOOKUP(Coin2!$A189,Correspondance!$A:$B,2,FALSE),Coin1!$A:$A,0),3)</f>
        <v>96.960000000000008</v>
      </c>
      <c r="D189">
        <f>INDEX(Coin1!$A:$D,MATCH(VLOOKUP(Coin2!$A189,Correspondance!$A:$B,2,FALSE),Coin1!$A:$A,0),4)</f>
        <v>29.268068904621821</v>
      </c>
    </row>
    <row r="190" spans="1:4" x14ac:dyDescent="0.35">
      <c r="A190">
        <v>688</v>
      </c>
      <c r="B190">
        <f>INDEX(Coin1!$A:$D,MATCH(VLOOKUP(Coin2!$A190,Correspondance!$A:$B,2,FALSE),Coin1!$A:$A,0),2)</f>
        <v>11.926</v>
      </c>
      <c r="C190">
        <f>2*$I$2-INDEX(Coin1!$A:$D,MATCH(VLOOKUP(Coin2!$A190,Correspondance!$A:$B,2,FALSE),Coin1!$A:$A,0),3)</f>
        <v>96.960000000000008</v>
      </c>
      <c r="D190">
        <f>INDEX(Coin1!$A:$D,MATCH(VLOOKUP(Coin2!$A190,Correspondance!$A:$B,2,FALSE),Coin1!$A:$A,0),4)</f>
        <v>29.268068904621821</v>
      </c>
    </row>
    <row r="191" spans="1:4" x14ac:dyDescent="0.35">
      <c r="A191">
        <v>689</v>
      </c>
      <c r="B191">
        <f>INDEX(Coin1!$A:$D,MATCH(VLOOKUP(Coin2!$A191,Correspondance!$A:$B,2,FALSE),Coin1!$A:$A,0),2)</f>
        <v>-1.4</v>
      </c>
      <c r="C191">
        <f>2*$I$2-INDEX(Coin1!$A:$D,MATCH(VLOOKUP(Coin2!$A191,Correspondance!$A:$B,2,FALSE),Coin1!$A:$A,0),3)</f>
        <v>97.31</v>
      </c>
      <c r="D191">
        <f>INDEX(Coin1!$A:$D,MATCH(VLOOKUP(Coin2!$A191,Correspondance!$A:$B,2,FALSE),Coin1!$A:$A,0),4)</f>
        <v>29.268068904621821</v>
      </c>
    </row>
    <row r="192" spans="1:4" x14ac:dyDescent="0.35">
      <c r="A192">
        <v>690</v>
      </c>
      <c r="B192">
        <f>INDEX(Coin1!$A:$D,MATCH(VLOOKUP(Coin2!$A192,Correspondance!$A:$B,2,FALSE),Coin1!$A:$A,0),2)</f>
        <v>0</v>
      </c>
      <c r="C192">
        <f>2*$I$2-INDEX(Coin1!$A:$D,MATCH(VLOOKUP(Coin2!$A192,Correspondance!$A:$B,2,FALSE),Coin1!$A:$A,0),3)</f>
        <v>97.31</v>
      </c>
      <c r="D192">
        <f>INDEX(Coin1!$A:$D,MATCH(VLOOKUP(Coin2!$A192,Correspondance!$A:$B,2,FALSE),Coin1!$A:$A,0),4)</f>
        <v>29.268068904621821</v>
      </c>
    </row>
    <row r="193" spans="1:4" x14ac:dyDescent="0.35">
      <c r="A193">
        <v>691</v>
      </c>
      <c r="B193">
        <f>INDEX(Coin1!$A:$D,MATCH(VLOOKUP(Coin2!$A193,Correspondance!$A:$B,2,FALSE),Coin1!$A:$A,0),2)</f>
        <v>1.679</v>
      </c>
      <c r="C193">
        <f>2*$I$2-INDEX(Coin1!$A:$D,MATCH(VLOOKUP(Coin2!$A193,Correspondance!$A:$B,2,FALSE),Coin1!$A:$A,0),3)</f>
        <v>97.31</v>
      </c>
      <c r="D193">
        <f>INDEX(Coin1!$A:$D,MATCH(VLOOKUP(Coin2!$A193,Correspondance!$A:$B,2,FALSE),Coin1!$A:$A,0),4)</f>
        <v>29.268068904621821</v>
      </c>
    </row>
    <row r="194" spans="1:4" x14ac:dyDescent="0.35">
      <c r="A194">
        <v>692</v>
      </c>
      <c r="B194">
        <f>INDEX(Coin1!$A:$D,MATCH(VLOOKUP(Coin2!$A194,Correspondance!$A:$B,2,FALSE),Coin1!$A:$A,0),2)</f>
        <v>3.357948729810778</v>
      </c>
      <c r="C194">
        <f>2*$I$2-INDEX(Coin1!$A:$D,MATCH(VLOOKUP(Coin2!$A194,Correspondance!$A:$B,2,FALSE),Coin1!$A:$A,0),3)</f>
        <v>97.31</v>
      </c>
      <c r="D194">
        <f>INDEX(Coin1!$A:$D,MATCH(VLOOKUP(Coin2!$A194,Correspondance!$A:$B,2,FALSE),Coin1!$A:$A,0),4)</f>
        <v>29.268068904621821</v>
      </c>
    </row>
    <row r="195" spans="1:4" x14ac:dyDescent="0.35">
      <c r="A195">
        <v>693</v>
      </c>
      <c r="B195">
        <f>INDEX(Coin1!$A:$D,MATCH(VLOOKUP(Coin2!$A195,Correspondance!$A:$B,2,FALSE),Coin1!$A:$A,0),2)</f>
        <v>6.1875</v>
      </c>
      <c r="C195">
        <f>2*$I$2-INDEX(Coin1!$A:$D,MATCH(VLOOKUP(Coin2!$A195,Correspondance!$A:$B,2,FALSE),Coin1!$A:$A,0),3)</f>
        <v>97.31</v>
      </c>
      <c r="D195">
        <f>INDEX(Coin1!$A:$D,MATCH(VLOOKUP(Coin2!$A195,Correspondance!$A:$B,2,FALSE),Coin1!$A:$A,0),4)</f>
        <v>29.268068904621821</v>
      </c>
    </row>
    <row r="196" spans="1:4" x14ac:dyDescent="0.35">
      <c r="A196">
        <v>694</v>
      </c>
      <c r="B196">
        <f>INDEX(Coin1!$A:$D,MATCH(VLOOKUP(Coin2!$A196,Correspondance!$A:$B,2,FALSE),Coin1!$A:$A,0),2)</f>
        <v>7.4175000000000004</v>
      </c>
      <c r="C196">
        <f>2*$I$2-INDEX(Coin1!$A:$D,MATCH(VLOOKUP(Coin2!$A196,Correspondance!$A:$B,2,FALSE),Coin1!$A:$A,0),3)</f>
        <v>97.31</v>
      </c>
      <c r="D196">
        <f>INDEX(Coin1!$A:$D,MATCH(VLOOKUP(Coin2!$A196,Correspondance!$A:$B,2,FALSE),Coin1!$A:$A,0),4)</f>
        <v>29.268068904621821</v>
      </c>
    </row>
    <row r="197" spans="1:4" x14ac:dyDescent="0.35">
      <c r="A197">
        <v>695</v>
      </c>
      <c r="B197">
        <f>INDEX(Coin1!$A:$D,MATCH(VLOOKUP(Coin2!$A197,Correspondance!$A:$B,2,FALSE),Coin1!$A:$A,0),2)</f>
        <v>10.247051270189223</v>
      </c>
      <c r="C197">
        <f>2*$I$2-INDEX(Coin1!$A:$D,MATCH(VLOOKUP(Coin2!$A197,Correspondance!$A:$B,2,FALSE),Coin1!$A:$A,0),3)</f>
        <v>97.31</v>
      </c>
      <c r="D197">
        <f>INDEX(Coin1!$A:$D,MATCH(VLOOKUP(Coin2!$A197,Correspondance!$A:$B,2,FALSE),Coin1!$A:$A,0),4)</f>
        <v>29.268068904621821</v>
      </c>
    </row>
    <row r="198" spans="1:4" x14ac:dyDescent="0.35">
      <c r="A198">
        <v>696</v>
      </c>
      <c r="B198">
        <f>INDEX(Coin1!$A:$D,MATCH(VLOOKUP(Coin2!$A198,Correspondance!$A:$B,2,FALSE),Coin1!$A:$A,0),2)</f>
        <v>11.926</v>
      </c>
      <c r="C198">
        <f>2*$I$2-INDEX(Coin1!$A:$D,MATCH(VLOOKUP(Coin2!$A198,Correspondance!$A:$B,2,FALSE),Coin1!$A:$A,0),3)</f>
        <v>97.31</v>
      </c>
      <c r="D198">
        <f>INDEX(Coin1!$A:$D,MATCH(VLOOKUP(Coin2!$A198,Correspondance!$A:$B,2,FALSE),Coin1!$A:$A,0),4)</f>
        <v>29.268068904621821</v>
      </c>
    </row>
    <row r="199" spans="1:4" x14ac:dyDescent="0.35">
      <c r="A199">
        <v>697</v>
      </c>
      <c r="B199">
        <f>INDEX(Coin1!$A:$D,MATCH(VLOOKUP(Coin2!$A199,Correspondance!$A:$B,2,FALSE),Coin1!$A:$A,0),2)</f>
        <v>12.990000000000002</v>
      </c>
      <c r="C199">
        <f>2*$I$2-INDEX(Coin1!$A:$D,MATCH(VLOOKUP(Coin2!$A199,Correspondance!$A:$B,2,FALSE),Coin1!$A:$A,0),3)</f>
        <v>97.31</v>
      </c>
      <c r="D199">
        <f>INDEX(Coin1!$A:$D,MATCH(VLOOKUP(Coin2!$A199,Correspondance!$A:$B,2,FALSE),Coin1!$A:$A,0),4)</f>
        <v>29.268068904621821</v>
      </c>
    </row>
    <row r="200" spans="1:4" x14ac:dyDescent="0.35">
      <c r="A200">
        <v>698</v>
      </c>
      <c r="B200">
        <f>INDEX(Coin1!$A:$D,MATCH(VLOOKUP(Coin2!$A200,Correspondance!$A:$B,2,FALSE),Coin1!$A:$A,0),2)</f>
        <v>14.220000000000002</v>
      </c>
      <c r="C200">
        <f>2*$I$2-INDEX(Coin1!$A:$D,MATCH(VLOOKUP(Coin2!$A200,Correspondance!$A:$B,2,FALSE),Coin1!$A:$A,0),3)</f>
        <v>97.31</v>
      </c>
      <c r="D200">
        <f>INDEX(Coin1!$A:$D,MATCH(VLOOKUP(Coin2!$A200,Correspondance!$A:$B,2,FALSE),Coin1!$A:$A,0),4)</f>
        <v>29.268068904621821</v>
      </c>
    </row>
    <row r="201" spans="1:4" x14ac:dyDescent="0.35">
      <c r="A201">
        <v>699</v>
      </c>
      <c r="B201">
        <f>INDEX(Coin1!$A:$D,MATCH(VLOOKUP(Coin2!$A201,Correspondance!$A:$B,2,FALSE),Coin1!$A:$A,0),2)</f>
        <v>6.1875</v>
      </c>
      <c r="C201">
        <f>2*$I$2-INDEX(Coin1!$A:$D,MATCH(VLOOKUP(Coin2!$A201,Correspondance!$A:$B,2,FALSE),Coin1!$A:$A,0),3)</f>
        <v>80.800000000000011</v>
      </c>
      <c r="D201">
        <f>INDEX(Coin1!$A:$D,MATCH(VLOOKUP(Coin2!$A201,Correspondance!$A:$B,2,FALSE),Coin1!$A:$A,0),4)</f>
        <v>29.75</v>
      </c>
    </row>
    <row r="202" spans="1:4" x14ac:dyDescent="0.35">
      <c r="A202">
        <v>700</v>
      </c>
      <c r="B202">
        <f>INDEX(Coin1!$A:$D,MATCH(VLOOKUP(Coin2!$A202,Correspondance!$A:$B,2,FALSE),Coin1!$A:$A,0),2)</f>
        <v>7.4175000000000004</v>
      </c>
      <c r="C202">
        <f>2*$I$2-INDEX(Coin1!$A:$D,MATCH(VLOOKUP(Coin2!$A202,Correspondance!$A:$B,2,FALSE),Coin1!$A:$A,0),3)</f>
        <v>80.800000000000011</v>
      </c>
      <c r="D202">
        <f>INDEX(Coin1!$A:$D,MATCH(VLOOKUP(Coin2!$A202,Correspondance!$A:$B,2,FALSE),Coin1!$A:$A,0),4)</f>
        <v>29.75</v>
      </c>
    </row>
    <row r="203" spans="1:4" x14ac:dyDescent="0.35">
      <c r="A203">
        <v>701</v>
      </c>
      <c r="B203">
        <f>INDEX(Coin1!$A:$D,MATCH(VLOOKUP(Coin2!$A203,Correspondance!$A:$B,2,FALSE),Coin1!$A:$A,0),2)</f>
        <v>6.1875</v>
      </c>
      <c r="C203">
        <f>2*$I$2-INDEX(Coin1!$A:$D,MATCH(VLOOKUP(Coin2!$A203,Correspondance!$A:$B,2,FALSE),Coin1!$A:$A,0),3)</f>
        <v>97.31</v>
      </c>
      <c r="D203">
        <f>INDEX(Coin1!$A:$D,MATCH(VLOOKUP(Coin2!$A203,Correspondance!$A:$B,2,FALSE),Coin1!$A:$A,0),4)</f>
        <v>29.75</v>
      </c>
    </row>
    <row r="204" spans="1:4" x14ac:dyDescent="0.35">
      <c r="A204">
        <v>702</v>
      </c>
      <c r="B204">
        <f>INDEX(Coin1!$A:$D,MATCH(VLOOKUP(Coin2!$A204,Correspondance!$A:$B,2,FALSE),Coin1!$A:$A,0),2)</f>
        <v>7.4175000000000004</v>
      </c>
      <c r="C204">
        <f>2*$I$2-INDEX(Coin1!$A:$D,MATCH(VLOOKUP(Coin2!$A204,Correspondance!$A:$B,2,FALSE),Coin1!$A:$A,0),3)</f>
        <v>97.31</v>
      </c>
      <c r="D204">
        <f>INDEX(Coin1!$A:$D,MATCH(VLOOKUP(Coin2!$A204,Correspondance!$A:$B,2,FALSE),Coin1!$A:$A,0),4)</f>
        <v>29.75</v>
      </c>
    </row>
    <row r="205" spans="1:4" x14ac:dyDescent="0.35">
      <c r="A205">
        <v>703</v>
      </c>
      <c r="B205">
        <f>INDEX(Coin1!$A:$D,MATCH(VLOOKUP(Coin2!$A205,Correspondance!$A:$B,2,FALSE),Coin1!$A:$A,0),2)</f>
        <v>-1.4</v>
      </c>
      <c r="C205">
        <f>2*$I$2-INDEX(Coin1!$A:$D,MATCH(VLOOKUP(Coin2!$A205,Correspondance!$A:$B,2,FALSE),Coin1!$A:$A,0),3)</f>
        <v>80.800000000000011</v>
      </c>
      <c r="D205">
        <f>INDEX(Coin1!$A:$D,MATCH(VLOOKUP(Coin2!$A205,Correspondance!$A:$B,2,FALSE),Coin1!$A:$A,0),4)</f>
        <v>32.176137809243642</v>
      </c>
    </row>
    <row r="206" spans="1:4" x14ac:dyDescent="0.35">
      <c r="A206">
        <v>704</v>
      </c>
      <c r="B206">
        <f>INDEX(Coin1!$A:$D,MATCH(VLOOKUP(Coin2!$A206,Correspondance!$A:$B,2,FALSE),Coin1!$A:$A,0),2)</f>
        <v>3.3580000000000001</v>
      </c>
      <c r="C206">
        <f>2*$I$2-INDEX(Coin1!$A:$D,MATCH(VLOOKUP(Coin2!$A206,Correspondance!$A:$B,2,FALSE),Coin1!$A:$A,0),3)</f>
        <v>80.800000000000011</v>
      </c>
      <c r="D206">
        <f>INDEX(Coin1!$A:$D,MATCH(VLOOKUP(Coin2!$A206,Correspondance!$A:$B,2,FALSE),Coin1!$A:$A,0),4)</f>
        <v>32.176137809243642</v>
      </c>
    </row>
    <row r="207" spans="1:4" x14ac:dyDescent="0.35">
      <c r="A207">
        <v>705</v>
      </c>
      <c r="B207">
        <f>INDEX(Coin1!$A:$D,MATCH(VLOOKUP(Coin2!$A207,Correspondance!$A:$B,2,FALSE),Coin1!$A:$A,0),2)</f>
        <v>6.1875</v>
      </c>
      <c r="C207">
        <f>2*$I$2-INDEX(Coin1!$A:$D,MATCH(VLOOKUP(Coin2!$A207,Correspondance!$A:$B,2,FALSE),Coin1!$A:$A,0),3)</f>
        <v>80.800000000000011</v>
      </c>
      <c r="D207">
        <f>INDEX(Coin1!$A:$D,MATCH(VLOOKUP(Coin2!$A207,Correspondance!$A:$B,2,FALSE),Coin1!$A:$A,0),4)</f>
        <v>32.176137809243642</v>
      </c>
    </row>
    <row r="208" spans="1:4" x14ac:dyDescent="0.35">
      <c r="A208">
        <v>706</v>
      </c>
      <c r="B208">
        <f>INDEX(Coin1!$A:$D,MATCH(VLOOKUP(Coin2!$A208,Correspondance!$A:$B,2,FALSE),Coin1!$A:$A,0),2)</f>
        <v>7.4175000000000004</v>
      </c>
      <c r="C208">
        <f>2*$I$2-INDEX(Coin1!$A:$D,MATCH(VLOOKUP(Coin2!$A208,Correspondance!$A:$B,2,FALSE),Coin1!$A:$A,0),3)</f>
        <v>80.800000000000011</v>
      </c>
      <c r="D208">
        <f>INDEX(Coin1!$A:$D,MATCH(VLOOKUP(Coin2!$A208,Correspondance!$A:$B,2,FALSE),Coin1!$A:$A,0),4)</f>
        <v>32.176137809243642</v>
      </c>
    </row>
    <row r="209" spans="1:4" x14ac:dyDescent="0.35">
      <c r="A209">
        <v>707</v>
      </c>
      <c r="B209">
        <f>INDEX(Coin1!$A:$D,MATCH(VLOOKUP(Coin2!$A209,Correspondance!$A:$B,2,FALSE),Coin1!$A:$A,0),2)</f>
        <v>10.247</v>
      </c>
      <c r="C209">
        <f>2*$I$2-INDEX(Coin1!$A:$D,MATCH(VLOOKUP(Coin2!$A209,Correspondance!$A:$B,2,FALSE),Coin1!$A:$A,0),3)</f>
        <v>80.800000000000011</v>
      </c>
      <c r="D209">
        <f>INDEX(Coin1!$A:$D,MATCH(VLOOKUP(Coin2!$A209,Correspondance!$A:$B,2,FALSE),Coin1!$A:$A,0),4)</f>
        <v>32.176137809243642</v>
      </c>
    </row>
    <row r="210" spans="1:4" x14ac:dyDescent="0.35">
      <c r="A210">
        <v>708</v>
      </c>
      <c r="B210">
        <f>INDEX(Coin1!$A:$D,MATCH(VLOOKUP(Coin2!$A210,Correspondance!$A:$B,2,FALSE),Coin1!$A:$A,0),2)</f>
        <v>-1.4</v>
      </c>
      <c r="C210">
        <f>2*$I$2-INDEX(Coin1!$A:$D,MATCH(VLOOKUP(Coin2!$A210,Correspondance!$A:$B,2,FALSE),Coin1!$A:$A,0),3)</f>
        <v>83.493000000000009</v>
      </c>
      <c r="D210">
        <f>INDEX(Coin1!$A:$D,MATCH(VLOOKUP(Coin2!$A210,Correspondance!$A:$B,2,FALSE),Coin1!$A:$A,0),4)</f>
        <v>32.176137809243642</v>
      </c>
    </row>
    <row r="211" spans="1:4" x14ac:dyDescent="0.35">
      <c r="A211">
        <v>709</v>
      </c>
      <c r="B211">
        <f>INDEX(Coin1!$A:$D,MATCH(VLOOKUP(Coin2!$A211,Correspondance!$A:$B,2,FALSE),Coin1!$A:$A,0),2)</f>
        <v>-1.4</v>
      </c>
      <c r="C211">
        <f>2*$I$2-INDEX(Coin1!$A:$D,MATCH(VLOOKUP(Coin2!$A211,Correspondance!$A:$B,2,FALSE),Coin1!$A:$A,0),3)</f>
        <v>86.187000000000012</v>
      </c>
      <c r="D211">
        <f>INDEX(Coin1!$A:$D,MATCH(VLOOKUP(Coin2!$A211,Correspondance!$A:$B,2,FALSE),Coin1!$A:$A,0),4)</f>
        <v>32.176137809243642</v>
      </c>
    </row>
    <row r="212" spans="1:4" x14ac:dyDescent="0.35">
      <c r="A212">
        <v>710</v>
      </c>
      <c r="B212">
        <f>INDEX(Coin1!$A:$D,MATCH(VLOOKUP(Coin2!$A212,Correspondance!$A:$B,2,FALSE),Coin1!$A:$A,0),2)</f>
        <v>-1.4</v>
      </c>
      <c r="C212">
        <f>2*$I$2-INDEX(Coin1!$A:$D,MATCH(VLOOKUP(Coin2!$A212,Correspondance!$A:$B,2,FALSE),Coin1!$A:$A,0),3)</f>
        <v>88.88000000000001</v>
      </c>
      <c r="D212">
        <f>INDEX(Coin1!$A:$D,MATCH(VLOOKUP(Coin2!$A212,Correspondance!$A:$B,2,FALSE),Coin1!$A:$A,0),4)</f>
        <v>32.176137809243642</v>
      </c>
    </row>
    <row r="213" spans="1:4" x14ac:dyDescent="0.35">
      <c r="A213">
        <v>711</v>
      </c>
      <c r="B213">
        <f>INDEX(Coin1!$A:$D,MATCH(VLOOKUP(Coin2!$A213,Correspondance!$A:$B,2,FALSE),Coin1!$A:$A,0),2)</f>
        <v>3.3580000000000001</v>
      </c>
      <c r="C213">
        <f>2*$I$2-INDEX(Coin1!$A:$D,MATCH(VLOOKUP(Coin2!$A213,Correspondance!$A:$B,2,FALSE),Coin1!$A:$A,0),3)</f>
        <v>88.88000000000001</v>
      </c>
      <c r="D213">
        <f>INDEX(Coin1!$A:$D,MATCH(VLOOKUP(Coin2!$A213,Correspondance!$A:$B,2,FALSE),Coin1!$A:$A,0),4)</f>
        <v>32.176137809243642</v>
      </c>
    </row>
    <row r="214" spans="1:4" x14ac:dyDescent="0.35">
      <c r="A214">
        <v>712</v>
      </c>
      <c r="B214">
        <f>INDEX(Coin1!$A:$D,MATCH(VLOOKUP(Coin2!$A214,Correspondance!$A:$B,2,FALSE),Coin1!$A:$A,0),2)</f>
        <v>10.247</v>
      </c>
      <c r="C214">
        <f>2*$I$2-INDEX(Coin1!$A:$D,MATCH(VLOOKUP(Coin2!$A214,Correspondance!$A:$B,2,FALSE),Coin1!$A:$A,0),3)</f>
        <v>88.88000000000001</v>
      </c>
      <c r="D214">
        <f>INDEX(Coin1!$A:$D,MATCH(VLOOKUP(Coin2!$A214,Correspondance!$A:$B,2,FALSE),Coin1!$A:$A,0),4)</f>
        <v>32.176137809243642</v>
      </c>
    </row>
    <row r="215" spans="1:4" x14ac:dyDescent="0.35">
      <c r="A215">
        <v>713</v>
      </c>
      <c r="B215">
        <f>INDEX(Coin1!$A:$D,MATCH(VLOOKUP(Coin2!$A215,Correspondance!$A:$B,2,FALSE),Coin1!$A:$A,0),2)</f>
        <v>-1.4</v>
      </c>
      <c r="C215">
        <f>2*$I$2-INDEX(Coin1!$A:$D,MATCH(VLOOKUP(Coin2!$A215,Correspondance!$A:$B,2,FALSE),Coin1!$A:$A,0),3)</f>
        <v>91.573000000000008</v>
      </c>
      <c r="D215">
        <f>INDEX(Coin1!$A:$D,MATCH(VLOOKUP(Coin2!$A215,Correspondance!$A:$B,2,FALSE),Coin1!$A:$A,0),4)</f>
        <v>32.176137809243642</v>
      </c>
    </row>
    <row r="216" spans="1:4" x14ac:dyDescent="0.35">
      <c r="A216">
        <v>714</v>
      </c>
      <c r="B216">
        <f>INDEX(Coin1!$A:$D,MATCH(VLOOKUP(Coin2!$A216,Correspondance!$A:$B,2,FALSE),Coin1!$A:$A,0),2)</f>
        <v>-1.4</v>
      </c>
      <c r="C216">
        <f>2*$I$2-INDEX(Coin1!$A:$D,MATCH(VLOOKUP(Coin2!$A216,Correspondance!$A:$B,2,FALSE),Coin1!$A:$A,0),3)</f>
        <v>94.26700000000001</v>
      </c>
      <c r="D216">
        <f>INDEX(Coin1!$A:$D,MATCH(VLOOKUP(Coin2!$A216,Correspondance!$A:$B,2,FALSE),Coin1!$A:$A,0),4)</f>
        <v>32.176137809243642</v>
      </c>
    </row>
    <row r="217" spans="1:4" x14ac:dyDescent="0.35">
      <c r="A217">
        <v>715</v>
      </c>
      <c r="B217">
        <f>INDEX(Coin1!$A:$D,MATCH(VLOOKUP(Coin2!$A217,Correspondance!$A:$B,2,FALSE),Coin1!$A:$A,0),2)</f>
        <v>-1.4</v>
      </c>
      <c r="C217">
        <f>2*$I$2-INDEX(Coin1!$A:$D,MATCH(VLOOKUP(Coin2!$A217,Correspondance!$A:$B,2,FALSE),Coin1!$A:$A,0),3)</f>
        <v>96.960000000000008</v>
      </c>
      <c r="D217">
        <f>INDEX(Coin1!$A:$D,MATCH(VLOOKUP(Coin2!$A217,Correspondance!$A:$B,2,FALSE),Coin1!$A:$A,0),4)</f>
        <v>32.176137809243642</v>
      </c>
    </row>
    <row r="218" spans="1:4" x14ac:dyDescent="0.35">
      <c r="A218">
        <v>716</v>
      </c>
      <c r="B218">
        <f>INDEX(Coin1!$A:$D,MATCH(VLOOKUP(Coin2!$A218,Correspondance!$A:$B,2,FALSE),Coin1!$A:$A,0),2)</f>
        <v>3.3580000000000001</v>
      </c>
      <c r="C218">
        <f>2*$I$2-INDEX(Coin1!$A:$D,MATCH(VLOOKUP(Coin2!$A218,Correspondance!$A:$B,2,FALSE),Coin1!$A:$A,0),3)</f>
        <v>96.960000000000008</v>
      </c>
      <c r="D218">
        <f>INDEX(Coin1!$A:$D,MATCH(VLOOKUP(Coin2!$A218,Correspondance!$A:$B,2,FALSE),Coin1!$A:$A,0),4)</f>
        <v>32.176137809243642</v>
      </c>
    </row>
    <row r="219" spans="1:4" x14ac:dyDescent="0.35">
      <c r="A219">
        <v>717</v>
      </c>
      <c r="B219">
        <f>INDEX(Coin1!$A:$D,MATCH(VLOOKUP(Coin2!$A219,Correspondance!$A:$B,2,FALSE),Coin1!$A:$A,0),2)</f>
        <v>10.247</v>
      </c>
      <c r="C219">
        <f>2*$I$2-INDEX(Coin1!$A:$D,MATCH(VLOOKUP(Coin2!$A219,Correspondance!$A:$B,2,FALSE),Coin1!$A:$A,0),3)</f>
        <v>96.960000000000008</v>
      </c>
      <c r="D219">
        <f>INDEX(Coin1!$A:$D,MATCH(VLOOKUP(Coin2!$A219,Correspondance!$A:$B,2,FALSE),Coin1!$A:$A,0),4)</f>
        <v>32.176137809243642</v>
      </c>
    </row>
    <row r="220" spans="1:4" x14ac:dyDescent="0.35">
      <c r="A220">
        <v>718</v>
      </c>
      <c r="B220">
        <f>INDEX(Coin1!$A:$D,MATCH(VLOOKUP(Coin2!$A220,Correspondance!$A:$B,2,FALSE),Coin1!$A:$A,0),2)</f>
        <v>-1.4</v>
      </c>
      <c r="C220">
        <f>2*$I$2-INDEX(Coin1!$A:$D,MATCH(VLOOKUP(Coin2!$A220,Correspondance!$A:$B,2,FALSE),Coin1!$A:$A,0),3)</f>
        <v>97.31</v>
      </c>
      <c r="D220">
        <f>INDEX(Coin1!$A:$D,MATCH(VLOOKUP(Coin2!$A220,Correspondance!$A:$B,2,FALSE),Coin1!$A:$A,0),4)</f>
        <v>32.176137809243642</v>
      </c>
    </row>
    <row r="221" spans="1:4" x14ac:dyDescent="0.35">
      <c r="A221">
        <v>719</v>
      </c>
      <c r="B221">
        <f>INDEX(Coin1!$A:$D,MATCH(VLOOKUP(Coin2!$A221,Correspondance!$A:$B,2,FALSE),Coin1!$A:$A,0),2)</f>
        <v>3.3580000000000001</v>
      </c>
      <c r="C221">
        <f>2*$I$2-INDEX(Coin1!$A:$D,MATCH(VLOOKUP(Coin2!$A221,Correspondance!$A:$B,2,FALSE),Coin1!$A:$A,0),3)</f>
        <v>97.31</v>
      </c>
      <c r="D221">
        <f>INDEX(Coin1!$A:$D,MATCH(VLOOKUP(Coin2!$A221,Correspondance!$A:$B,2,FALSE),Coin1!$A:$A,0),4)</f>
        <v>32.176137809243642</v>
      </c>
    </row>
    <row r="222" spans="1:4" x14ac:dyDescent="0.35">
      <c r="A222">
        <v>720</v>
      </c>
      <c r="B222">
        <f>INDEX(Coin1!$A:$D,MATCH(VLOOKUP(Coin2!$A222,Correspondance!$A:$B,2,FALSE),Coin1!$A:$A,0),2)</f>
        <v>3.357948729810778</v>
      </c>
      <c r="C222">
        <f>2*$I$2-INDEX(Coin1!$A:$D,MATCH(VLOOKUP(Coin2!$A222,Correspondance!$A:$B,2,FALSE),Coin1!$A:$A,0),3)</f>
        <v>97.31</v>
      </c>
      <c r="D222">
        <f>INDEX(Coin1!$A:$D,MATCH(VLOOKUP(Coin2!$A222,Correspondance!$A:$B,2,FALSE),Coin1!$A:$A,0),4)</f>
        <v>32.176137809243642</v>
      </c>
    </row>
    <row r="223" spans="1:4" x14ac:dyDescent="0.35">
      <c r="A223">
        <v>721</v>
      </c>
      <c r="B223">
        <f>INDEX(Coin1!$A:$D,MATCH(VLOOKUP(Coin2!$A223,Correspondance!$A:$B,2,FALSE),Coin1!$A:$A,0),2)</f>
        <v>6.1875</v>
      </c>
      <c r="C223">
        <f>2*$I$2-INDEX(Coin1!$A:$D,MATCH(VLOOKUP(Coin2!$A223,Correspondance!$A:$B,2,FALSE),Coin1!$A:$A,0),3)</f>
        <v>97.31</v>
      </c>
      <c r="D223">
        <f>INDEX(Coin1!$A:$D,MATCH(VLOOKUP(Coin2!$A223,Correspondance!$A:$B,2,FALSE),Coin1!$A:$A,0),4)</f>
        <v>32.176137809243642</v>
      </c>
    </row>
    <row r="224" spans="1:4" x14ac:dyDescent="0.35">
      <c r="A224">
        <v>722</v>
      </c>
      <c r="B224">
        <f>INDEX(Coin1!$A:$D,MATCH(VLOOKUP(Coin2!$A224,Correspondance!$A:$B,2,FALSE),Coin1!$A:$A,0),2)</f>
        <v>7.4175000000000004</v>
      </c>
      <c r="C224">
        <f>2*$I$2-INDEX(Coin1!$A:$D,MATCH(VLOOKUP(Coin2!$A224,Correspondance!$A:$B,2,FALSE),Coin1!$A:$A,0),3)</f>
        <v>97.31</v>
      </c>
      <c r="D224">
        <f>INDEX(Coin1!$A:$D,MATCH(VLOOKUP(Coin2!$A224,Correspondance!$A:$B,2,FALSE),Coin1!$A:$A,0),4)</f>
        <v>32.176137809243642</v>
      </c>
    </row>
    <row r="225" spans="1:4" x14ac:dyDescent="0.35">
      <c r="A225">
        <v>723</v>
      </c>
      <c r="B225">
        <f>INDEX(Coin1!$A:$D,MATCH(VLOOKUP(Coin2!$A225,Correspondance!$A:$B,2,FALSE),Coin1!$A:$A,0),2)</f>
        <v>10.247051270189223</v>
      </c>
      <c r="C225">
        <f>2*$I$2-INDEX(Coin1!$A:$D,MATCH(VLOOKUP(Coin2!$A225,Correspondance!$A:$B,2,FALSE),Coin1!$A:$A,0),3)</f>
        <v>97.31</v>
      </c>
      <c r="D225">
        <f>INDEX(Coin1!$A:$D,MATCH(VLOOKUP(Coin2!$A225,Correspondance!$A:$B,2,FALSE),Coin1!$A:$A,0),4)</f>
        <v>32.176137809243642</v>
      </c>
    </row>
    <row r="226" spans="1:4" x14ac:dyDescent="0.35">
      <c r="A226">
        <v>724</v>
      </c>
      <c r="B226">
        <f>INDEX(Coin1!$A:$D,MATCH(VLOOKUP(Coin2!$A226,Correspondance!$A:$B,2,FALSE),Coin1!$A:$A,0),2)</f>
        <v>10.247</v>
      </c>
      <c r="C226">
        <f>2*$I$2-INDEX(Coin1!$A:$D,MATCH(VLOOKUP(Coin2!$A226,Correspondance!$A:$B,2,FALSE),Coin1!$A:$A,0),3)</f>
        <v>97.31</v>
      </c>
      <c r="D226">
        <f>INDEX(Coin1!$A:$D,MATCH(VLOOKUP(Coin2!$A226,Correspondance!$A:$B,2,FALSE),Coin1!$A:$A,0),4)</f>
        <v>32.176137809243642</v>
      </c>
    </row>
    <row r="227" spans="1:4" x14ac:dyDescent="0.35">
      <c r="A227">
        <v>725</v>
      </c>
      <c r="B227">
        <f>INDEX(Coin1!$A:$D,MATCH(VLOOKUP(Coin2!$A227,Correspondance!$A:$B,2,FALSE),Coin1!$A:$A,0),2)</f>
        <v>12.990000000000002</v>
      </c>
      <c r="C227">
        <f>2*$I$2-INDEX(Coin1!$A:$D,MATCH(VLOOKUP(Coin2!$A227,Correspondance!$A:$B,2,FALSE),Coin1!$A:$A,0),3)</f>
        <v>97.31</v>
      </c>
      <c r="D227">
        <f>INDEX(Coin1!$A:$D,MATCH(VLOOKUP(Coin2!$A227,Correspondance!$A:$B,2,FALSE),Coin1!$A:$A,0),4)</f>
        <v>32.176137809243642</v>
      </c>
    </row>
    <row r="228" spans="1:4" x14ac:dyDescent="0.35">
      <c r="A228">
        <v>726</v>
      </c>
      <c r="B228">
        <f>INDEX(Coin1!$A:$D,MATCH(VLOOKUP(Coin2!$A228,Correspondance!$A:$B,2,FALSE),Coin1!$A:$A,0),2)</f>
        <v>-1.4</v>
      </c>
      <c r="C228">
        <f>2*$I$2-INDEX(Coin1!$A:$D,MATCH(VLOOKUP(Coin2!$A228,Correspondance!$A:$B,2,FALSE),Coin1!$A:$A,0),3)</f>
        <v>80.800000000000011</v>
      </c>
      <c r="D228">
        <f>INDEX(Coin1!$A:$D,MATCH(VLOOKUP(Coin2!$A228,Correspondance!$A:$B,2,FALSE),Coin1!$A:$A,0),4)</f>
        <v>32.176137809243642</v>
      </c>
    </row>
    <row r="229" spans="1:4" x14ac:dyDescent="0.35">
      <c r="A229">
        <v>727</v>
      </c>
      <c r="B229">
        <f>INDEX(Coin1!$A:$D,MATCH(VLOOKUP(Coin2!$A229,Correspondance!$A:$B,2,FALSE),Coin1!$A:$A,0),2)</f>
        <v>3.357948729810778</v>
      </c>
      <c r="C229">
        <f>2*$I$2-INDEX(Coin1!$A:$D,MATCH(VLOOKUP(Coin2!$A229,Correspondance!$A:$B,2,FALSE),Coin1!$A:$A,0),3)</f>
        <v>80.800000000000011</v>
      </c>
      <c r="D229">
        <f>INDEX(Coin1!$A:$D,MATCH(VLOOKUP(Coin2!$A229,Correspondance!$A:$B,2,FALSE),Coin1!$A:$A,0),4)</f>
        <v>32.176137809243642</v>
      </c>
    </row>
    <row r="230" spans="1:4" x14ac:dyDescent="0.35">
      <c r="A230">
        <v>728</v>
      </c>
      <c r="B230">
        <f>INDEX(Coin1!$A:$D,MATCH(VLOOKUP(Coin2!$A230,Correspondance!$A:$B,2,FALSE),Coin1!$A:$A,0),2)</f>
        <v>6.1875</v>
      </c>
      <c r="C230">
        <f>2*$I$2-INDEX(Coin1!$A:$D,MATCH(VLOOKUP(Coin2!$A230,Correspondance!$A:$B,2,FALSE),Coin1!$A:$A,0),3)</f>
        <v>80.800000000000011</v>
      </c>
      <c r="D230">
        <f>INDEX(Coin1!$A:$D,MATCH(VLOOKUP(Coin2!$A230,Correspondance!$A:$B,2,FALSE),Coin1!$A:$A,0),4)</f>
        <v>32.176137809243642</v>
      </c>
    </row>
    <row r="231" spans="1:4" x14ac:dyDescent="0.35">
      <c r="A231">
        <v>729</v>
      </c>
      <c r="B231">
        <f>INDEX(Coin1!$A:$D,MATCH(VLOOKUP(Coin2!$A231,Correspondance!$A:$B,2,FALSE),Coin1!$A:$A,0),2)</f>
        <v>6.8025000000000002</v>
      </c>
      <c r="C231">
        <f>2*$I$2-INDEX(Coin1!$A:$D,MATCH(VLOOKUP(Coin2!$A231,Correspondance!$A:$B,2,FALSE),Coin1!$A:$A,0),3)</f>
        <v>80.800000000000011</v>
      </c>
      <c r="D231">
        <f>INDEX(Coin1!$A:$D,MATCH(VLOOKUP(Coin2!$A231,Correspondance!$A:$B,2,FALSE),Coin1!$A:$A,0),4)</f>
        <v>32.176137809243642</v>
      </c>
    </row>
    <row r="232" spans="1:4" x14ac:dyDescent="0.35">
      <c r="A232">
        <v>730</v>
      </c>
      <c r="B232">
        <f>INDEX(Coin1!$A:$D,MATCH(VLOOKUP(Coin2!$A232,Correspondance!$A:$B,2,FALSE),Coin1!$A:$A,0),2)</f>
        <v>7.4175000000000004</v>
      </c>
      <c r="C232">
        <f>2*$I$2-INDEX(Coin1!$A:$D,MATCH(VLOOKUP(Coin2!$A232,Correspondance!$A:$B,2,FALSE),Coin1!$A:$A,0),3)</f>
        <v>80.800000000000011</v>
      </c>
      <c r="D232">
        <f>INDEX(Coin1!$A:$D,MATCH(VLOOKUP(Coin2!$A232,Correspondance!$A:$B,2,FALSE),Coin1!$A:$A,0),4)</f>
        <v>32.176137809243642</v>
      </c>
    </row>
    <row r="233" spans="1:4" x14ac:dyDescent="0.35">
      <c r="A233">
        <v>731</v>
      </c>
      <c r="B233">
        <f>INDEX(Coin1!$A:$D,MATCH(VLOOKUP(Coin2!$A233,Correspondance!$A:$B,2,FALSE),Coin1!$A:$A,0),2)</f>
        <v>10.247051270189223</v>
      </c>
      <c r="C233">
        <f>2*$I$2-INDEX(Coin1!$A:$D,MATCH(VLOOKUP(Coin2!$A233,Correspondance!$A:$B,2,FALSE),Coin1!$A:$A,0),3)</f>
        <v>80.800000000000011</v>
      </c>
      <c r="D233">
        <f>INDEX(Coin1!$A:$D,MATCH(VLOOKUP(Coin2!$A233,Correspondance!$A:$B,2,FALSE),Coin1!$A:$A,0),4)</f>
        <v>32.176137809243642</v>
      </c>
    </row>
    <row r="234" spans="1:4" x14ac:dyDescent="0.35">
      <c r="A234">
        <v>732</v>
      </c>
      <c r="B234">
        <f>INDEX(Coin1!$A:$D,MATCH(VLOOKUP(Coin2!$A234,Correspondance!$A:$B,2,FALSE),Coin1!$A:$A,0),2)</f>
        <v>-1.4</v>
      </c>
      <c r="C234">
        <f>2*$I$2-INDEX(Coin1!$A:$D,MATCH(VLOOKUP(Coin2!$A234,Correspondance!$A:$B,2,FALSE),Coin1!$A:$A,0),3)</f>
        <v>83.493000000000009</v>
      </c>
      <c r="D234">
        <f>INDEX(Coin1!$A:$D,MATCH(VLOOKUP(Coin2!$A234,Correspondance!$A:$B,2,FALSE),Coin1!$A:$A,0),4)</f>
        <v>32.176137809243642</v>
      </c>
    </row>
    <row r="235" spans="1:4" x14ac:dyDescent="0.35">
      <c r="A235">
        <v>733</v>
      </c>
      <c r="B235">
        <f>INDEX(Coin1!$A:$D,MATCH(VLOOKUP(Coin2!$A235,Correspondance!$A:$B,2,FALSE),Coin1!$A:$A,0),2)</f>
        <v>6.8025000000000002</v>
      </c>
      <c r="C235">
        <f>2*$I$2-INDEX(Coin1!$A:$D,MATCH(VLOOKUP(Coin2!$A235,Correspondance!$A:$B,2,FALSE),Coin1!$A:$A,0),3)</f>
        <v>84.84</v>
      </c>
      <c r="D235">
        <f>INDEX(Coin1!$A:$D,MATCH(VLOOKUP(Coin2!$A235,Correspondance!$A:$B,2,FALSE),Coin1!$A:$A,0),4)</f>
        <v>32.176137809243642</v>
      </c>
    </row>
    <row r="236" spans="1:4" x14ac:dyDescent="0.35">
      <c r="A236">
        <v>734</v>
      </c>
      <c r="B236">
        <f>INDEX(Coin1!$A:$D,MATCH(VLOOKUP(Coin2!$A236,Correspondance!$A:$B,2,FALSE),Coin1!$A:$A,0),2)</f>
        <v>-1.4</v>
      </c>
      <c r="C236">
        <f>2*$I$2-INDEX(Coin1!$A:$D,MATCH(VLOOKUP(Coin2!$A236,Correspondance!$A:$B,2,FALSE),Coin1!$A:$A,0),3)</f>
        <v>86.187000000000012</v>
      </c>
      <c r="D236">
        <f>INDEX(Coin1!$A:$D,MATCH(VLOOKUP(Coin2!$A236,Correspondance!$A:$B,2,FALSE),Coin1!$A:$A,0),4)</f>
        <v>32.176137809243642</v>
      </c>
    </row>
    <row r="237" spans="1:4" x14ac:dyDescent="0.35">
      <c r="A237">
        <v>735</v>
      </c>
      <c r="B237">
        <f>INDEX(Coin1!$A:$D,MATCH(VLOOKUP(Coin2!$A237,Correspondance!$A:$B,2,FALSE),Coin1!$A:$A,0),2)</f>
        <v>-1.4</v>
      </c>
      <c r="C237">
        <f>2*$I$2-INDEX(Coin1!$A:$D,MATCH(VLOOKUP(Coin2!$A237,Correspondance!$A:$B,2,FALSE),Coin1!$A:$A,0),3)</f>
        <v>88.88000000000001</v>
      </c>
      <c r="D237">
        <f>INDEX(Coin1!$A:$D,MATCH(VLOOKUP(Coin2!$A237,Correspondance!$A:$B,2,FALSE),Coin1!$A:$A,0),4)</f>
        <v>32.176137809243642</v>
      </c>
    </row>
    <row r="238" spans="1:4" x14ac:dyDescent="0.35">
      <c r="A238">
        <v>736</v>
      </c>
      <c r="B238">
        <f>INDEX(Coin1!$A:$D,MATCH(VLOOKUP(Coin2!$A238,Correspondance!$A:$B,2,FALSE),Coin1!$A:$A,0),2)</f>
        <v>3.357948729810778</v>
      </c>
      <c r="C238">
        <f>2*$I$2-INDEX(Coin1!$A:$D,MATCH(VLOOKUP(Coin2!$A238,Correspondance!$A:$B,2,FALSE),Coin1!$A:$A,0),3)</f>
        <v>88.88000000000001</v>
      </c>
      <c r="D238">
        <f>INDEX(Coin1!$A:$D,MATCH(VLOOKUP(Coin2!$A238,Correspondance!$A:$B,2,FALSE),Coin1!$A:$A,0),4)</f>
        <v>32.176137809243642</v>
      </c>
    </row>
    <row r="239" spans="1:4" x14ac:dyDescent="0.35">
      <c r="A239">
        <v>737</v>
      </c>
      <c r="B239">
        <f>INDEX(Coin1!$A:$D,MATCH(VLOOKUP(Coin2!$A239,Correspondance!$A:$B,2,FALSE),Coin1!$A:$A,0),2)</f>
        <v>6.1875</v>
      </c>
      <c r="C239">
        <f>2*$I$2-INDEX(Coin1!$A:$D,MATCH(VLOOKUP(Coin2!$A239,Correspondance!$A:$B,2,FALSE),Coin1!$A:$A,0),3)</f>
        <v>88.88000000000001</v>
      </c>
      <c r="D239">
        <f>INDEX(Coin1!$A:$D,MATCH(VLOOKUP(Coin2!$A239,Correspondance!$A:$B,2,FALSE),Coin1!$A:$A,0),4)</f>
        <v>32.176137809243642</v>
      </c>
    </row>
    <row r="240" spans="1:4" x14ac:dyDescent="0.35">
      <c r="A240">
        <v>738</v>
      </c>
      <c r="B240">
        <f>INDEX(Coin1!$A:$D,MATCH(VLOOKUP(Coin2!$A240,Correspondance!$A:$B,2,FALSE),Coin1!$A:$A,0),2)</f>
        <v>6.8025000000000002</v>
      </c>
      <c r="C240">
        <f>2*$I$2-INDEX(Coin1!$A:$D,MATCH(VLOOKUP(Coin2!$A240,Correspondance!$A:$B,2,FALSE),Coin1!$A:$A,0),3)</f>
        <v>88.88000000000001</v>
      </c>
      <c r="D240">
        <f>INDEX(Coin1!$A:$D,MATCH(VLOOKUP(Coin2!$A240,Correspondance!$A:$B,2,FALSE),Coin1!$A:$A,0),4)</f>
        <v>32.176137809243642</v>
      </c>
    </row>
    <row r="241" spans="1:4" x14ac:dyDescent="0.35">
      <c r="A241">
        <v>739</v>
      </c>
      <c r="B241">
        <f>INDEX(Coin1!$A:$D,MATCH(VLOOKUP(Coin2!$A241,Correspondance!$A:$B,2,FALSE),Coin1!$A:$A,0),2)</f>
        <v>7.4175000000000004</v>
      </c>
      <c r="C241">
        <f>2*$I$2-INDEX(Coin1!$A:$D,MATCH(VLOOKUP(Coin2!$A241,Correspondance!$A:$B,2,FALSE),Coin1!$A:$A,0),3)</f>
        <v>88.88000000000001</v>
      </c>
      <c r="D241">
        <f>INDEX(Coin1!$A:$D,MATCH(VLOOKUP(Coin2!$A241,Correspondance!$A:$B,2,FALSE),Coin1!$A:$A,0),4)</f>
        <v>32.176137809243642</v>
      </c>
    </row>
    <row r="242" spans="1:4" x14ac:dyDescent="0.35">
      <c r="A242">
        <v>740</v>
      </c>
      <c r="B242">
        <f>INDEX(Coin1!$A:$D,MATCH(VLOOKUP(Coin2!$A242,Correspondance!$A:$B,2,FALSE),Coin1!$A:$A,0),2)</f>
        <v>10.247051270189223</v>
      </c>
      <c r="C242">
        <f>2*$I$2-INDEX(Coin1!$A:$D,MATCH(VLOOKUP(Coin2!$A242,Correspondance!$A:$B,2,FALSE),Coin1!$A:$A,0),3)</f>
        <v>88.88000000000001</v>
      </c>
      <c r="D242">
        <f>INDEX(Coin1!$A:$D,MATCH(VLOOKUP(Coin2!$A242,Correspondance!$A:$B,2,FALSE),Coin1!$A:$A,0),4)</f>
        <v>32.176137809243642</v>
      </c>
    </row>
    <row r="243" spans="1:4" x14ac:dyDescent="0.35">
      <c r="A243">
        <v>741</v>
      </c>
      <c r="B243">
        <f>INDEX(Coin1!$A:$D,MATCH(VLOOKUP(Coin2!$A243,Correspondance!$A:$B,2,FALSE),Coin1!$A:$A,0),2)</f>
        <v>-1.4</v>
      </c>
      <c r="C243">
        <f>2*$I$2-INDEX(Coin1!$A:$D,MATCH(VLOOKUP(Coin2!$A243,Correspondance!$A:$B,2,FALSE),Coin1!$A:$A,0),3)</f>
        <v>91.573000000000008</v>
      </c>
      <c r="D243">
        <f>INDEX(Coin1!$A:$D,MATCH(VLOOKUP(Coin2!$A243,Correspondance!$A:$B,2,FALSE),Coin1!$A:$A,0),4)</f>
        <v>32.176137809243642</v>
      </c>
    </row>
    <row r="244" spans="1:4" x14ac:dyDescent="0.35">
      <c r="A244">
        <v>742</v>
      </c>
      <c r="B244">
        <f>INDEX(Coin1!$A:$D,MATCH(VLOOKUP(Coin2!$A244,Correspondance!$A:$B,2,FALSE),Coin1!$A:$A,0),2)</f>
        <v>6.8025000000000002</v>
      </c>
      <c r="C244">
        <f>2*$I$2-INDEX(Coin1!$A:$D,MATCH(VLOOKUP(Coin2!$A244,Correspondance!$A:$B,2,FALSE),Coin1!$A:$A,0),3)</f>
        <v>92.92</v>
      </c>
      <c r="D244">
        <f>INDEX(Coin1!$A:$D,MATCH(VLOOKUP(Coin2!$A244,Correspondance!$A:$B,2,FALSE),Coin1!$A:$A,0),4)</f>
        <v>32.176137809243642</v>
      </c>
    </row>
    <row r="245" spans="1:4" x14ac:dyDescent="0.35">
      <c r="A245">
        <v>743</v>
      </c>
      <c r="B245">
        <f>INDEX(Coin1!$A:$D,MATCH(VLOOKUP(Coin2!$A245,Correspondance!$A:$B,2,FALSE),Coin1!$A:$A,0),2)</f>
        <v>-1.4</v>
      </c>
      <c r="C245">
        <f>2*$I$2-INDEX(Coin1!$A:$D,MATCH(VLOOKUP(Coin2!$A245,Correspondance!$A:$B,2,FALSE),Coin1!$A:$A,0),3)</f>
        <v>94.26700000000001</v>
      </c>
      <c r="D245">
        <f>INDEX(Coin1!$A:$D,MATCH(VLOOKUP(Coin2!$A245,Correspondance!$A:$B,2,FALSE),Coin1!$A:$A,0),4)</f>
        <v>32.176137809243642</v>
      </c>
    </row>
    <row r="246" spans="1:4" x14ac:dyDescent="0.35">
      <c r="A246">
        <v>744</v>
      </c>
      <c r="B246">
        <f>INDEX(Coin1!$A:$D,MATCH(VLOOKUP(Coin2!$A246,Correspondance!$A:$B,2,FALSE),Coin1!$A:$A,0),2)</f>
        <v>-1.4</v>
      </c>
      <c r="C246">
        <f>2*$I$2-INDEX(Coin1!$A:$D,MATCH(VLOOKUP(Coin2!$A246,Correspondance!$A:$B,2,FALSE),Coin1!$A:$A,0),3)</f>
        <v>96.960000000000008</v>
      </c>
      <c r="D246">
        <f>INDEX(Coin1!$A:$D,MATCH(VLOOKUP(Coin2!$A246,Correspondance!$A:$B,2,FALSE),Coin1!$A:$A,0),4)</f>
        <v>32.176137809243642</v>
      </c>
    </row>
    <row r="247" spans="1:4" x14ac:dyDescent="0.35">
      <c r="A247">
        <v>745</v>
      </c>
      <c r="B247">
        <f>INDEX(Coin1!$A:$D,MATCH(VLOOKUP(Coin2!$A247,Correspondance!$A:$B,2,FALSE),Coin1!$A:$A,0),2)</f>
        <v>3.357948729810778</v>
      </c>
      <c r="C247">
        <f>2*$I$2-INDEX(Coin1!$A:$D,MATCH(VLOOKUP(Coin2!$A247,Correspondance!$A:$B,2,FALSE),Coin1!$A:$A,0),3)</f>
        <v>96.960000000000008</v>
      </c>
      <c r="D247">
        <f>INDEX(Coin1!$A:$D,MATCH(VLOOKUP(Coin2!$A247,Correspondance!$A:$B,2,FALSE),Coin1!$A:$A,0),4)</f>
        <v>32.176137809243642</v>
      </c>
    </row>
    <row r="248" spans="1:4" x14ac:dyDescent="0.35">
      <c r="A248">
        <v>746</v>
      </c>
      <c r="B248">
        <f>INDEX(Coin1!$A:$D,MATCH(VLOOKUP(Coin2!$A248,Correspondance!$A:$B,2,FALSE),Coin1!$A:$A,0),2)</f>
        <v>6.1875</v>
      </c>
      <c r="C248">
        <f>2*$I$2-INDEX(Coin1!$A:$D,MATCH(VLOOKUP(Coin2!$A248,Correspondance!$A:$B,2,FALSE),Coin1!$A:$A,0),3)</f>
        <v>96.960000000000008</v>
      </c>
      <c r="D248">
        <f>INDEX(Coin1!$A:$D,MATCH(VLOOKUP(Coin2!$A248,Correspondance!$A:$B,2,FALSE),Coin1!$A:$A,0),4)</f>
        <v>32.176137809243642</v>
      </c>
    </row>
    <row r="249" spans="1:4" x14ac:dyDescent="0.35">
      <c r="A249">
        <v>747</v>
      </c>
      <c r="B249">
        <f>INDEX(Coin1!$A:$D,MATCH(VLOOKUP(Coin2!$A249,Correspondance!$A:$B,2,FALSE),Coin1!$A:$A,0),2)</f>
        <v>6.8025000000000002</v>
      </c>
      <c r="C249">
        <f>2*$I$2-INDEX(Coin1!$A:$D,MATCH(VLOOKUP(Coin2!$A249,Correspondance!$A:$B,2,FALSE),Coin1!$A:$A,0),3)</f>
        <v>96.960000000000008</v>
      </c>
      <c r="D249">
        <f>INDEX(Coin1!$A:$D,MATCH(VLOOKUP(Coin2!$A249,Correspondance!$A:$B,2,FALSE),Coin1!$A:$A,0),4)</f>
        <v>32.176137809243642</v>
      </c>
    </row>
    <row r="250" spans="1:4" x14ac:dyDescent="0.35">
      <c r="A250">
        <v>748</v>
      </c>
      <c r="B250">
        <f>INDEX(Coin1!$A:$D,MATCH(VLOOKUP(Coin2!$A250,Correspondance!$A:$B,2,FALSE),Coin1!$A:$A,0),2)</f>
        <v>7.4175000000000004</v>
      </c>
      <c r="C250">
        <f>2*$I$2-INDEX(Coin1!$A:$D,MATCH(VLOOKUP(Coin2!$A250,Correspondance!$A:$B,2,FALSE),Coin1!$A:$A,0),3)</f>
        <v>96.960000000000008</v>
      </c>
      <c r="D250">
        <f>INDEX(Coin1!$A:$D,MATCH(VLOOKUP(Coin2!$A250,Correspondance!$A:$B,2,FALSE),Coin1!$A:$A,0),4)</f>
        <v>32.176137809243642</v>
      </c>
    </row>
    <row r="251" spans="1:4" x14ac:dyDescent="0.35">
      <c r="A251">
        <v>749</v>
      </c>
      <c r="B251">
        <f>INDEX(Coin1!$A:$D,MATCH(VLOOKUP(Coin2!$A251,Correspondance!$A:$B,2,FALSE),Coin1!$A:$A,0),2)</f>
        <v>10.247051270189223</v>
      </c>
      <c r="C251">
        <f>2*$I$2-INDEX(Coin1!$A:$D,MATCH(VLOOKUP(Coin2!$A251,Correspondance!$A:$B,2,FALSE),Coin1!$A:$A,0),3)</f>
        <v>96.960000000000008</v>
      </c>
      <c r="D251">
        <f>INDEX(Coin1!$A:$D,MATCH(VLOOKUP(Coin2!$A251,Correspondance!$A:$B,2,FALSE),Coin1!$A:$A,0),4)</f>
        <v>32.176137809243642</v>
      </c>
    </row>
    <row r="252" spans="1:4" x14ac:dyDescent="0.35">
      <c r="A252">
        <v>750</v>
      </c>
      <c r="B252">
        <f>INDEX(Coin1!$A:$D,MATCH(VLOOKUP(Coin2!$A252,Correspondance!$A:$B,2,FALSE),Coin1!$A:$A,0),2)</f>
        <v>-1.4</v>
      </c>
      <c r="C252">
        <f>2*$I$2-INDEX(Coin1!$A:$D,MATCH(VLOOKUP(Coin2!$A252,Correspondance!$A:$B,2,FALSE),Coin1!$A:$A,0),3)</f>
        <v>97.31</v>
      </c>
      <c r="D252">
        <f>INDEX(Coin1!$A:$D,MATCH(VLOOKUP(Coin2!$A252,Correspondance!$A:$B,2,FALSE),Coin1!$A:$A,0),4)</f>
        <v>32.176137809243642</v>
      </c>
    </row>
    <row r="253" spans="1:4" x14ac:dyDescent="0.35">
      <c r="A253">
        <v>751</v>
      </c>
      <c r="B253">
        <f>INDEX(Coin1!$A:$D,MATCH(VLOOKUP(Coin2!$A253,Correspondance!$A:$B,2,FALSE),Coin1!$A:$A,0),2)</f>
        <v>3.357948729810778</v>
      </c>
      <c r="C253">
        <f>2*$I$2-INDEX(Coin1!$A:$D,MATCH(VLOOKUP(Coin2!$A253,Correspondance!$A:$B,2,FALSE),Coin1!$A:$A,0),3)</f>
        <v>97.31</v>
      </c>
      <c r="D253">
        <f>INDEX(Coin1!$A:$D,MATCH(VLOOKUP(Coin2!$A253,Correspondance!$A:$B,2,FALSE),Coin1!$A:$A,0),4)</f>
        <v>32.176137809243642</v>
      </c>
    </row>
    <row r="254" spans="1:4" x14ac:dyDescent="0.35">
      <c r="A254">
        <v>752</v>
      </c>
      <c r="B254">
        <f>INDEX(Coin1!$A:$D,MATCH(VLOOKUP(Coin2!$A254,Correspondance!$A:$B,2,FALSE),Coin1!$A:$A,0),2)</f>
        <v>6.1875</v>
      </c>
      <c r="C254">
        <f>2*$I$2-INDEX(Coin1!$A:$D,MATCH(VLOOKUP(Coin2!$A254,Correspondance!$A:$B,2,FALSE),Coin1!$A:$A,0),3)</f>
        <v>97.31</v>
      </c>
      <c r="D254">
        <f>INDEX(Coin1!$A:$D,MATCH(VLOOKUP(Coin2!$A254,Correspondance!$A:$B,2,FALSE),Coin1!$A:$A,0),4)</f>
        <v>32.176137809243642</v>
      </c>
    </row>
    <row r="255" spans="1:4" x14ac:dyDescent="0.35">
      <c r="A255">
        <v>753</v>
      </c>
      <c r="B255">
        <f>INDEX(Coin1!$A:$D,MATCH(VLOOKUP(Coin2!$A255,Correspondance!$A:$B,2,FALSE),Coin1!$A:$A,0),2)</f>
        <v>7.4175000000000004</v>
      </c>
      <c r="C255">
        <f>2*$I$2-INDEX(Coin1!$A:$D,MATCH(VLOOKUP(Coin2!$A255,Correspondance!$A:$B,2,FALSE),Coin1!$A:$A,0),3)</f>
        <v>97.31</v>
      </c>
      <c r="D255">
        <f>INDEX(Coin1!$A:$D,MATCH(VLOOKUP(Coin2!$A255,Correspondance!$A:$B,2,FALSE),Coin1!$A:$A,0),4)</f>
        <v>32.176137809243642</v>
      </c>
    </row>
    <row r="256" spans="1:4" x14ac:dyDescent="0.35">
      <c r="A256">
        <v>754</v>
      </c>
      <c r="B256">
        <f>INDEX(Coin1!$A:$D,MATCH(VLOOKUP(Coin2!$A256,Correspondance!$A:$B,2,FALSE),Coin1!$A:$A,0),2)</f>
        <v>10.247051270189223</v>
      </c>
      <c r="C256">
        <f>2*$I$2-INDEX(Coin1!$A:$D,MATCH(VLOOKUP(Coin2!$A256,Correspondance!$A:$B,2,FALSE),Coin1!$A:$A,0),3)</f>
        <v>97.31</v>
      </c>
      <c r="D256">
        <f>INDEX(Coin1!$A:$D,MATCH(VLOOKUP(Coin2!$A256,Correspondance!$A:$B,2,FALSE),Coin1!$A:$A,0),4)</f>
        <v>32.176137809243642</v>
      </c>
    </row>
    <row r="257" spans="1:4" x14ac:dyDescent="0.35">
      <c r="A257">
        <v>755</v>
      </c>
      <c r="B257">
        <f>INDEX(Coin1!$A:$D,MATCH(VLOOKUP(Coin2!$A257,Correspondance!$A:$B,2,FALSE),Coin1!$A:$A,0),2)</f>
        <v>12.990000000000002</v>
      </c>
      <c r="C257">
        <f>2*$I$2-INDEX(Coin1!$A:$D,MATCH(VLOOKUP(Coin2!$A257,Correspondance!$A:$B,2,FALSE),Coin1!$A:$A,0),3)</f>
        <v>97.31</v>
      </c>
      <c r="D257">
        <f>INDEX(Coin1!$A:$D,MATCH(VLOOKUP(Coin2!$A257,Correspondance!$A:$B,2,FALSE),Coin1!$A:$A,0),4)</f>
        <v>32.176137809243642</v>
      </c>
    </row>
    <row r="258" spans="1:4" x14ac:dyDescent="0.35">
      <c r="A258">
        <v>756</v>
      </c>
      <c r="B258">
        <f>INDEX(Coin1!$A:$D,MATCH(VLOOKUP(Coin2!$A258,Correspondance!$A:$B,2,FALSE),Coin1!$A:$A,0),2)</f>
        <v>14.220000000000002</v>
      </c>
      <c r="C258">
        <f>2*$I$2-INDEX(Coin1!$A:$D,MATCH(VLOOKUP(Coin2!$A258,Correspondance!$A:$B,2,FALSE),Coin1!$A:$A,0),3)</f>
        <v>97.31</v>
      </c>
      <c r="D258">
        <f>INDEX(Coin1!$A:$D,MATCH(VLOOKUP(Coin2!$A258,Correspondance!$A:$B,2,FALSE),Coin1!$A:$A,0),4)</f>
        <v>32.176137809243642</v>
      </c>
    </row>
    <row r="259" spans="1:4" x14ac:dyDescent="0.35">
      <c r="A259">
        <v>758</v>
      </c>
      <c r="B259">
        <f>INDEX(Coin1!$A:$D,MATCH(VLOOKUP(Coin2!$A259,Correspondance!$A:$B,2,FALSE),Coin1!$A:$A,0),2)</f>
        <v>-1.4</v>
      </c>
      <c r="C259">
        <f>2*$I$2-INDEX(Coin1!$A:$D,MATCH(VLOOKUP(Coin2!$A259,Correspondance!$A:$B,2,FALSE),Coin1!$A:$A,0),3)</f>
        <v>80.800000000000011</v>
      </c>
      <c r="D259">
        <f>INDEX(Coin1!$A:$D,MATCH(VLOOKUP(Coin2!$A259,Correspondance!$A:$B,2,FALSE),Coin1!$A:$A,0),4)</f>
        <v>35.084206713865463</v>
      </c>
    </row>
    <row r="260" spans="1:4" x14ac:dyDescent="0.35">
      <c r="A260">
        <v>759</v>
      </c>
      <c r="B260">
        <f>INDEX(Coin1!$A:$D,MATCH(VLOOKUP(Coin2!$A260,Correspondance!$A:$B,2,FALSE),Coin1!$A:$A,0),2)</f>
        <v>5.0369999999999999</v>
      </c>
      <c r="C260">
        <f>2*$I$2-INDEX(Coin1!$A:$D,MATCH(VLOOKUP(Coin2!$A260,Correspondance!$A:$B,2,FALSE),Coin1!$A:$A,0),3)</f>
        <v>80.800000000000011</v>
      </c>
      <c r="D260">
        <f>INDEX(Coin1!$A:$D,MATCH(VLOOKUP(Coin2!$A260,Correspondance!$A:$B,2,FALSE),Coin1!$A:$A,0),4)</f>
        <v>35.084206713865463</v>
      </c>
    </row>
    <row r="261" spans="1:4" x14ac:dyDescent="0.35">
      <c r="A261">
        <v>760</v>
      </c>
      <c r="B261">
        <f>INDEX(Coin1!$A:$D,MATCH(VLOOKUP(Coin2!$A261,Correspondance!$A:$B,2,FALSE),Coin1!$A:$A,0),2)</f>
        <v>8.5680000000000014</v>
      </c>
      <c r="C261">
        <f>2*$I$2-INDEX(Coin1!$A:$D,MATCH(VLOOKUP(Coin2!$A261,Correspondance!$A:$B,2,FALSE),Coin1!$A:$A,0),3)</f>
        <v>80.800000000000011</v>
      </c>
      <c r="D261">
        <f>INDEX(Coin1!$A:$D,MATCH(VLOOKUP(Coin2!$A261,Correspondance!$A:$B,2,FALSE),Coin1!$A:$A,0),4)</f>
        <v>35.084206713865463</v>
      </c>
    </row>
    <row r="262" spans="1:4" x14ac:dyDescent="0.35">
      <c r="A262">
        <v>761</v>
      </c>
      <c r="B262">
        <f>INDEX(Coin1!$A:$D,MATCH(VLOOKUP(Coin2!$A262,Correspondance!$A:$B,2,FALSE),Coin1!$A:$A,0),2)</f>
        <v>-1.4</v>
      </c>
      <c r="C262">
        <f>2*$I$2-INDEX(Coin1!$A:$D,MATCH(VLOOKUP(Coin2!$A262,Correspondance!$A:$B,2,FALSE),Coin1!$A:$A,0),3)</f>
        <v>83.493000000000009</v>
      </c>
      <c r="D262">
        <f>INDEX(Coin1!$A:$D,MATCH(VLOOKUP(Coin2!$A262,Correspondance!$A:$B,2,FALSE),Coin1!$A:$A,0),4)</f>
        <v>35.084206713865463</v>
      </c>
    </row>
    <row r="263" spans="1:4" x14ac:dyDescent="0.35">
      <c r="A263">
        <v>762</v>
      </c>
      <c r="B263">
        <f>INDEX(Coin1!$A:$D,MATCH(VLOOKUP(Coin2!$A263,Correspondance!$A:$B,2,FALSE),Coin1!$A:$A,0),2)</f>
        <v>-1.4</v>
      </c>
      <c r="C263">
        <f>2*$I$2-INDEX(Coin1!$A:$D,MATCH(VLOOKUP(Coin2!$A263,Correspondance!$A:$B,2,FALSE),Coin1!$A:$A,0),3)</f>
        <v>86.187000000000012</v>
      </c>
      <c r="D263">
        <f>INDEX(Coin1!$A:$D,MATCH(VLOOKUP(Coin2!$A263,Correspondance!$A:$B,2,FALSE),Coin1!$A:$A,0),4)</f>
        <v>35.084206713865463</v>
      </c>
    </row>
    <row r="264" spans="1:4" x14ac:dyDescent="0.35">
      <c r="A264">
        <v>763</v>
      </c>
      <c r="B264">
        <f>INDEX(Coin1!$A:$D,MATCH(VLOOKUP(Coin2!$A264,Correspondance!$A:$B,2,FALSE),Coin1!$A:$A,0),2)</f>
        <v>-1.4</v>
      </c>
      <c r="C264">
        <f>2*$I$2-INDEX(Coin1!$A:$D,MATCH(VLOOKUP(Coin2!$A264,Correspondance!$A:$B,2,FALSE),Coin1!$A:$A,0),3)</f>
        <v>88.88000000000001</v>
      </c>
      <c r="D264">
        <f>INDEX(Coin1!$A:$D,MATCH(VLOOKUP(Coin2!$A264,Correspondance!$A:$B,2,FALSE),Coin1!$A:$A,0),4)</f>
        <v>35.084206713865463</v>
      </c>
    </row>
    <row r="265" spans="1:4" x14ac:dyDescent="0.35">
      <c r="A265">
        <v>764</v>
      </c>
      <c r="B265">
        <f>INDEX(Coin1!$A:$D,MATCH(VLOOKUP(Coin2!$A265,Correspondance!$A:$B,2,FALSE),Coin1!$A:$A,0),2)</f>
        <v>5.0369999999999999</v>
      </c>
      <c r="C265">
        <f>2*$I$2-INDEX(Coin1!$A:$D,MATCH(VLOOKUP(Coin2!$A265,Correspondance!$A:$B,2,FALSE),Coin1!$A:$A,0),3)</f>
        <v>88.88000000000001</v>
      </c>
      <c r="D265">
        <f>INDEX(Coin1!$A:$D,MATCH(VLOOKUP(Coin2!$A265,Correspondance!$A:$B,2,FALSE),Coin1!$A:$A,0),4)</f>
        <v>35.084206713865463</v>
      </c>
    </row>
    <row r="266" spans="1:4" x14ac:dyDescent="0.35">
      <c r="A266">
        <v>765</v>
      </c>
      <c r="B266">
        <f>INDEX(Coin1!$A:$D,MATCH(VLOOKUP(Coin2!$A266,Correspondance!$A:$B,2,FALSE),Coin1!$A:$A,0),2)</f>
        <v>8.5680000000000014</v>
      </c>
      <c r="C266">
        <f>2*$I$2-INDEX(Coin1!$A:$D,MATCH(VLOOKUP(Coin2!$A266,Correspondance!$A:$B,2,FALSE),Coin1!$A:$A,0),3)</f>
        <v>88.88000000000001</v>
      </c>
      <c r="D266">
        <f>INDEX(Coin1!$A:$D,MATCH(VLOOKUP(Coin2!$A266,Correspondance!$A:$B,2,FALSE),Coin1!$A:$A,0),4)</f>
        <v>35.084206713865463</v>
      </c>
    </row>
    <row r="267" spans="1:4" x14ac:dyDescent="0.35">
      <c r="A267">
        <v>766</v>
      </c>
      <c r="B267">
        <f>INDEX(Coin1!$A:$D,MATCH(VLOOKUP(Coin2!$A267,Correspondance!$A:$B,2,FALSE),Coin1!$A:$A,0),2)</f>
        <v>-1.4</v>
      </c>
      <c r="C267">
        <f>2*$I$2-INDEX(Coin1!$A:$D,MATCH(VLOOKUP(Coin2!$A267,Correspondance!$A:$B,2,FALSE),Coin1!$A:$A,0),3)</f>
        <v>91.573000000000008</v>
      </c>
      <c r="D267">
        <f>INDEX(Coin1!$A:$D,MATCH(VLOOKUP(Coin2!$A267,Correspondance!$A:$B,2,FALSE),Coin1!$A:$A,0),4)</f>
        <v>35.084206713865463</v>
      </c>
    </row>
    <row r="268" spans="1:4" x14ac:dyDescent="0.35">
      <c r="A268">
        <v>767</v>
      </c>
      <c r="B268">
        <f>INDEX(Coin1!$A:$D,MATCH(VLOOKUP(Coin2!$A268,Correspondance!$A:$B,2,FALSE),Coin1!$A:$A,0),2)</f>
        <v>-1.4</v>
      </c>
      <c r="C268">
        <f>2*$I$2-INDEX(Coin1!$A:$D,MATCH(VLOOKUP(Coin2!$A268,Correspondance!$A:$B,2,FALSE),Coin1!$A:$A,0),3)</f>
        <v>94.26700000000001</v>
      </c>
      <c r="D268">
        <f>INDEX(Coin1!$A:$D,MATCH(VLOOKUP(Coin2!$A268,Correspondance!$A:$B,2,FALSE),Coin1!$A:$A,0),4)</f>
        <v>35.084206713865463</v>
      </c>
    </row>
    <row r="269" spans="1:4" x14ac:dyDescent="0.35">
      <c r="A269">
        <v>768</v>
      </c>
      <c r="B269">
        <f>INDEX(Coin1!$A:$D,MATCH(VLOOKUP(Coin2!$A269,Correspondance!$A:$B,2,FALSE),Coin1!$A:$A,0),2)</f>
        <v>-1.4</v>
      </c>
      <c r="C269">
        <f>2*$I$2-INDEX(Coin1!$A:$D,MATCH(VLOOKUP(Coin2!$A269,Correspondance!$A:$B,2,FALSE),Coin1!$A:$A,0),3)</f>
        <v>96.960000000000008</v>
      </c>
      <c r="D269">
        <f>INDEX(Coin1!$A:$D,MATCH(VLOOKUP(Coin2!$A269,Correspondance!$A:$B,2,FALSE),Coin1!$A:$A,0),4)</f>
        <v>35.084206713865463</v>
      </c>
    </row>
    <row r="270" spans="1:4" x14ac:dyDescent="0.35">
      <c r="A270">
        <v>769</v>
      </c>
      <c r="B270">
        <f>INDEX(Coin1!$A:$D,MATCH(VLOOKUP(Coin2!$A270,Correspondance!$A:$B,2,FALSE),Coin1!$A:$A,0),2)</f>
        <v>5.0369999999999999</v>
      </c>
      <c r="C270">
        <f>2*$I$2-INDEX(Coin1!$A:$D,MATCH(VLOOKUP(Coin2!$A270,Correspondance!$A:$B,2,FALSE),Coin1!$A:$A,0),3)</f>
        <v>96.960000000000008</v>
      </c>
      <c r="D270">
        <f>INDEX(Coin1!$A:$D,MATCH(VLOOKUP(Coin2!$A270,Correspondance!$A:$B,2,FALSE),Coin1!$A:$A,0),4)</f>
        <v>35.084206713865463</v>
      </c>
    </row>
    <row r="271" spans="1:4" x14ac:dyDescent="0.35">
      <c r="A271">
        <v>770</v>
      </c>
      <c r="B271">
        <f>INDEX(Coin1!$A:$D,MATCH(VLOOKUP(Coin2!$A271,Correspondance!$A:$B,2,FALSE),Coin1!$A:$A,0),2)</f>
        <v>8.5680000000000014</v>
      </c>
      <c r="C271">
        <f>2*$I$2-INDEX(Coin1!$A:$D,MATCH(VLOOKUP(Coin2!$A271,Correspondance!$A:$B,2,FALSE),Coin1!$A:$A,0),3)</f>
        <v>96.960000000000008</v>
      </c>
      <c r="D271">
        <f>INDEX(Coin1!$A:$D,MATCH(VLOOKUP(Coin2!$A271,Correspondance!$A:$B,2,FALSE),Coin1!$A:$A,0),4)</f>
        <v>35.084206713865463</v>
      </c>
    </row>
    <row r="272" spans="1:4" x14ac:dyDescent="0.35">
      <c r="A272">
        <v>771</v>
      </c>
      <c r="B272">
        <f>INDEX(Coin1!$A:$D,MATCH(VLOOKUP(Coin2!$A272,Correspondance!$A:$B,2,FALSE),Coin1!$A:$A,0),2)</f>
        <v>-1.4</v>
      </c>
      <c r="C272">
        <f>2*$I$2-INDEX(Coin1!$A:$D,MATCH(VLOOKUP(Coin2!$A272,Correspondance!$A:$B,2,FALSE),Coin1!$A:$A,0),3)</f>
        <v>97.31</v>
      </c>
      <c r="D272">
        <f>INDEX(Coin1!$A:$D,MATCH(VLOOKUP(Coin2!$A272,Correspondance!$A:$B,2,FALSE),Coin1!$A:$A,0),4)</f>
        <v>35.084206713865463</v>
      </c>
    </row>
    <row r="273" spans="1:4" x14ac:dyDescent="0.35">
      <c r="A273">
        <v>772</v>
      </c>
      <c r="B273">
        <f>INDEX(Coin1!$A:$D,MATCH(VLOOKUP(Coin2!$A273,Correspondance!$A:$B,2,FALSE),Coin1!$A:$A,0),2)</f>
        <v>3.357948729810778</v>
      </c>
      <c r="C273">
        <f>2*$I$2-INDEX(Coin1!$A:$D,MATCH(VLOOKUP(Coin2!$A273,Correspondance!$A:$B,2,FALSE),Coin1!$A:$A,0),3)</f>
        <v>97.31</v>
      </c>
      <c r="D273">
        <f>INDEX(Coin1!$A:$D,MATCH(VLOOKUP(Coin2!$A273,Correspondance!$A:$B,2,FALSE),Coin1!$A:$A,0),4)</f>
        <v>35.084206713865463</v>
      </c>
    </row>
    <row r="274" spans="1:4" x14ac:dyDescent="0.35">
      <c r="A274">
        <v>773</v>
      </c>
      <c r="B274">
        <f>INDEX(Coin1!$A:$D,MATCH(VLOOKUP(Coin2!$A274,Correspondance!$A:$B,2,FALSE),Coin1!$A:$A,0),2)</f>
        <v>5.0369999999999999</v>
      </c>
      <c r="C274">
        <f>2*$I$2-INDEX(Coin1!$A:$D,MATCH(VLOOKUP(Coin2!$A274,Correspondance!$A:$B,2,FALSE),Coin1!$A:$A,0),3)</f>
        <v>97.31</v>
      </c>
      <c r="D274">
        <f>INDEX(Coin1!$A:$D,MATCH(VLOOKUP(Coin2!$A274,Correspondance!$A:$B,2,FALSE),Coin1!$A:$A,0),4)</f>
        <v>35.084206713865463</v>
      </c>
    </row>
    <row r="275" spans="1:4" x14ac:dyDescent="0.35">
      <c r="A275">
        <v>774</v>
      </c>
      <c r="B275">
        <f>INDEX(Coin1!$A:$D,MATCH(VLOOKUP(Coin2!$A275,Correspondance!$A:$B,2,FALSE),Coin1!$A:$A,0),2)</f>
        <v>8.5680000000000014</v>
      </c>
      <c r="C275">
        <f>2*$I$2-INDEX(Coin1!$A:$D,MATCH(VLOOKUP(Coin2!$A275,Correspondance!$A:$B,2,FALSE),Coin1!$A:$A,0),3)</f>
        <v>97.31</v>
      </c>
      <c r="D275">
        <f>INDEX(Coin1!$A:$D,MATCH(VLOOKUP(Coin2!$A275,Correspondance!$A:$B,2,FALSE),Coin1!$A:$A,0),4)</f>
        <v>35.084206713865463</v>
      </c>
    </row>
    <row r="276" spans="1:4" x14ac:dyDescent="0.35">
      <c r="A276">
        <v>775</v>
      </c>
      <c r="B276">
        <f>INDEX(Coin1!$A:$D,MATCH(VLOOKUP(Coin2!$A276,Correspondance!$A:$B,2,FALSE),Coin1!$A:$A,0),2)</f>
        <v>10.247051270189223</v>
      </c>
      <c r="C276">
        <f>2*$I$2-INDEX(Coin1!$A:$D,MATCH(VLOOKUP(Coin2!$A276,Correspondance!$A:$B,2,FALSE),Coin1!$A:$A,0),3)</f>
        <v>97.31</v>
      </c>
      <c r="D276">
        <f>INDEX(Coin1!$A:$D,MATCH(VLOOKUP(Coin2!$A276,Correspondance!$A:$B,2,FALSE),Coin1!$A:$A,0),4)</f>
        <v>35.084206713865463</v>
      </c>
    </row>
    <row r="277" spans="1:4" x14ac:dyDescent="0.35">
      <c r="A277">
        <v>776</v>
      </c>
      <c r="B277">
        <f>INDEX(Coin1!$A:$D,MATCH(VLOOKUP(Coin2!$A277,Correspondance!$A:$B,2,FALSE),Coin1!$A:$A,0),2)</f>
        <v>16.96294872981078</v>
      </c>
      <c r="C277">
        <f>2*$I$2-INDEX(Coin1!$A:$D,MATCH(VLOOKUP(Coin2!$A277,Correspondance!$A:$B,2,FALSE),Coin1!$A:$A,0),3)</f>
        <v>97.31</v>
      </c>
      <c r="D277">
        <f>INDEX(Coin1!$A:$D,MATCH(VLOOKUP(Coin2!$A277,Correspondance!$A:$B,2,FALSE),Coin1!$A:$A,0),4)</f>
        <v>35.084206713865463</v>
      </c>
    </row>
    <row r="278" spans="1:4" x14ac:dyDescent="0.35">
      <c r="A278">
        <v>777</v>
      </c>
      <c r="B278">
        <f>INDEX(Coin1!$A:$D,MATCH(VLOOKUP(Coin2!$A278,Correspondance!$A:$B,2,FALSE),Coin1!$A:$A,0),2)</f>
        <v>-1.4</v>
      </c>
      <c r="C278">
        <f>2*$I$2-INDEX(Coin1!$A:$D,MATCH(VLOOKUP(Coin2!$A278,Correspondance!$A:$B,2,FALSE),Coin1!$A:$A,0),3)</f>
        <v>80.800000000000011</v>
      </c>
      <c r="D278">
        <f>INDEX(Coin1!$A:$D,MATCH(VLOOKUP(Coin2!$A278,Correspondance!$A:$B,2,FALSE),Coin1!$A:$A,0),4)</f>
        <v>37.992275618487284</v>
      </c>
    </row>
    <row r="279" spans="1:4" x14ac:dyDescent="0.35">
      <c r="A279">
        <v>778</v>
      </c>
      <c r="B279">
        <f>INDEX(Coin1!$A:$D,MATCH(VLOOKUP(Coin2!$A279,Correspondance!$A:$B,2,FALSE),Coin1!$A:$A,0),2)</f>
        <v>6.7160000000000002</v>
      </c>
      <c r="C279">
        <f>2*$I$2-INDEX(Coin1!$A:$D,MATCH(VLOOKUP(Coin2!$A279,Correspondance!$A:$B,2,FALSE),Coin1!$A:$A,0),3)</f>
        <v>80.800000000000011</v>
      </c>
      <c r="D279">
        <f>INDEX(Coin1!$A:$D,MATCH(VLOOKUP(Coin2!$A279,Correspondance!$A:$B,2,FALSE),Coin1!$A:$A,0),4)</f>
        <v>37.992275618487284</v>
      </c>
    </row>
    <row r="280" spans="1:4" x14ac:dyDescent="0.35">
      <c r="A280">
        <v>779</v>
      </c>
      <c r="B280">
        <f>INDEX(Coin1!$A:$D,MATCH(VLOOKUP(Coin2!$A280,Correspondance!$A:$B,2,FALSE),Coin1!$A:$A,0),2)</f>
        <v>6.8890000000000002</v>
      </c>
      <c r="C280">
        <f>2*$I$2-INDEX(Coin1!$A:$D,MATCH(VLOOKUP(Coin2!$A280,Correspondance!$A:$B,2,FALSE),Coin1!$A:$A,0),3)</f>
        <v>80.800000000000011</v>
      </c>
      <c r="D280">
        <f>INDEX(Coin1!$A:$D,MATCH(VLOOKUP(Coin2!$A280,Correspondance!$A:$B,2,FALSE),Coin1!$A:$A,0),4)</f>
        <v>37.992275618487284</v>
      </c>
    </row>
    <row r="281" spans="1:4" x14ac:dyDescent="0.35">
      <c r="A281">
        <v>780</v>
      </c>
      <c r="B281">
        <f>INDEX(Coin1!$A:$D,MATCH(VLOOKUP(Coin2!$A281,Correspondance!$A:$B,2,FALSE),Coin1!$A:$A,0),2)</f>
        <v>-1.4</v>
      </c>
      <c r="C281">
        <f>2*$I$2-INDEX(Coin1!$A:$D,MATCH(VLOOKUP(Coin2!$A281,Correspondance!$A:$B,2,FALSE),Coin1!$A:$A,0),3)</f>
        <v>83.493000000000009</v>
      </c>
      <c r="D281">
        <f>INDEX(Coin1!$A:$D,MATCH(VLOOKUP(Coin2!$A281,Correspondance!$A:$B,2,FALSE),Coin1!$A:$A,0),4)</f>
        <v>37.992275618487284</v>
      </c>
    </row>
    <row r="282" spans="1:4" x14ac:dyDescent="0.35">
      <c r="A282">
        <v>781</v>
      </c>
      <c r="B282">
        <f>INDEX(Coin1!$A:$D,MATCH(VLOOKUP(Coin2!$A282,Correspondance!$A:$B,2,FALSE),Coin1!$A:$A,0),2)</f>
        <v>-1.4</v>
      </c>
      <c r="C282">
        <f>2*$I$2-INDEX(Coin1!$A:$D,MATCH(VLOOKUP(Coin2!$A282,Correspondance!$A:$B,2,FALSE),Coin1!$A:$A,0),3)</f>
        <v>86.187000000000012</v>
      </c>
      <c r="D282">
        <f>INDEX(Coin1!$A:$D,MATCH(VLOOKUP(Coin2!$A282,Correspondance!$A:$B,2,FALSE),Coin1!$A:$A,0),4)</f>
        <v>37.992275618487284</v>
      </c>
    </row>
    <row r="283" spans="1:4" x14ac:dyDescent="0.35">
      <c r="A283">
        <v>782</v>
      </c>
      <c r="B283">
        <f>INDEX(Coin1!$A:$D,MATCH(VLOOKUP(Coin2!$A283,Correspondance!$A:$B,2,FALSE),Coin1!$A:$A,0),2)</f>
        <v>-1.4</v>
      </c>
      <c r="C283">
        <f>2*$I$2-INDEX(Coin1!$A:$D,MATCH(VLOOKUP(Coin2!$A283,Correspondance!$A:$B,2,FALSE),Coin1!$A:$A,0),3)</f>
        <v>88.88000000000001</v>
      </c>
      <c r="D283">
        <f>INDEX(Coin1!$A:$D,MATCH(VLOOKUP(Coin2!$A283,Correspondance!$A:$B,2,FALSE),Coin1!$A:$A,0),4)</f>
        <v>37.992275618487284</v>
      </c>
    </row>
    <row r="284" spans="1:4" x14ac:dyDescent="0.35">
      <c r="A284">
        <v>783</v>
      </c>
      <c r="B284">
        <f>INDEX(Coin1!$A:$D,MATCH(VLOOKUP(Coin2!$A284,Correspondance!$A:$B,2,FALSE),Coin1!$A:$A,0),2)</f>
        <v>6.7160000000000002</v>
      </c>
      <c r="C284">
        <f>2*$I$2-INDEX(Coin1!$A:$D,MATCH(VLOOKUP(Coin2!$A284,Correspondance!$A:$B,2,FALSE),Coin1!$A:$A,0),3)</f>
        <v>88.88000000000001</v>
      </c>
      <c r="D284">
        <f>INDEX(Coin1!$A:$D,MATCH(VLOOKUP(Coin2!$A284,Correspondance!$A:$B,2,FALSE),Coin1!$A:$A,0),4)</f>
        <v>37.992275618487284</v>
      </c>
    </row>
    <row r="285" spans="1:4" x14ac:dyDescent="0.35">
      <c r="A285">
        <v>784</v>
      </c>
      <c r="B285">
        <f>INDEX(Coin1!$A:$D,MATCH(VLOOKUP(Coin2!$A285,Correspondance!$A:$B,2,FALSE),Coin1!$A:$A,0),2)</f>
        <v>6.8890000000000002</v>
      </c>
      <c r="C285">
        <f>2*$I$2-INDEX(Coin1!$A:$D,MATCH(VLOOKUP(Coin2!$A285,Correspondance!$A:$B,2,FALSE),Coin1!$A:$A,0),3)</f>
        <v>88.88000000000001</v>
      </c>
      <c r="D285">
        <f>INDEX(Coin1!$A:$D,MATCH(VLOOKUP(Coin2!$A285,Correspondance!$A:$B,2,FALSE),Coin1!$A:$A,0),4)</f>
        <v>37.992275618487284</v>
      </c>
    </row>
    <row r="286" spans="1:4" x14ac:dyDescent="0.35">
      <c r="A286">
        <v>785</v>
      </c>
      <c r="B286">
        <f>INDEX(Coin1!$A:$D,MATCH(VLOOKUP(Coin2!$A286,Correspondance!$A:$B,2,FALSE),Coin1!$A:$A,0),2)</f>
        <v>-1.4</v>
      </c>
      <c r="C286">
        <f>2*$I$2-INDEX(Coin1!$A:$D,MATCH(VLOOKUP(Coin2!$A286,Correspondance!$A:$B,2,FALSE),Coin1!$A:$A,0),3)</f>
        <v>91.573000000000008</v>
      </c>
      <c r="D286">
        <f>INDEX(Coin1!$A:$D,MATCH(VLOOKUP(Coin2!$A286,Correspondance!$A:$B,2,FALSE),Coin1!$A:$A,0),4)</f>
        <v>37.992275618487284</v>
      </c>
    </row>
    <row r="287" spans="1:4" x14ac:dyDescent="0.35">
      <c r="A287">
        <v>786</v>
      </c>
      <c r="B287">
        <f>INDEX(Coin1!$A:$D,MATCH(VLOOKUP(Coin2!$A287,Correspondance!$A:$B,2,FALSE),Coin1!$A:$A,0),2)</f>
        <v>-1.4</v>
      </c>
      <c r="C287">
        <f>2*$I$2-INDEX(Coin1!$A:$D,MATCH(VLOOKUP(Coin2!$A287,Correspondance!$A:$B,2,FALSE),Coin1!$A:$A,0),3)</f>
        <v>94.26700000000001</v>
      </c>
      <c r="D287">
        <f>INDEX(Coin1!$A:$D,MATCH(VLOOKUP(Coin2!$A287,Correspondance!$A:$B,2,FALSE),Coin1!$A:$A,0),4)</f>
        <v>37.992275618487284</v>
      </c>
    </row>
    <row r="288" spans="1:4" x14ac:dyDescent="0.35">
      <c r="A288">
        <v>787</v>
      </c>
      <c r="B288">
        <f>INDEX(Coin1!$A:$D,MATCH(VLOOKUP(Coin2!$A288,Correspondance!$A:$B,2,FALSE),Coin1!$A:$A,0),2)</f>
        <v>-1.4</v>
      </c>
      <c r="C288">
        <f>2*$I$2-INDEX(Coin1!$A:$D,MATCH(VLOOKUP(Coin2!$A288,Correspondance!$A:$B,2,FALSE),Coin1!$A:$A,0),3)</f>
        <v>96.960000000000008</v>
      </c>
      <c r="D288">
        <f>INDEX(Coin1!$A:$D,MATCH(VLOOKUP(Coin2!$A288,Correspondance!$A:$B,2,FALSE),Coin1!$A:$A,0),4)</f>
        <v>37.992275618487284</v>
      </c>
    </row>
    <row r="289" spans="1:4" x14ac:dyDescent="0.35">
      <c r="A289">
        <v>788</v>
      </c>
      <c r="B289">
        <f>INDEX(Coin1!$A:$D,MATCH(VLOOKUP(Coin2!$A289,Correspondance!$A:$B,2,FALSE),Coin1!$A:$A,0),2)</f>
        <v>6.7160000000000002</v>
      </c>
      <c r="C289">
        <f>2*$I$2-INDEX(Coin1!$A:$D,MATCH(VLOOKUP(Coin2!$A289,Correspondance!$A:$B,2,FALSE),Coin1!$A:$A,0),3)</f>
        <v>96.960000000000008</v>
      </c>
      <c r="D289">
        <f>INDEX(Coin1!$A:$D,MATCH(VLOOKUP(Coin2!$A289,Correspondance!$A:$B,2,FALSE),Coin1!$A:$A,0),4)</f>
        <v>37.992275618487284</v>
      </c>
    </row>
    <row r="290" spans="1:4" x14ac:dyDescent="0.35">
      <c r="A290">
        <v>789</v>
      </c>
      <c r="B290">
        <f>INDEX(Coin1!$A:$D,MATCH(VLOOKUP(Coin2!$A290,Correspondance!$A:$B,2,FALSE),Coin1!$A:$A,0),2)</f>
        <v>6.8890000000000002</v>
      </c>
      <c r="C290">
        <f>2*$I$2-INDEX(Coin1!$A:$D,MATCH(VLOOKUP(Coin2!$A290,Correspondance!$A:$B,2,FALSE),Coin1!$A:$A,0),3)</f>
        <v>96.960000000000008</v>
      </c>
      <c r="D290">
        <f>INDEX(Coin1!$A:$D,MATCH(VLOOKUP(Coin2!$A290,Correspondance!$A:$B,2,FALSE),Coin1!$A:$A,0),4)</f>
        <v>37.992275618487284</v>
      </c>
    </row>
    <row r="291" spans="1:4" x14ac:dyDescent="0.35">
      <c r="A291">
        <v>790</v>
      </c>
      <c r="B291">
        <f>INDEX(Coin1!$A:$D,MATCH(VLOOKUP(Coin2!$A291,Correspondance!$A:$B,2,FALSE),Coin1!$A:$A,0),2)</f>
        <v>-1.4</v>
      </c>
      <c r="C291">
        <f>2*$I$2-INDEX(Coin1!$A:$D,MATCH(VLOOKUP(Coin2!$A291,Correspondance!$A:$B,2,FALSE),Coin1!$A:$A,0),3)</f>
        <v>97.31</v>
      </c>
      <c r="D291">
        <f>INDEX(Coin1!$A:$D,MATCH(VLOOKUP(Coin2!$A291,Correspondance!$A:$B,2,FALSE),Coin1!$A:$A,0),4)</f>
        <v>37.992275618487284</v>
      </c>
    </row>
    <row r="292" spans="1:4" x14ac:dyDescent="0.35">
      <c r="A292">
        <v>791</v>
      </c>
      <c r="B292">
        <f>INDEX(Coin1!$A:$D,MATCH(VLOOKUP(Coin2!$A292,Correspondance!$A:$B,2,FALSE),Coin1!$A:$A,0),2)</f>
        <v>3.357948729810778</v>
      </c>
      <c r="C292">
        <f>2*$I$2-INDEX(Coin1!$A:$D,MATCH(VLOOKUP(Coin2!$A292,Correspondance!$A:$B,2,FALSE),Coin1!$A:$A,0),3)</f>
        <v>97.31</v>
      </c>
      <c r="D292">
        <f>INDEX(Coin1!$A:$D,MATCH(VLOOKUP(Coin2!$A292,Correspondance!$A:$B,2,FALSE),Coin1!$A:$A,0),4)</f>
        <v>37.992275618487284</v>
      </c>
    </row>
    <row r="293" spans="1:4" x14ac:dyDescent="0.35">
      <c r="A293">
        <v>792</v>
      </c>
      <c r="B293">
        <f>INDEX(Coin1!$A:$D,MATCH(VLOOKUP(Coin2!$A293,Correspondance!$A:$B,2,FALSE),Coin1!$A:$A,0),2)</f>
        <v>6.7160000000000002</v>
      </c>
      <c r="C293">
        <f>2*$I$2-INDEX(Coin1!$A:$D,MATCH(VLOOKUP(Coin2!$A293,Correspondance!$A:$B,2,FALSE),Coin1!$A:$A,0),3)</f>
        <v>97.31</v>
      </c>
      <c r="D293">
        <f>INDEX(Coin1!$A:$D,MATCH(VLOOKUP(Coin2!$A293,Correspondance!$A:$B,2,FALSE),Coin1!$A:$A,0),4)</f>
        <v>37.992275618487284</v>
      </c>
    </row>
    <row r="294" spans="1:4" x14ac:dyDescent="0.35">
      <c r="A294">
        <v>793</v>
      </c>
      <c r="B294">
        <f>INDEX(Coin1!$A:$D,MATCH(VLOOKUP(Coin2!$A294,Correspondance!$A:$B,2,FALSE),Coin1!$A:$A,0),2)</f>
        <v>6.8890000000000002</v>
      </c>
      <c r="C294">
        <f>2*$I$2-INDEX(Coin1!$A:$D,MATCH(VLOOKUP(Coin2!$A294,Correspondance!$A:$B,2,FALSE),Coin1!$A:$A,0),3)</f>
        <v>97.31</v>
      </c>
      <c r="D294">
        <f>INDEX(Coin1!$A:$D,MATCH(VLOOKUP(Coin2!$A294,Correspondance!$A:$B,2,FALSE),Coin1!$A:$A,0),4)</f>
        <v>37.992275618487284</v>
      </c>
    </row>
    <row r="295" spans="1:4" x14ac:dyDescent="0.35">
      <c r="A295">
        <v>794</v>
      </c>
      <c r="B295">
        <f>INDEX(Coin1!$A:$D,MATCH(VLOOKUP(Coin2!$A295,Correspondance!$A:$B,2,FALSE),Coin1!$A:$A,0),2)</f>
        <v>10.247051270189223</v>
      </c>
      <c r="C295">
        <f>2*$I$2-INDEX(Coin1!$A:$D,MATCH(VLOOKUP(Coin2!$A295,Correspondance!$A:$B,2,FALSE),Coin1!$A:$A,0),3)</f>
        <v>97.31</v>
      </c>
      <c r="D295">
        <f>INDEX(Coin1!$A:$D,MATCH(VLOOKUP(Coin2!$A295,Correspondance!$A:$B,2,FALSE),Coin1!$A:$A,0),4)</f>
        <v>37.992275618487284</v>
      </c>
    </row>
    <row r="296" spans="1:4" x14ac:dyDescent="0.35">
      <c r="A296">
        <v>795</v>
      </c>
      <c r="B296">
        <f>INDEX(Coin1!$A:$D,MATCH(VLOOKUP(Coin2!$A296,Correspondance!$A:$B,2,FALSE),Coin1!$A:$A,0),2)</f>
        <v>16.96294872981078</v>
      </c>
      <c r="C296">
        <f>2*$I$2-INDEX(Coin1!$A:$D,MATCH(VLOOKUP(Coin2!$A296,Correspondance!$A:$B,2,FALSE),Coin1!$A:$A,0),3)</f>
        <v>97.31</v>
      </c>
      <c r="D296">
        <f>INDEX(Coin1!$A:$D,MATCH(VLOOKUP(Coin2!$A296,Correspondance!$A:$B,2,FALSE),Coin1!$A:$A,0),4)</f>
        <v>37.992275618487284</v>
      </c>
    </row>
    <row r="297" spans="1:4" x14ac:dyDescent="0.35">
      <c r="A297">
        <v>796</v>
      </c>
      <c r="B297">
        <f>INDEX(Coin1!$A:$D,MATCH(VLOOKUP(Coin2!$A297,Correspondance!$A:$B,2,FALSE),Coin1!$A:$A,0),2)</f>
        <v>6.8025000000000002</v>
      </c>
      <c r="C297">
        <f>2*$I$2-INDEX(Coin1!$A:$D,MATCH(VLOOKUP(Coin2!$A297,Correspondance!$A:$B,2,FALSE),Coin1!$A:$A,0),3)</f>
        <v>80.800000000000011</v>
      </c>
      <c r="D297">
        <f>INDEX(Coin1!$A:$D,MATCH(VLOOKUP(Coin2!$A297,Correspondance!$A:$B,2,FALSE),Coin1!$A:$A,0),4)</f>
        <v>37.992275618487284</v>
      </c>
    </row>
    <row r="298" spans="1:4" x14ac:dyDescent="0.35">
      <c r="A298">
        <v>797</v>
      </c>
      <c r="B298">
        <f>INDEX(Coin1!$A:$D,MATCH(VLOOKUP(Coin2!$A298,Correspondance!$A:$B,2,FALSE),Coin1!$A:$A,0),2)</f>
        <v>6.8025000000000002</v>
      </c>
      <c r="C298">
        <f>2*$I$2-INDEX(Coin1!$A:$D,MATCH(VLOOKUP(Coin2!$A298,Correspondance!$A:$B,2,FALSE),Coin1!$A:$A,0),3)</f>
        <v>84.84</v>
      </c>
      <c r="D298">
        <f>INDEX(Coin1!$A:$D,MATCH(VLOOKUP(Coin2!$A298,Correspondance!$A:$B,2,FALSE),Coin1!$A:$A,0),4)</f>
        <v>37.992275618487284</v>
      </c>
    </row>
    <row r="299" spans="1:4" x14ac:dyDescent="0.35">
      <c r="A299">
        <v>798</v>
      </c>
      <c r="B299">
        <f>INDEX(Coin1!$A:$D,MATCH(VLOOKUP(Coin2!$A299,Correspondance!$A:$B,2,FALSE),Coin1!$A:$A,0),2)</f>
        <v>6.8025000000000002</v>
      </c>
      <c r="C299">
        <f>2*$I$2-INDEX(Coin1!$A:$D,MATCH(VLOOKUP(Coin2!$A299,Correspondance!$A:$B,2,FALSE),Coin1!$A:$A,0),3)</f>
        <v>88.88000000000001</v>
      </c>
      <c r="D299">
        <f>INDEX(Coin1!$A:$D,MATCH(VLOOKUP(Coin2!$A299,Correspondance!$A:$B,2,FALSE),Coin1!$A:$A,0),4)</f>
        <v>37.992275618487284</v>
      </c>
    </row>
    <row r="300" spans="1:4" x14ac:dyDescent="0.35">
      <c r="A300">
        <v>799</v>
      </c>
      <c r="B300">
        <f>INDEX(Coin1!$A:$D,MATCH(VLOOKUP(Coin2!$A300,Correspondance!$A:$B,2,FALSE),Coin1!$A:$A,0),2)</f>
        <v>6.8025000000000002</v>
      </c>
      <c r="C300">
        <f>2*$I$2-INDEX(Coin1!$A:$D,MATCH(VLOOKUP(Coin2!$A300,Correspondance!$A:$B,2,FALSE),Coin1!$A:$A,0),3)</f>
        <v>92.92</v>
      </c>
      <c r="D300">
        <f>INDEX(Coin1!$A:$D,MATCH(VLOOKUP(Coin2!$A300,Correspondance!$A:$B,2,FALSE),Coin1!$A:$A,0),4)</f>
        <v>37.992275618487284</v>
      </c>
    </row>
    <row r="301" spans="1:4" x14ac:dyDescent="0.35">
      <c r="A301">
        <v>800</v>
      </c>
      <c r="B301">
        <f>INDEX(Coin1!$A:$D,MATCH(VLOOKUP(Coin2!$A301,Correspondance!$A:$B,2,FALSE),Coin1!$A:$A,0),2)</f>
        <v>-1.4</v>
      </c>
      <c r="C301">
        <f>2*$I$2-INDEX(Coin1!$A:$D,MATCH(VLOOKUP(Coin2!$A301,Correspondance!$A:$B,2,FALSE),Coin1!$A:$A,0),3)</f>
        <v>96.960000000000008</v>
      </c>
      <c r="D301">
        <f>INDEX(Coin1!$A:$D,MATCH(VLOOKUP(Coin2!$A301,Correspondance!$A:$B,2,FALSE),Coin1!$A:$A,0),4)</f>
        <v>37.992275618487284</v>
      </c>
    </row>
    <row r="302" spans="1:4" x14ac:dyDescent="0.35">
      <c r="A302">
        <v>801</v>
      </c>
      <c r="B302">
        <f>INDEX(Coin1!$A:$D,MATCH(VLOOKUP(Coin2!$A302,Correspondance!$A:$B,2,FALSE),Coin1!$A:$A,0),2)</f>
        <v>6.8025000000000002</v>
      </c>
      <c r="C302">
        <f>2*$I$2-INDEX(Coin1!$A:$D,MATCH(VLOOKUP(Coin2!$A302,Correspondance!$A:$B,2,FALSE),Coin1!$A:$A,0),3)</f>
        <v>96.960000000000008</v>
      </c>
      <c r="D302">
        <f>INDEX(Coin1!$A:$D,MATCH(VLOOKUP(Coin2!$A302,Correspondance!$A:$B,2,FALSE),Coin1!$A:$A,0),4)</f>
        <v>37.992275618487284</v>
      </c>
    </row>
    <row r="303" spans="1:4" x14ac:dyDescent="0.35">
      <c r="A303">
        <v>802</v>
      </c>
      <c r="B303">
        <f>INDEX(Coin1!$A:$D,MATCH(VLOOKUP(Coin2!$A303,Correspondance!$A:$B,2,FALSE),Coin1!$A:$A,0),2)</f>
        <v>-1.4</v>
      </c>
      <c r="C303">
        <f>2*$I$2-INDEX(Coin1!$A:$D,MATCH(VLOOKUP(Coin2!$A303,Correspondance!$A:$B,2,FALSE),Coin1!$A:$A,0),3)</f>
        <v>97.31</v>
      </c>
      <c r="D303">
        <f>INDEX(Coin1!$A:$D,MATCH(VLOOKUP(Coin2!$A303,Correspondance!$A:$B,2,FALSE),Coin1!$A:$A,0),4)</f>
        <v>37.992275618487284</v>
      </c>
    </row>
    <row r="304" spans="1:4" x14ac:dyDescent="0.35">
      <c r="A304">
        <v>803</v>
      </c>
      <c r="B304">
        <f>INDEX(Coin1!$A:$D,MATCH(VLOOKUP(Coin2!$A304,Correspondance!$A:$B,2,FALSE),Coin1!$A:$A,0),2)</f>
        <v>3.357948729810778</v>
      </c>
      <c r="C304">
        <f>2*$I$2-INDEX(Coin1!$A:$D,MATCH(VLOOKUP(Coin2!$A304,Correspondance!$A:$B,2,FALSE),Coin1!$A:$A,0),3)</f>
        <v>97.31</v>
      </c>
      <c r="D304">
        <f>INDEX(Coin1!$A:$D,MATCH(VLOOKUP(Coin2!$A304,Correspondance!$A:$B,2,FALSE),Coin1!$A:$A,0),4)</f>
        <v>37.992275618487284</v>
      </c>
    </row>
    <row r="305" spans="1:4" x14ac:dyDescent="0.35">
      <c r="A305">
        <v>804</v>
      </c>
      <c r="B305">
        <f>INDEX(Coin1!$A:$D,MATCH(VLOOKUP(Coin2!$A305,Correspondance!$A:$B,2,FALSE),Coin1!$A:$A,0),2)</f>
        <v>6.7160000000000002</v>
      </c>
      <c r="C305">
        <f>2*$I$2-INDEX(Coin1!$A:$D,MATCH(VLOOKUP(Coin2!$A305,Correspondance!$A:$B,2,FALSE),Coin1!$A:$A,0),3)</f>
        <v>97.31</v>
      </c>
      <c r="D305">
        <f>INDEX(Coin1!$A:$D,MATCH(VLOOKUP(Coin2!$A305,Correspondance!$A:$B,2,FALSE),Coin1!$A:$A,0),4)</f>
        <v>37.992275618487284</v>
      </c>
    </row>
    <row r="306" spans="1:4" x14ac:dyDescent="0.35">
      <c r="A306">
        <v>805</v>
      </c>
      <c r="B306">
        <f>INDEX(Coin1!$A:$D,MATCH(VLOOKUP(Coin2!$A306,Correspondance!$A:$B,2,FALSE),Coin1!$A:$A,0),2)</f>
        <v>10.247051270189223</v>
      </c>
      <c r="C306">
        <f>2*$I$2-INDEX(Coin1!$A:$D,MATCH(VLOOKUP(Coin2!$A306,Correspondance!$A:$B,2,FALSE),Coin1!$A:$A,0),3)</f>
        <v>97.31</v>
      </c>
      <c r="D306">
        <f>INDEX(Coin1!$A:$D,MATCH(VLOOKUP(Coin2!$A306,Correspondance!$A:$B,2,FALSE),Coin1!$A:$A,0),4)</f>
        <v>37.992275618487284</v>
      </c>
    </row>
    <row r="307" spans="1:4" x14ac:dyDescent="0.35">
      <c r="A307">
        <v>806</v>
      </c>
      <c r="B307">
        <f>INDEX(Coin1!$A:$D,MATCH(VLOOKUP(Coin2!$A307,Correspondance!$A:$B,2,FALSE),Coin1!$A:$A,0),2)</f>
        <v>16.96294872981078</v>
      </c>
      <c r="C307">
        <f>2*$I$2-INDEX(Coin1!$A:$D,MATCH(VLOOKUP(Coin2!$A307,Correspondance!$A:$B,2,FALSE),Coin1!$A:$A,0),3)</f>
        <v>97.31</v>
      </c>
      <c r="D307">
        <f>INDEX(Coin1!$A:$D,MATCH(VLOOKUP(Coin2!$A307,Correspondance!$A:$B,2,FALSE),Coin1!$A:$A,0),4)</f>
        <v>37.992275618487284</v>
      </c>
    </row>
    <row r="308" spans="1:4" x14ac:dyDescent="0.35">
      <c r="A308">
        <v>807</v>
      </c>
      <c r="B308">
        <f>INDEX(Coin1!$A:$D,MATCH(VLOOKUP(Coin2!$A308,Correspondance!$A:$B,2,FALSE),Coin1!$A:$A,0),2)</f>
        <v>-1.4</v>
      </c>
      <c r="C308">
        <f>2*$I$2-INDEX(Coin1!$A:$D,MATCH(VLOOKUP(Coin2!$A308,Correspondance!$A:$B,2,FALSE),Coin1!$A:$A,0),3)</f>
        <v>80.800000000000011</v>
      </c>
      <c r="D308">
        <f>INDEX(Coin1!$A:$D,MATCH(VLOOKUP(Coin2!$A308,Correspondance!$A:$B,2,FALSE),Coin1!$A:$A,0),4)</f>
        <v>38.14227561848729</v>
      </c>
    </row>
    <row r="309" spans="1:4" x14ac:dyDescent="0.35">
      <c r="A309">
        <v>808</v>
      </c>
      <c r="B309">
        <f>INDEX(Coin1!$A:$D,MATCH(VLOOKUP(Coin2!$A309,Correspondance!$A:$B,2,FALSE),Coin1!$A:$A,0),2)</f>
        <v>-1.4</v>
      </c>
      <c r="C309">
        <f>2*$I$2-INDEX(Coin1!$A:$D,MATCH(VLOOKUP(Coin2!$A309,Correspondance!$A:$B,2,FALSE),Coin1!$A:$A,0),3)</f>
        <v>83.493000000000009</v>
      </c>
      <c r="D309">
        <f>INDEX(Coin1!$A:$D,MATCH(VLOOKUP(Coin2!$A309,Correspondance!$A:$B,2,FALSE),Coin1!$A:$A,0),4)</f>
        <v>38.14227561848729</v>
      </c>
    </row>
    <row r="310" spans="1:4" x14ac:dyDescent="0.35">
      <c r="A310">
        <v>809</v>
      </c>
      <c r="B310">
        <f>INDEX(Coin1!$A:$D,MATCH(VLOOKUP(Coin2!$A310,Correspondance!$A:$B,2,FALSE),Coin1!$A:$A,0),2)</f>
        <v>-1.4</v>
      </c>
      <c r="C310">
        <f>2*$I$2-INDEX(Coin1!$A:$D,MATCH(VLOOKUP(Coin2!$A310,Correspondance!$A:$B,2,FALSE),Coin1!$A:$A,0),3)</f>
        <v>86.187000000000012</v>
      </c>
      <c r="D310">
        <f>INDEX(Coin1!$A:$D,MATCH(VLOOKUP(Coin2!$A310,Correspondance!$A:$B,2,FALSE),Coin1!$A:$A,0),4)</f>
        <v>38.14227561848729</v>
      </c>
    </row>
    <row r="311" spans="1:4" x14ac:dyDescent="0.35">
      <c r="A311">
        <v>810</v>
      </c>
      <c r="B311">
        <f>INDEX(Coin1!$A:$D,MATCH(VLOOKUP(Coin2!$A311,Correspondance!$A:$B,2,FALSE),Coin1!$A:$A,0),2)</f>
        <v>-1.4</v>
      </c>
      <c r="C311">
        <f>2*$I$2-INDEX(Coin1!$A:$D,MATCH(VLOOKUP(Coin2!$A311,Correspondance!$A:$B,2,FALSE),Coin1!$A:$A,0),3)</f>
        <v>88.88000000000001</v>
      </c>
      <c r="D311">
        <f>INDEX(Coin1!$A:$D,MATCH(VLOOKUP(Coin2!$A311,Correspondance!$A:$B,2,FALSE),Coin1!$A:$A,0),4)</f>
        <v>38.14227561848729</v>
      </c>
    </row>
    <row r="312" spans="1:4" x14ac:dyDescent="0.35">
      <c r="A312">
        <v>811</v>
      </c>
      <c r="B312">
        <f>INDEX(Coin1!$A:$D,MATCH(VLOOKUP(Coin2!$A312,Correspondance!$A:$B,2,FALSE),Coin1!$A:$A,0),2)</f>
        <v>-1.4</v>
      </c>
      <c r="C312">
        <f>2*$I$2-INDEX(Coin1!$A:$D,MATCH(VLOOKUP(Coin2!$A312,Correspondance!$A:$B,2,FALSE),Coin1!$A:$A,0),3)</f>
        <v>91.573000000000008</v>
      </c>
      <c r="D312">
        <f>INDEX(Coin1!$A:$D,MATCH(VLOOKUP(Coin2!$A312,Correspondance!$A:$B,2,FALSE),Coin1!$A:$A,0),4)</f>
        <v>38.14227561848729</v>
      </c>
    </row>
    <row r="313" spans="1:4" x14ac:dyDescent="0.35">
      <c r="A313">
        <v>812</v>
      </c>
      <c r="B313">
        <f>INDEX(Coin1!$A:$D,MATCH(VLOOKUP(Coin2!$A313,Correspondance!$A:$B,2,FALSE),Coin1!$A:$A,0),2)</f>
        <v>-1.4</v>
      </c>
      <c r="C313">
        <f>2*$I$2-INDEX(Coin1!$A:$D,MATCH(VLOOKUP(Coin2!$A313,Correspondance!$A:$B,2,FALSE),Coin1!$A:$A,0),3)</f>
        <v>94.26700000000001</v>
      </c>
      <c r="D313">
        <f>INDEX(Coin1!$A:$D,MATCH(VLOOKUP(Coin2!$A313,Correspondance!$A:$B,2,FALSE),Coin1!$A:$A,0),4)</f>
        <v>38.14227561848729</v>
      </c>
    </row>
    <row r="314" spans="1:4" x14ac:dyDescent="0.35">
      <c r="A314">
        <v>813</v>
      </c>
      <c r="B314">
        <f>INDEX(Coin1!$A:$D,MATCH(VLOOKUP(Coin2!$A314,Correspondance!$A:$B,2,FALSE),Coin1!$A:$A,0),2)</f>
        <v>-1.4</v>
      </c>
      <c r="C314">
        <f>2*$I$2-INDEX(Coin1!$A:$D,MATCH(VLOOKUP(Coin2!$A314,Correspondance!$A:$B,2,FALSE),Coin1!$A:$A,0),3)</f>
        <v>96.960000000000008</v>
      </c>
      <c r="D314">
        <f>INDEX(Coin1!$A:$D,MATCH(VLOOKUP(Coin2!$A314,Correspondance!$A:$B,2,FALSE),Coin1!$A:$A,0),4)</f>
        <v>38.14227561848729</v>
      </c>
    </row>
    <row r="315" spans="1:4" x14ac:dyDescent="0.35">
      <c r="A315">
        <v>814</v>
      </c>
      <c r="B315">
        <f>INDEX(Coin1!$A:$D,MATCH(VLOOKUP(Coin2!$A315,Correspondance!$A:$B,2,FALSE),Coin1!$A:$A,0),2)</f>
        <v>6.8025000000000002</v>
      </c>
      <c r="C315">
        <f>2*$I$2-INDEX(Coin1!$A:$D,MATCH(VLOOKUP(Coin2!$A315,Correspondance!$A:$B,2,FALSE),Coin1!$A:$A,0),3)</f>
        <v>80.800000000000011</v>
      </c>
      <c r="D315">
        <f>INDEX(Coin1!$A:$D,MATCH(VLOOKUP(Coin2!$A315,Correspondance!$A:$B,2,FALSE),Coin1!$A:$A,0),4)</f>
        <v>38.292275618487288</v>
      </c>
    </row>
    <row r="316" spans="1:4" x14ac:dyDescent="0.35">
      <c r="A316">
        <v>815</v>
      </c>
      <c r="B316">
        <f>INDEX(Coin1!$A:$D,MATCH(VLOOKUP(Coin2!$A316,Correspondance!$A:$B,2,FALSE),Coin1!$A:$A,0),2)</f>
        <v>6.8025000000000002</v>
      </c>
      <c r="C316">
        <f>2*$I$2-INDEX(Coin1!$A:$D,MATCH(VLOOKUP(Coin2!$A316,Correspondance!$A:$B,2,FALSE),Coin1!$A:$A,0),3)</f>
        <v>83.493000000000009</v>
      </c>
      <c r="D316">
        <f>INDEX(Coin1!$A:$D,MATCH(VLOOKUP(Coin2!$A316,Correspondance!$A:$B,2,FALSE),Coin1!$A:$A,0),4)</f>
        <v>38.292275618487288</v>
      </c>
    </row>
    <row r="317" spans="1:4" x14ac:dyDescent="0.35">
      <c r="A317">
        <v>816</v>
      </c>
      <c r="B317">
        <f>INDEX(Coin1!$A:$D,MATCH(VLOOKUP(Coin2!$A317,Correspondance!$A:$B,2,FALSE),Coin1!$A:$A,0),2)</f>
        <v>6.8025000000000002</v>
      </c>
      <c r="C317">
        <f>2*$I$2-INDEX(Coin1!$A:$D,MATCH(VLOOKUP(Coin2!$A317,Correspondance!$A:$B,2,FALSE),Coin1!$A:$A,0),3)</f>
        <v>86.187000000000012</v>
      </c>
      <c r="D317">
        <f>INDEX(Coin1!$A:$D,MATCH(VLOOKUP(Coin2!$A317,Correspondance!$A:$B,2,FALSE),Coin1!$A:$A,0),4)</f>
        <v>38.292275618487288</v>
      </c>
    </row>
    <row r="318" spans="1:4" x14ac:dyDescent="0.35">
      <c r="A318">
        <v>817</v>
      </c>
      <c r="B318">
        <f>INDEX(Coin1!$A:$D,MATCH(VLOOKUP(Coin2!$A318,Correspondance!$A:$B,2,FALSE),Coin1!$A:$A,0),2)</f>
        <v>6.8025000000000002</v>
      </c>
      <c r="C318">
        <f>2*$I$2-INDEX(Coin1!$A:$D,MATCH(VLOOKUP(Coin2!$A318,Correspondance!$A:$B,2,FALSE),Coin1!$A:$A,0),3)</f>
        <v>88.88000000000001</v>
      </c>
      <c r="D318">
        <f>INDEX(Coin1!$A:$D,MATCH(VLOOKUP(Coin2!$A318,Correspondance!$A:$B,2,FALSE),Coin1!$A:$A,0),4)</f>
        <v>38.292275618487288</v>
      </c>
    </row>
    <row r="319" spans="1:4" x14ac:dyDescent="0.35">
      <c r="A319">
        <v>818</v>
      </c>
      <c r="B319">
        <f>INDEX(Coin1!$A:$D,MATCH(VLOOKUP(Coin2!$A319,Correspondance!$A:$B,2,FALSE),Coin1!$A:$A,0),2)</f>
        <v>6.8025000000000002</v>
      </c>
      <c r="C319">
        <f>2*$I$2-INDEX(Coin1!$A:$D,MATCH(VLOOKUP(Coin2!$A319,Correspondance!$A:$B,2,FALSE),Coin1!$A:$A,0),3)</f>
        <v>91.573000000000008</v>
      </c>
      <c r="D319">
        <f>INDEX(Coin1!$A:$D,MATCH(VLOOKUP(Coin2!$A319,Correspondance!$A:$B,2,FALSE),Coin1!$A:$A,0),4)</f>
        <v>38.292275618487288</v>
      </c>
    </row>
    <row r="320" spans="1:4" x14ac:dyDescent="0.35">
      <c r="A320">
        <v>819</v>
      </c>
      <c r="B320">
        <f>INDEX(Coin1!$A:$D,MATCH(VLOOKUP(Coin2!$A320,Correspondance!$A:$B,2,FALSE),Coin1!$A:$A,0),2)</f>
        <v>6.8025000000000002</v>
      </c>
      <c r="C320">
        <f>2*$I$2-INDEX(Coin1!$A:$D,MATCH(VLOOKUP(Coin2!$A320,Correspondance!$A:$B,2,FALSE),Coin1!$A:$A,0),3)</f>
        <v>94.26700000000001</v>
      </c>
      <c r="D320">
        <f>INDEX(Coin1!$A:$D,MATCH(VLOOKUP(Coin2!$A320,Correspondance!$A:$B,2,FALSE),Coin1!$A:$A,0),4)</f>
        <v>38.292275618487288</v>
      </c>
    </row>
    <row r="321" spans="1:4" x14ac:dyDescent="0.35">
      <c r="A321">
        <v>820</v>
      </c>
      <c r="B321">
        <f>INDEX(Coin1!$A:$D,MATCH(VLOOKUP(Coin2!$A321,Correspondance!$A:$B,2,FALSE),Coin1!$A:$A,0),2)</f>
        <v>6.8025000000000002</v>
      </c>
      <c r="C321">
        <f>2*$I$2-INDEX(Coin1!$A:$D,MATCH(VLOOKUP(Coin2!$A321,Correspondance!$A:$B,2,FALSE),Coin1!$A:$A,0),3)</f>
        <v>96.960000000000008</v>
      </c>
      <c r="D321">
        <f>INDEX(Coin1!$A:$D,MATCH(VLOOKUP(Coin2!$A321,Correspondance!$A:$B,2,FALSE),Coin1!$A:$A,0),4)</f>
        <v>38.292275618487288</v>
      </c>
    </row>
  </sheetData>
  <sortState xmlns:xlrd2="http://schemas.microsoft.com/office/spreadsheetml/2017/richdata2" ref="A3:A321">
    <sortCondition ref="A3"/>
  </sortState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320"/>
  <sheetViews>
    <sheetView workbookViewId="0">
      <selection activeCell="B2" sqref="B2"/>
    </sheetView>
  </sheetViews>
  <sheetFormatPr baseColWidth="10" defaultColWidth="8.7265625" defaultRowHeight="14.5" x14ac:dyDescent="0.35"/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H1" t="s">
        <v>52</v>
      </c>
      <c r="I1">
        <f>INITIALIZE!D26/2</f>
        <v>34.012500000000003</v>
      </c>
    </row>
    <row r="2" spans="1:9" x14ac:dyDescent="0.35">
      <c r="A2">
        <v>1001</v>
      </c>
      <c r="B2">
        <f>2*$I$1-INDEX(Coin1!$A:$D,MATCH(VLOOKUP(Coin3!$A2,Correspondance!$D:$E,2,FALSE),Coin1!$A:$A,0),2)</f>
        <v>54.42</v>
      </c>
      <c r="C2">
        <f>INDEX(Coin1!$A:$D,MATCH(VLOOKUP(Coin3!$A2,Correspondance!$D:$E,2,FALSE),Coin1!$A:$A,0),3)</f>
        <v>0</v>
      </c>
      <c r="D2">
        <f>INDEX(Coin1!$A:$D,MATCH(VLOOKUP(Coin3!$A2,Correspondance!$D:$E,2,FALSE),Coin1!$A:$A,0),4)</f>
        <v>0</v>
      </c>
      <c r="F2" t="s">
        <v>50</v>
      </c>
      <c r="H2" t="s">
        <v>51</v>
      </c>
      <c r="I2">
        <f>INITIALIZE!D25/2</f>
        <v>48.480000000000004</v>
      </c>
    </row>
    <row r="3" spans="1:9" x14ac:dyDescent="0.35">
      <c r="A3">
        <f>A2+1</f>
        <v>1002</v>
      </c>
      <c r="B3">
        <f>2*$I$1-INDEX(Coin1!$A:$D,MATCH(VLOOKUP(Coin3!$A3,Correspondance!$D:$E,2,FALSE),Coin1!$A:$A,0),2)</f>
        <v>68.025000000000006</v>
      </c>
      <c r="C3">
        <f>INDEX(Coin1!$A:$D,MATCH(VLOOKUP(Coin3!$A3,Correspondance!$D:$E,2,FALSE),Coin1!$A:$A,0),3)</f>
        <v>0</v>
      </c>
      <c r="D3">
        <f>INDEX(Coin1!$A:$D,MATCH(VLOOKUP(Coin3!$A3,Correspondance!$D:$E,2,FALSE),Coin1!$A:$A,0),4)</f>
        <v>0</v>
      </c>
    </row>
    <row r="4" spans="1:9" x14ac:dyDescent="0.35">
      <c r="A4">
        <f t="shared" ref="A4:A67" si="0">A3+1</f>
        <v>1003</v>
      </c>
      <c r="B4">
        <f>2*$I$1-INDEX(Coin1!$A:$D,MATCH(VLOOKUP(Coin3!$A4,Correspondance!$D:$E,2,FALSE),Coin1!$A:$A,0),2)</f>
        <v>54.42</v>
      </c>
      <c r="C4">
        <f>INDEX(Coin1!$A:$D,MATCH(VLOOKUP(Coin3!$A4,Correspondance!$D:$E,2,FALSE),Coin1!$A:$A,0),3)</f>
        <v>16.16</v>
      </c>
      <c r="D4">
        <f>INDEX(Coin1!$A:$D,MATCH(VLOOKUP(Coin3!$A4,Correspondance!$D:$E,2,FALSE),Coin1!$A:$A,0),4)</f>
        <v>0</v>
      </c>
    </row>
    <row r="5" spans="1:9" x14ac:dyDescent="0.35">
      <c r="A5">
        <f t="shared" si="0"/>
        <v>1004</v>
      </c>
      <c r="B5">
        <f>2*$I$1-INDEX(Coin1!$A:$D,MATCH(VLOOKUP(Coin3!$A5,Correspondance!$D:$E,2,FALSE),Coin1!$A:$A,0),2)</f>
        <v>68.025000000000006</v>
      </c>
      <c r="C5">
        <f>INDEX(Coin1!$A:$D,MATCH(VLOOKUP(Coin3!$A5,Correspondance!$D:$E,2,FALSE),Coin1!$A:$A,0),3)</f>
        <v>16.16</v>
      </c>
      <c r="D5">
        <f>INDEX(Coin1!$A:$D,MATCH(VLOOKUP(Coin3!$A5,Correspondance!$D:$E,2,FALSE),Coin1!$A:$A,0),4)</f>
        <v>0</v>
      </c>
    </row>
    <row r="6" spans="1:9" x14ac:dyDescent="0.35">
      <c r="A6">
        <f t="shared" si="0"/>
        <v>1005</v>
      </c>
      <c r="B6">
        <f>2*$I$1-INDEX(Coin1!$A:$D,MATCH(VLOOKUP(Coin3!$A6,Correspondance!$D:$E,2,FALSE),Coin1!$A:$A,0),2)</f>
        <v>54.42</v>
      </c>
      <c r="C6">
        <f>INDEX(Coin1!$A:$D,MATCH(VLOOKUP(Coin3!$A6,Correspondance!$D:$E,2,FALSE),Coin1!$A:$A,0),3)</f>
        <v>0</v>
      </c>
      <c r="D6">
        <f>INDEX(Coin1!$A:$D,MATCH(VLOOKUP(Coin3!$A6,Correspondance!$D:$E,2,FALSE),Coin1!$A:$A,0),4)</f>
        <v>8.85</v>
      </c>
    </row>
    <row r="7" spans="1:9" x14ac:dyDescent="0.35">
      <c r="A7">
        <f t="shared" si="0"/>
        <v>1006</v>
      </c>
      <c r="B7">
        <f>2*$I$1-INDEX(Coin1!$A:$D,MATCH(VLOOKUP(Coin3!$A7,Correspondance!$D:$E,2,FALSE),Coin1!$A:$A,0),2)</f>
        <v>61.222000000000008</v>
      </c>
      <c r="C7">
        <f>INDEX(Coin1!$A:$D,MATCH(VLOOKUP(Coin3!$A7,Correspondance!$D:$E,2,FALSE),Coin1!$A:$A,0),3)</f>
        <v>0</v>
      </c>
      <c r="D7">
        <f>INDEX(Coin1!$A:$D,MATCH(VLOOKUP(Coin3!$A7,Correspondance!$D:$E,2,FALSE),Coin1!$A:$A,0),4)</f>
        <v>8.85</v>
      </c>
    </row>
    <row r="8" spans="1:9" x14ac:dyDescent="0.35">
      <c r="A8">
        <f t="shared" si="0"/>
        <v>1007</v>
      </c>
      <c r="B8">
        <f>2*$I$1-INDEX(Coin1!$A:$D,MATCH(VLOOKUP(Coin3!$A8,Correspondance!$D:$E,2,FALSE),Coin1!$A:$A,0),2)</f>
        <v>68.025000000000006</v>
      </c>
      <c r="C8">
        <f>INDEX(Coin1!$A:$D,MATCH(VLOOKUP(Coin3!$A8,Correspondance!$D:$E,2,FALSE),Coin1!$A:$A,0),3)</f>
        <v>0</v>
      </c>
      <c r="D8">
        <f>INDEX(Coin1!$A:$D,MATCH(VLOOKUP(Coin3!$A8,Correspondance!$D:$E,2,FALSE),Coin1!$A:$A,0),4)</f>
        <v>8.85</v>
      </c>
    </row>
    <row r="9" spans="1:9" x14ac:dyDescent="0.35">
      <c r="A9">
        <f t="shared" si="0"/>
        <v>1008</v>
      </c>
      <c r="B9">
        <f>2*$I$1-INDEX(Coin1!$A:$D,MATCH(VLOOKUP(Coin3!$A9,Correspondance!$D:$E,2,FALSE),Coin1!$A:$A,0),2)</f>
        <v>54.42</v>
      </c>
      <c r="C9">
        <f>INDEX(Coin1!$A:$D,MATCH(VLOOKUP(Coin3!$A9,Correspondance!$D:$E,2,FALSE),Coin1!$A:$A,0),3)</f>
        <v>8.08</v>
      </c>
      <c r="D9">
        <f>INDEX(Coin1!$A:$D,MATCH(VLOOKUP(Coin3!$A9,Correspondance!$D:$E,2,FALSE),Coin1!$A:$A,0),4)</f>
        <v>8.85</v>
      </c>
    </row>
    <row r="10" spans="1:9" x14ac:dyDescent="0.35">
      <c r="A10">
        <f t="shared" si="0"/>
        <v>1009</v>
      </c>
      <c r="B10">
        <f>2*$I$1-INDEX(Coin1!$A:$D,MATCH(VLOOKUP(Coin3!$A10,Correspondance!$D:$E,2,FALSE),Coin1!$A:$A,0),2)</f>
        <v>68.025000000000006</v>
      </c>
      <c r="C10">
        <f>INDEX(Coin1!$A:$D,MATCH(VLOOKUP(Coin3!$A10,Correspondance!$D:$E,2,FALSE),Coin1!$A:$A,0),3)</f>
        <v>8.08</v>
      </c>
      <c r="D10">
        <f>INDEX(Coin1!$A:$D,MATCH(VLOOKUP(Coin3!$A10,Correspondance!$D:$E,2,FALSE),Coin1!$A:$A,0),4)</f>
        <v>8.85</v>
      </c>
    </row>
    <row r="11" spans="1:9" x14ac:dyDescent="0.35">
      <c r="A11">
        <f t="shared" si="0"/>
        <v>1010</v>
      </c>
      <c r="B11">
        <f>2*$I$1-INDEX(Coin1!$A:$D,MATCH(VLOOKUP(Coin3!$A11,Correspondance!$D:$E,2,FALSE),Coin1!$A:$A,0),2)</f>
        <v>54.42</v>
      </c>
      <c r="C11">
        <f>INDEX(Coin1!$A:$D,MATCH(VLOOKUP(Coin3!$A11,Correspondance!$D:$E,2,FALSE),Coin1!$A:$A,0),3)</f>
        <v>16.16</v>
      </c>
      <c r="D11">
        <f>INDEX(Coin1!$A:$D,MATCH(VLOOKUP(Coin3!$A11,Correspondance!$D:$E,2,FALSE),Coin1!$A:$A,0),4)</f>
        <v>8.85</v>
      </c>
    </row>
    <row r="12" spans="1:9" x14ac:dyDescent="0.35">
      <c r="A12">
        <f t="shared" si="0"/>
        <v>1011</v>
      </c>
      <c r="B12">
        <f>2*$I$1-INDEX(Coin1!$A:$D,MATCH(VLOOKUP(Coin3!$A12,Correspondance!$D:$E,2,FALSE),Coin1!$A:$A,0),2)</f>
        <v>61.222000000000008</v>
      </c>
      <c r="C12">
        <f>INDEX(Coin1!$A:$D,MATCH(VLOOKUP(Coin3!$A12,Correspondance!$D:$E,2,FALSE),Coin1!$A:$A,0),3)</f>
        <v>16.16</v>
      </c>
      <c r="D12">
        <f>INDEX(Coin1!$A:$D,MATCH(VLOOKUP(Coin3!$A12,Correspondance!$D:$E,2,FALSE),Coin1!$A:$A,0),4)</f>
        <v>8.85</v>
      </c>
    </row>
    <row r="13" spans="1:9" x14ac:dyDescent="0.35">
      <c r="A13">
        <f t="shared" si="0"/>
        <v>1012</v>
      </c>
      <c r="B13">
        <f>2*$I$1-INDEX(Coin1!$A:$D,MATCH(VLOOKUP(Coin3!$A13,Correspondance!$D:$E,2,FALSE),Coin1!$A:$A,0),2)</f>
        <v>68.025000000000006</v>
      </c>
      <c r="C13">
        <f>INDEX(Coin1!$A:$D,MATCH(VLOOKUP(Coin3!$A13,Correspondance!$D:$E,2,FALSE),Coin1!$A:$A,0),3)</f>
        <v>16.16</v>
      </c>
      <c r="D13">
        <f>INDEX(Coin1!$A:$D,MATCH(VLOOKUP(Coin3!$A13,Correspondance!$D:$E,2,FALSE),Coin1!$A:$A,0),4)</f>
        <v>8.85</v>
      </c>
    </row>
    <row r="14" spans="1:9" x14ac:dyDescent="0.35">
      <c r="A14">
        <f t="shared" si="0"/>
        <v>1013</v>
      </c>
      <c r="B14">
        <f>2*$I$1-INDEX(Coin1!$A:$D,MATCH(VLOOKUP(Coin3!$A14,Correspondance!$D:$E,2,FALSE),Coin1!$A:$A,0),2)</f>
        <v>54.42</v>
      </c>
      <c r="C14">
        <f>INDEX(Coin1!$A:$D,MATCH(VLOOKUP(Coin3!$A14,Correspondance!$D:$E,2,FALSE),Coin1!$A:$A,0),3)</f>
        <v>0</v>
      </c>
      <c r="D14">
        <f>INDEX(Coin1!$A:$D,MATCH(VLOOKUP(Coin3!$A14,Correspondance!$D:$E,2,FALSE),Coin1!$A:$A,0),4)</f>
        <v>17.7</v>
      </c>
    </row>
    <row r="15" spans="1:9" x14ac:dyDescent="0.35">
      <c r="A15">
        <f t="shared" si="0"/>
        <v>1014</v>
      </c>
      <c r="B15">
        <f>2*$I$1-INDEX(Coin1!$A:$D,MATCH(VLOOKUP(Coin3!$A15,Correspondance!$D:$E,2,FALSE),Coin1!$A:$A,0),2)</f>
        <v>61.222000000000008</v>
      </c>
      <c r="C15">
        <f>INDEX(Coin1!$A:$D,MATCH(VLOOKUP(Coin3!$A15,Correspondance!$D:$E,2,FALSE),Coin1!$A:$A,0),3)</f>
        <v>0</v>
      </c>
      <c r="D15">
        <f>INDEX(Coin1!$A:$D,MATCH(VLOOKUP(Coin3!$A15,Correspondance!$D:$E,2,FALSE),Coin1!$A:$A,0),4)</f>
        <v>17.7</v>
      </c>
    </row>
    <row r="16" spans="1:9" x14ac:dyDescent="0.35">
      <c r="A16">
        <f t="shared" si="0"/>
        <v>1015</v>
      </c>
      <c r="B16">
        <f>2*$I$1-INDEX(Coin1!$A:$D,MATCH(VLOOKUP(Coin3!$A16,Correspondance!$D:$E,2,FALSE),Coin1!$A:$A,0),2)</f>
        <v>68.025000000000006</v>
      </c>
      <c r="C16">
        <f>INDEX(Coin1!$A:$D,MATCH(VLOOKUP(Coin3!$A16,Correspondance!$D:$E,2,FALSE),Coin1!$A:$A,0),3)</f>
        <v>0</v>
      </c>
      <c r="D16">
        <f>INDEX(Coin1!$A:$D,MATCH(VLOOKUP(Coin3!$A16,Correspondance!$D:$E,2,FALSE),Coin1!$A:$A,0),4)</f>
        <v>17.7</v>
      </c>
    </row>
    <row r="17" spans="1:4" x14ac:dyDescent="0.35">
      <c r="A17">
        <f t="shared" si="0"/>
        <v>1016</v>
      </c>
      <c r="B17">
        <f>2*$I$1-INDEX(Coin1!$A:$D,MATCH(VLOOKUP(Coin3!$A17,Correspondance!$D:$E,2,FALSE),Coin1!$A:$A,0),2)</f>
        <v>54.42</v>
      </c>
      <c r="C17">
        <f>INDEX(Coin1!$A:$D,MATCH(VLOOKUP(Coin3!$A17,Correspondance!$D:$E,2,FALSE),Coin1!$A:$A,0),3)</f>
        <v>8.08</v>
      </c>
      <c r="D17">
        <f>INDEX(Coin1!$A:$D,MATCH(VLOOKUP(Coin3!$A17,Correspondance!$D:$E,2,FALSE),Coin1!$A:$A,0),4)</f>
        <v>17.7</v>
      </c>
    </row>
    <row r="18" spans="1:4" x14ac:dyDescent="0.35">
      <c r="A18">
        <f t="shared" si="0"/>
        <v>1017</v>
      </c>
      <c r="B18">
        <f>2*$I$1-INDEX(Coin1!$A:$D,MATCH(VLOOKUP(Coin3!$A18,Correspondance!$D:$E,2,FALSE),Coin1!$A:$A,0),2)</f>
        <v>68.025000000000006</v>
      </c>
      <c r="C18">
        <f>INDEX(Coin1!$A:$D,MATCH(VLOOKUP(Coin3!$A18,Correspondance!$D:$E,2,FALSE),Coin1!$A:$A,0),3)</f>
        <v>8.08</v>
      </c>
      <c r="D18">
        <f>INDEX(Coin1!$A:$D,MATCH(VLOOKUP(Coin3!$A18,Correspondance!$D:$E,2,FALSE),Coin1!$A:$A,0),4)</f>
        <v>17.7</v>
      </c>
    </row>
    <row r="19" spans="1:4" x14ac:dyDescent="0.35">
      <c r="A19">
        <f t="shared" si="0"/>
        <v>1018</v>
      </c>
      <c r="B19">
        <f>2*$I$1-INDEX(Coin1!$A:$D,MATCH(VLOOKUP(Coin3!$A19,Correspondance!$D:$E,2,FALSE),Coin1!$A:$A,0),2)</f>
        <v>54.42</v>
      </c>
      <c r="C19">
        <f>INDEX(Coin1!$A:$D,MATCH(VLOOKUP(Coin3!$A19,Correspondance!$D:$E,2,FALSE),Coin1!$A:$A,0),3)</f>
        <v>16.16</v>
      </c>
      <c r="D19">
        <f>INDEX(Coin1!$A:$D,MATCH(VLOOKUP(Coin3!$A19,Correspondance!$D:$E,2,FALSE),Coin1!$A:$A,0),4)</f>
        <v>17.7</v>
      </c>
    </row>
    <row r="20" spans="1:4" x14ac:dyDescent="0.35">
      <c r="A20">
        <f t="shared" si="0"/>
        <v>1019</v>
      </c>
      <c r="B20">
        <f>2*$I$1-INDEX(Coin1!$A:$D,MATCH(VLOOKUP(Coin3!$A20,Correspondance!$D:$E,2,FALSE),Coin1!$A:$A,0),2)</f>
        <v>61.222000000000008</v>
      </c>
      <c r="C20">
        <f>INDEX(Coin1!$A:$D,MATCH(VLOOKUP(Coin3!$A20,Correspondance!$D:$E,2,FALSE),Coin1!$A:$A,0),3)</f>
        <v>16.16</v>
      </c>
      <c r="D20">
        <f>INDEX(Coin1!$A:$D,MATCH(VLOOKUP(Coin3!$A20,Correspondance!$D:$E,2,FALSE),Coin1!$A:$A,0),4)</f>
        <v>17.7</v>
      </c>
    </row>
    <row r="21" spans="1:4" x14ac:dyDescent="0.35">
      <c r="A21">
        <f t="shared" si="0"/>
        <v>1020</v>
      </c>
      <c r="B21">
        <f>2*$I$1-INDEX(Coin1!$A:$D,MATCH(VLOOKUP(Coin3!$A21,Correspondance!$D:$E,2,FALSE),Coin1!$A:$A,0),2)</f>
        <v>68.025000000000006</v>
      </c>
      <c r="C21">
        <f>INDEX(Coin1!$A:$D,MATCH(VLOOKUP(Coin3!$A21,Correspondance!$D:$E,2,FALSE),Coin1!$A:$A,0),3)</f>
        <v>16.16</v>
      </c>
      <c r="D21">
        <f>INDEX(Coin1!$A:$D,MATCH(VLOOKUP(Coin3!$A21,Correspondance!$D:$E,2,FALSE),Coin1!$A:$A,0),4)</f>
        <v>17.7</v>
      </c>
    </row>
    <row r="22" spans="1:4" x14ac:dyDescent="0.35">
      <c r="A22">
        <f t="shared" si="0"/>
        <v>1021</v>
      </c>
      <c r="B22">
        <f>2*$I$1-INDEX(Coin1!$A:$D,MATCH(VLOOKUP(Coin3!$A22,Correspondance!$D:$E,2,FALSE),Coin1!$A:$A,0),2)</f>
        <v>54.42</v>
      </c>
      <c r="C22">
        <f>INDEX(Coin1!$A:$D,MATCH(VLOOKUP(Coin3!$A22,Correspondance!$D:$E,2,FALSE),Coin1!$A:$A,0),3)</f>
        <v>0</v>
      </c>
      <c r="D22">
        <f>INDEX(Coin1!$A:$D,MATCH(VLOOKUP(Coin3!$A22,Correspondance!$D:$E,2,FALSE),Coin1!$A:$A,0),4)</f>
        <v>24.96</v>
      </c>
    </row>
    <row r="23" spans="1:4" x14ac:dyDescent="0.35">
      <c r="A23">
        <f t="shared" si="0"/>
        <v>1022</v>
      </c>
      <c r="B23">
        <f>2*$I$1-INDEX(Coin1!$A:$D,MATCH(VLOOKUP(Coin3!$A23,Correspondance!$D:$E,2,FALSE),Coin1!$A:$A,0),2)</f>
        <v>68.025000000000006</v>
      </c>
      <c r="C23">
        <f>INDEX(Coin1!$A:$D,MATCH(VLOOKUP(Coin3!$A23,Correspondance!$D:$E,2,FALSE),Coin1!$A:$A,0),3)</f>
        <v>0</v>
      </c>
      <c r="D23">
        <f>INDEX(Coin1!$A:$D,MATCH(VLOOKUP(Coin3!$A23,Correspondance!$D:$E,2,FALSE),Coin1!$A:$A,0),4)</f>
        <v>24.96</v>
      </c>
    </row>
    <row r="24" spans="1:4" x14ac:dyDescent="0.35">
      <c r="A24">
        <f t="shared" si="0"/>
        <v>1023</v>
      </c>
      <c r="B24">
        <f>2*$I$1-INDEX(Coin1!$A:$D,MATCH(VLOOKUP(Coin3!$A24,Correspondance!$D:$E,2,FALSE),Coin1!$A:$A,0),2)</f>
        <v>54.42</v>
      </c>
      <c r="C24">
        <f>INDEX(Coin1!$A:$D,MATCH(VLOOKUP(Coin3!$A24,Correspondance!$D:$E,2,FALSE),Coin1!$A:$A,0),3)</f>
        <v>16.16</v>
      </c>
      <c r="D24">
        <f>INDEX(Coin1!$A:$D,MATCH(VLOOKUP(Coin3!$A24,Correspondance!$D:$E,2,FALSE),Coin1!$A:$A,0),4)</f>
        <v>24.96</v>
      </c>
    </row>
    <row r="25" spans="1:4" x14ac:dyDescent="0.35">
      <c r="A25">
        <f t="shared" si="0"/>
        <v>1024</v>
      </c>
      <c r="B25">
        <f>2*$I$1-INDEX(Coin1!$A:$D,MATCH(VLOOKUP(Coin3!$A25,Correspondance!$D:$E,2,FALSE),Coin1!$A:$A,0),2)</f>
        <v>68.025000000000006</v>
      </c>
      <c r="C25">
        <f>INDEX(Coin1!$A:$D,MATCH(VLOOKUP(Coin3!$A25,Correspondance!$D:$E,2,FALSE),Coin1!$A:$A,0),3)</f>
        <v>16.16</v>
      </c>
      <c r="D25">
        <f>INDEX(Coin1!$A:$D,MATCH(VLOOKUP(Coin3!$A25,Correspondance!$D:$E,2,FALSE),Coin1!$A:$A,0),4)</f>
        <v>24.96</v>
      </c>
    </row>
    <row r="26" spans="1:4" x14ac:dyDescent="0.35">
      <c r="A26">
        <f t="shared" si="0"/>
        <v>1025</v>
      </c>
      <c r="B26">
        <f>2*$I$1-INDEX(Coin1!$A:$D,MATCH(VLOOKUP(Coin3!$A26,Correspondance!$D:$E,2,FALSE),Coin1!$A:$A,0),2)</f>
        <v>54.42</v>
      </c>
      <c r="C26">
        <f>INDEX(Coin1!$A:$D,MATCH(VLOOKUP(Coin3!$A26,Correspondance!$D:$E,2,FALSE),Coin1!$A:$A,0),3)</f>
        <v>-1.6</v>
      </c>
      <c r="D26">
        <f>INDEX(Coin1!$A:$D,MATCH(VLOOKUP(Coin3!$A26,Correspondance!$D:$E,2,FALSE),Coin1!$A:$A,0),4)</f>
        <v>26.36</v>
      </c>
    </row>
    <row r="27" spans="1:4" x14ac:dyDescent="0.35">
      <c r="A27">
        <f t="shared" si="0"/>
        <v>1026</v>
      </c>
      <c r="B27">
        <f>2*$I$1-INDEX(Coin1!$A:$D,MATCH(VLOOKUP(Coin3!$A27,Correspondance!$D:$E,2,FALSE),Coin1!$A:$A,0),2)</f>
        <v>55.540000000000006</v>
      </c>
      <c r="C27">
        <f>INDEX(Coin1!$A:$D,MATCH(VLOOKUP(Coin3!$A27,Correspondance!$D:$E,2,FALSE),Coin1!$A:$A,0),3)</f>
        <v>-1.6</v>
      </c>
      <c r="D27">
        <f>INDEX(Coin1!$A:$D,MATCH(VLOOKUP(Coin3!$A27,Correspondance!$D:$E,2,FALSE),Coin1!$A:$A,0),4)</f>
        <v>26.36</v>
      </c>
    </row>
    <row r="28" spans="1:4" x14ac:dyDescent="0.35">
      <c r="A28">
        <f t="shared" si="0"/>
        <v>1027</v>
      </c>
      <c r="B28">
        <f>2*$I$1-INDEX(Coin1!$A:$D,MATCH(VLOOKUP(Coin3!$A28,Correspondance!$D:$E,2,FALSE),Coin1!$A:$A,0),2)</f>
        <v>56.657948729810784</v>
      </c>
      <c r="C28">
        <f>INDEX(Coin1!$A:$D,MATCH(VLOOKUP(Coin3!$A28,Correspondance!$D:$E,2,FALSE),Coin1!$A:$A,0),3)</f>
        <v>-1.6</v>
      </c>
      <c r="D28">
        <f>INDEX(Coin1!$A:$D,MATCH(VLOOKUP(Coin3!$A28,Correspondance!$D:$E,2,FALSE),Coin1!$A:$A,0),4)</f>
        <v>26.36</v>
      </c>
    </row>
    <row r="29" spans="1:4" x14ac:dyDescent="0.35">
      <c r="A29">
        <f t="shared" si="0"/>
        <v>1028</v>
      </c>
      <c r="B29">
        <f>2*$I$1-INDEX(Coin1!$A:$D,MATCH(VLOOKUP(Coin3!$A29,Correspondance!$D:$E,2,FALSE),Coin1!$A:$A,0),2)</f>
        <v>57.777948729810781</v>
      </c>
      <c r="C29">
        <f>INDEX(Coin1!$A:$D,MATCH(VLOOKUP(Coin3!$A29,Correspondance!$D:$E,2,FALSE),Coin1!$A:$A,0),3)</f>
        <v>-1.6</v>
      </c>
      <c r="D29">
        <f>INDEX(Coin1!$A:$D,MATCH(VLOOKUP(Coin3!$A29,Correspondance!$D:$E,2,FALSE),Coin1!$A:$A,0),4)</f>
        <v>26.36</v>
      </c>
    </row>
    <row r="30" spans="1:4" x14ac:dyDescent="0.35">
      <c r="A30">
        <f t="shared" si="0"/>
        <v>1029</v>
      </c>
      <c r="B30">
        <f>2*$I$1-INDEX(Coin1!$A:$D,MATCH(VLOOKUP(Coin3!$A30,Correspondance!$D:$E,2,FALSE),Coin1!$A:$A,0),2)</f>
        <v>58.717948729810786</v>
      </c>
      <c r="C30">
        <f>INDEX(Coin1!$A:$D,MATCH(VLOOKUP(Coin3!$A30,Correspondance!$D:$E,2,FALSE),Coin1!$A:$A,0),3)</f>
        <v>-1.6</v>
      </c>
      <c r="D30">
        <f>INDEX(Coin1!$A:$D,MATCH(VLOOKUP(Coin3!$A30,Correspondance!$D:$E,2,FALSE),Coin1!$A:$A,0),4)</f>
        <v>26.36</v>
      </c>
    </row>
    <row r="31" spans="1:4" x14ac:dyDescent="0.35">
      <c r="A31">
        <f t="shared" si="0"/>
        <v>1030</v>
      </c>
      <c r="B31">
        <f>2*$I$1-INDEX(Coin1!$A:$D,MATCH(VLOOKUP(Coin3!$A31,Correspondance!$D:$E,2,FALSE),Coin1!$A:$A,0),2)</f>
        <v>59.667500000000004</v>
      </c>
      <c r="C31">
        <f>INDEX(Coin1!$A:$D,MATCH(VLOOKUP(Coin3!$A31,Correspondance!$D:$E,2,FALSE),Coin1!$A:$A,0),3)</f>
        <v>-1.6</v>
      </c>
      <c r="D31">
        <f>INDEX(Coin1!$A:$D,MATCH(VLOOKUP(Coin3!$A31,Correspondance!$D:$E,2,FALSE),Coin1!$A:$A,0),4)</f>
        <v>26.36</v>
      </c>
    </row>
    <row r="32" spans="1:4" x14ac:dyDescent="0.35">
      <c r="A32">
        <f t="shared" si="0"/>
        <v>1031</v>
      </c>
      <c r="B32">
        <f>2*$I$1-INDEX(Coin1!$A:$D,MATCH(VLOOKUP(Coin3!$A32,Correspondance!$D:$E,2,FALSE),Coin1!$A:$A,0),2)</f>
        <v>60.607500000000002</v>
      </c>
      <c r="C32">
        <f>INDEX(Coin1!$A:$D,MATCH(VLOOKUP(Coin3!$A32,Correspondance!$D:$E,2,FALSE),Coin1!$A:$A,0),3)</f>
        <v>-1.6</v>
      </c>
      <c r="D32">
        <f>INDEX(Coin1!$A:$D,MATCH(VLOOKUP(Coin3!$A32,Correspondance!$D:$E,2,FALSE),Coin1!$A:$A,0),4)</f>
        <v>26.36</v>
      </c>
    </row>
    <row r="33" spans="1:4" x14ac:dyDescent="0.35">
      <c r="A33">
        <f t="shared" si="0"/>
        <v>1032</v>
      </c>
      <c r="B33">
        <f>2*$I$1-INDEX(Coin1!$A:$D,MATCH(VLOOKUP(Coin3!$A33,Correspondance!$D:$E,2,FALSE),Coin1!$A:$A,0),2)</f>
        <v>61.837500000000006</v>
      </c>
      <c r="C33">
        <f>INDEX(Coin1!$A:$D,MATCH(VLOOKUP(Coin3!$A33,Correspondance!$D:$E,2,FALSE),Coin1!$A:$A,0),3)</f>
        <v>-1.6</v>
      </c>
      <c r="D33">
        <f>INDEX(Coin1!$A:$D,MATCH(VLOOKUP(Coin3!$A33,Correspondance!$D:$E,2,FALSE),Coin1!$A:$A,0),4)</f>
        <v>26.36</v>
      </c>
    </row>
    <row r="34" spans="1:4" x14ac:dyDescent="0.35">
      <c r="A34">
        <f t="shared" si="0"/>
        <v>1033</v>
      </c>
      <c r="B34">
        <f>2*$I$1-INDEX(Coin1!$A:$D,MATCH(VLOOKUP(Coin3!$A34,Correspondance!$D:$E,2,FALSE),Coin1!$A:$A,0),2)</f>
        <v>62.777500000000003</v>
      </c>
      <c r="C34">
        <f>INDEX(Coin1!$A:$D,MATCH(VLOOKUP(Coin3!$A34,Correspondance!$D:$E,2,FALSE),Coin1!$A:$A,0),3)</f>
        <v>-1.6</v>
      </c>
      <c r="D34">
        <f>INDEX(Coin1!$A:$D,MATCH(VLOOKUP(Coin3!$A34,Correspondance!$D:$E,2,FALSE),Coin1!$A:$A,0),4)</f>
        <v>26.36</v>
      </c>
    </row>
    <row r="35" spans="1:4" x14ac:dyDescent="0.35">
      <c r="A35">
        <f t="shared" si="0"/>
        <v>1034</v>
      </c>
      <c r="B35">
        <f>2*$I$1-INDEX(Coin1!$A:$D,MATCH(VLOOKUP(Coin3!$A35,Correspondance!$D:$E,2,FALSE),Coin1!$A:$A,0),2)</f>
        <v>63.727051270189229</v>
      </c>
      <c r="C35">
        <f>INDEX(Coin1!$A:$D,MATCH(VLOOKUP(Coin3!$A35,Correspondance!$D:$E,2,FALSE),Coin1!$A:$A,0),3)</f>
        <v>-1.6</v>
      </c>
      <c r="D35">
        <f>INDEX(Coin1!$A:$D,MATCH(VLOOKUP(Coin3!$A35,Correspondance!$D:$E,2,FALSE),Coin1!$A:$A,0),4)</f>
        <v>26.36</v>
      </c>
    </row>
    <row r="36" spans="1:4" x14ac:dyDescent="0.35">
      <c r="A36">
        <f t="shared" si="0"/>
        <v>1035</v>
      </c>
      <c r="B36">
        <f>2*$I$1-INDEX(Coin1!$A:$D,MATCH(VLOOKUP(Coin3!$A36,Correspondance!$D:$E,2,FALSE),Coin1!$A:$A,0),2)</f>
        <v>64.667051270189233</v>
      </c>
      <c r="C36">
        <f>INDEX(Coin1!$A:$D,MATCH(VLOOKUP(Coin3!$A36,Correspondance!$D:$E,2,FALSE),Coin1!$A:$A,0),3)</f>
        <v>-1.6</v>
      </c>
      <c r="D36">
        <f>INDEX(Coin1!$A:$D,MATCH(VLOOKUP(Coin3!$A36,Correspondance!$D:$E,2,FALSE),Coin1!$A:$A,0),4)</f>
        <v>26.36</v>
      </c>
    </row>
    <row r="37" spans="1:4" x14ac:dyDescent="0.35">
      <c r="A37">
        <f t="shared" si="0"/>
        <v>1036</v>
      </c>
      <c r="B37">
        <f>2*$I$1-INDEX(Coin1!$A:$D,MATCH(VLOOKUP(Coin3!$A37,Correspondance!$D:$E,2,FALSE),Coin1!$A:$A,0),2)</f>
        <v>65.787051270189224</v>
      </c>
      <c r="C37">
        <f>INDEX(Coin1!$A:$D,MATCH(VLOOKUP(Coin3!$A37,Correspondance!$D:$E,2,FALSE),Coin1!$A:$A,0),3)</f>
        <v>-1.6</v>
      </c>
      <c r="D37">
        <f>INDEX(Coin1!$A:$D,MATCH(VLOOKUP(Coin3!$A37,Correspondance!$D:$E,2,FALSE),Coin1!$A:$A,0),4)</f>
        <v>26.36</v>
      </c>
    </row>
    <row r="38" spans="1:4" x14ac:dyDescent="0.35">
      <c r="A38">
        <f t="shared" si="0"/>
        <v>1037</v>
      </c>
      <c r="B38">
        <f>2*$I$1-INDEX(Coin1!$A:$D,MATCH(VLOOKUP(Coin3!$A38,Correspondance!$D:$E,2,FALSE),Coin1!$A:$A,0),2)</f>
        <v>66.905000000000001</v>
      </c>
      <c r="C38">
        <f>INDEX(Coin1!$A:$D,MATCH(VLOOKUP(Coin3!$A38,Correspondance!$D:$E,2,FALSE),Coin1!$A:$A,0),3)</f>
        <v>-1.6</v>
      </c>
      <c r="D38">
        <f>INDEX(Coin1!$A:$D,MATCH(VLOOKUP(Coin3!$A38,Correspondance!$D:$E,2,FALSE),Coin1!$A:$A,0),4)</f>
        <v>26.36</v>
      </c>
    </row>
    <row r="39" spans="1:4" x14ac:dyDescent="0.35">
      <c r="A39">
        <f t="shared" si="0"/>
        <v>1038</v>
      </c>
      <c r="B39">
        <f>2*$I$1-INDEX(Coin1!$A:$D,MATCH(VLOOKUP(Coin3!$A39,Correspondance!$D:$E,2,FALSE),Coin1!$A:$A,0),2)</f>
        <v>68.025000000000006</v>
      </c>
      <c r="C39">
        <f>INDEX(Coin1!$A:$D,MATCH(VLOOKUP(Coin3!$A39,Correspondance!$D:$E,2,FALSE),Coin1!$A:$A,0),3)</f>
        <v>-1.6</v>
      </c>
      <c r="D39">
        <f>INDEX(Coin1!$A:$D,MATCH(VLOOKUP(Coin3!$A39,Correspondance!$D:$E,2,FALSE),Coin1!$A:$A,0),4)</f>
        <v>26.36</v>
      </c>
    </row>
    <row r="40" spans="1:4" x14ac:dyDescent="0.35">
      <c r="A40">
        <f t="shared" si="0"/>
        <v>1039</v>
      </c>
      <c r="B40">
        <f>2*$I$1-INDEX(Coin1!$A:$D,MATCH(VLOOKUP(Coin3!$A40,Correspondance!$D:$E,2,FALSE),Coin1!$A:$A,0),2)</f>
        <v>69.425000000000011</v>
      </c>
      <c r="C40">
        <f>INDEX(Coin1!$A:$D,MATCH(VLOOKUP(Coin3!$A40,Correspondance!$D:$E,2,FALSE),Coin1!$A:$A,0),3)</f>
        <v>-1.6</v>
      </c>
      <c r="D40">
        <f>INDEX(Coin1!$A:$D,MATCH(VLOOKUP(Coin3!$A40,Correspondance!$D:$E,2,FALSE),Coin1!$A:$A,0),4)</f>
        <v>26.36</v>
      </c>
    </row>
    <row r="41" spans="1:4" x14ac:dyDescent="0.35">
      <c r="A41">
        <f t="shared" si="0"/>
        <v>1040</v>
      </c>
      <c r="B41">
        <f>2*$I$1-INDEX(Coin1!$A:$D,MATCH(VLOOKUP(Coin3!$A41,Correspondance!$D:$E,2,FALSE),Coin1!$A:$A,0),2)</f>
        <v>57.777948729810781</v>
      </c>
      <c r="C41">
        <f>INDEX(Coin1!$A:$D,MATCH(VLOOKUP(Coin3!$A41,Correspondance!$D:$E,2,FALSE),Coin1!$A:$A,0),3)</f>
        <v>-0.35</v>
      </c>
      <c r="D41">
        <f>INDEX(Coin1!$A:$D,MATCH(VLOOKUP(Coin3!$A41,Correspondance!$D:$E,2,FALSE),Coin1!$A:$A,0),4)</f>
        <v>26.36</v>
      </c>
    </row>
    <row r="42" spans="1:4" x14ac:dyDescent="0.35">
      <c r="A42">
        <f t="shared" si="0"/>
        <v>1041</v>
      </c>
      <c r="B42">
        <f>2*$I$1-INDEX(Coin1!$A:$D,MATCH(VLOOKUP(Coin3!$A42,Correspondance!$D:$E,2,FALSE),Coin1!$A:$A,0),2)</f>
        <v>60.607500000000002</v>
      </c>
      <c r="C42">
        <f>INDEX(Coin1!$A:$D,MATCH(VLOOKUP(Coin3!$A42,Correspondance!$D:$E,2,FALSE),Coin1!$A:$A,0),3)</f>
        <v>-0.35</v>
      </c>
      <c r="D42">
        <f>INDEX(Coin1!$A:$D,MATCH(VLOOKUP(Coin3!$A42,Correspondance!$D:$E,2,FALSE),Coin1!$A:$A,0),4)</f>
        <v>26.36</v>
      </c>
    </row>
    <row r="43" spans="1:4" x14ac:dyDescent="0.35">
      <c r="A43">
        <f t="shared" si="0"/>
        <v>1042</v>
      </c>
      <c r="B43">
        <f>2*$I$1-INDEX(Coin1!$A:$D,MATCH(VLOOKUP(Coin3!$A43,Correspondance!$D:$E,2,FALSE),Coin1!$A:$A,0),2)</f>
        <v>61.837500000000006</v>
      </c>
      <c r="C43">
        <f>INDEX(Coin1!$A:$D,MATCH(VLOOKUP(Coin3!$A43,Correspondance!$D:$E,2,FALSE),Coin1!$A:$A,0),3)</f>
        <v>-0.35</v>
      </c>
      <c r="D43">
        <f>INDEX(Coin1!$A:$D,MATCH(VLOOKUP(Coin3!$A43,Correspondance!$D:$E,2,FALSE),Coin1!$A:$A,0),4)</f>
        <v>26.36</v>
      </c>
    </row>
    <row r="44" spans="1:4" x14ac:dyDescent="0.35">
      <c r="A44">
        <f t="shared" si="0"/>
        <v>1043</v>
      </c>
      <c r="B44">
        <f>2*$I$1-INDEX(Coin1!$A:$D,MATCH(VLOOKUP(Coin3!$A44,Correspondance!$D:$E,2,FALSE),Coin1!$A:$A,0),2)</f>
        <v>64.667051270189233</v>
      </c>
      <c r="C44">
        <f>INDEX(Coin1!$A:$D,MATCH(VLOOKUP(Coin3!$A44,Correspondance!$D:$E,2,FALSE),Coin1!$A:$A,0),3)</f>
        <v>-0.35</v>
      </c>
      <c r="D44">
        <f>INDEX(Coin1!$A:$D,MATCH(VLOOKUP(Coin3!$A44,Correspondance!$D:$E,2,FALSE),Coin1!$A:$A,0),4)</f>
        <v>26.36</v>
      </c>
    </row>
    <row r="45" spans="1:4" x14ac:dyDescent="0.35">
      <c r="A45">
        <f t="shared" si="0"/>
        <v>1044</v>
      </c>
      <c r="B45">
        <f>2*$I$1-INDEX(Coin1!$A:$D,MATCH(VLOOKUP(Coin3!$A45,Correspondance!$D:$E,2,FALSE),Coin1!$A:$A,0),2)</f>
        <v>68.025000000000006</v>
      </c>
      <c r="C45">
        <f>INDEX(Coin1!$A:$D,MATCH(VLOOKUP(Coin3!$A45,Correspondance!$D:$E,2,FALSE),Coin1!$A:$A,0),3)</f>
        <v>-0.35</v>
      </c>
      <c r="D45">
        <f>INDEX(Coin1!$A:$D,MATCH(VLOOKUP(Coin3!$A45,Correspondance!$D:$E,2,FALSE),Coin1!$A:$A,0),4)</f>
        <v>26.36</v>
      </c>
    </row>
    <row r="46" spans="1:4" x14ac:dyDescent="0.35">
      <c r="A46">
        <f t="shared" si="0"/>
        <v>1045</v>
      </c>
      <c r="B46">
        <f>2*$I$1-INDEX(Coin1!$A:$D,MATCH(VLOOKUP(Coin3!$A46,Correspondance!$D:$E,2,FALSE),Coin1!$A:$A,0),2)</f>
        <v>69.425000000000011</v>
      </c>
      <c r="C46">
        <f>INDEX(Coin1!$A:$D,MATCH(VLOOKUP(Coin3!$A46,Correspondance!$D:$E,2,FALSE),Coin1!$A:$A,0),3)</f>
        <v>-0.35</v>
      </c>
      <c r="D46">
        <f>INDEX(Coin1!$A:$D,MATCH(VLOOKUP(Coin3!$A46,Correspondance!$D:$E,2,FALSE),Coin1!$A:$A,0),4)</f>
        <v>26.36</v>
      </c>
    </row>
    <row r="47" spans="1:4" x14ac:dyDescent="0.35">
      <c r="A47">
        <f t="shared" si="0"/>
        <v>1046</v>
      </c>
      <c r="B47">
        <f>2*$I$1-INDEX(Coin1!$A:$D,MATCH(VLOOKUP(Coin3!$A47,Correspondance!$D:$E,2,FALSE),Coin1!$A:$A,0),2)</f>
        <v>54.42</v>
      </c>
      <c r="C47">
        <f>INDEX(Coin1!$A:$D,MATCH(VLOOKUP(Coin3!$A47,Correspondance!$D:$E,2,FALSE),Coin1!$A:$A,0),3)</f>
        <v>0</v>
      </c>
      <c r="D47">
        <f>INDEX(Coin1!$A:$D,MATCH(VLOOKUP(Coin3!$A47,Correspondance!$D:$E,2,FALSE),Coin1!$A:$A,0),4)</f>
        <v>26.36</v>
      </c>
    </row>
    <row r="48" spans="1:4" x14ac:dyDescent="0.35">
      <c r="A48">
        <f t="shared" si="0"/>
        <v>1047</v>
      </c>
      <c r="B48">
        <f>2*$I$1-INDEX(Coin1!$A:$D,MATCH(VLOOKUP(Coin3!$A48,Correspondance!$D:$E,2,FALSE),Coin1!$A:$A,0),2)</f>
        <v>55.540000000000006</v>
      </c>
      <c r="C48">
        <f>INDEX(Coin1!$A:$D,MATCH(VLOOKUP(Coin3!$A48,Correspondance!$D:$E,2,FALSE),Coin1!$A:$A,0),3)</f>
        <v>0</v>
      </c>
      <c r="D48">
        <f>INDEX(Coin1!$A:$D,MATCH(VLOOKUP(Coin3!$A48,Correspondance!$D:$E,2,FALSE),Coin1!$A:$A,0),4)</f>
        <v>26.36</v>
      </c>
    </row>
    <row r="49" spans="1:4" x14ac:dyDescent="0.35">
      <c r="A49">
        <f t="shared" si="0"/>
        <v>1048</v>
      </c>
      <c r="B49">
        <f>2*$I$1-INDEX(Coin1!$A:$D,MATCH(VLOOKUP(Coin3!$A49,Correspondance!$D:$E,2,FALSE),Coin1!$A:$A,0),2)</f>
        <v>56.474624462656628</v>
      </c>
      <c r="C49">
        <f>INDEX(Coin1!$A:$D,MATCH(VLOOKUP(Coin3!$A49,Correspondance!$D:$E,2,FALSE),Coin1!$A:$A,0),3)</f>
        <v>0</v>
      </c>
      <c r="D49">
        <f>INDEX(Coin1!$A:$D,MATCH(VLOOKUP(Coin3!$A49,Correspondance!$D:$E,2,FALSE),Coin1!$A:$A,0),4)</f>
        <v>26.36</v>
      </c>
    </row>
    <row r="50" spans="1:4" x14ac:dyDescent="0.35">
      <c r="A50">
        <f t="shared" si="0"/>
        <v>1049</v>
      </c>
      <c r="B50">
        <f>2*$I$1-INDEX(Coin1!$A:$D,MATCH(VLOOKUP(Coin3!$A50,Correspondance!$D:$E,2,FALSE),Coin1!$A:$A,0),2)</f>
        <v>56.657948729810784</v>
      </c>
      <c r="C50">
        <f>INDEX(Coin1!$A:$D,MATCH(VLOOKUP(Coin3!$A50,Correspondance!$D:$E,2,FALSE),Coin1!$A:$A,0),3)</f>
        <v>0</v>
      </c>
      <c r="D50">
        <f>INDEX(Coin1!$A:$D,MATCH(VLOOKUP(Coin3!$A50,Correspondance!$D:$E,2,FALSE),Coin1!$A:$A,0),4)</f>
        <v>26.36</v>
      </c>
    </row>
    <row r="51" spans="1:4" x14ac:dyDescent="0.35">
      <c r="A51">
        <f t="shared" si="0"/>
        <v>1050</v>
      </c>
      <c r="B51">
        <f>2*$I$1-INDEX(Coin1!$A:$D,MATCH(VLOOKUP(Coin3!$A51,Correspondance!$D:$E,2,FALSE),Coin1!$A:$A,0),2)</f>
        <v>57.777948729810781</v>
      </c>
      <c r="C51">
        <f>INDEX(Coin1!$A:$D,MATCH(VLOOKUP(Coin3!$A51,Correspondance!$D:$E,2,FALSE),Coin1!$A:$A,0),3)</f>
        <v>0</v>
      </c>
      <c r="D51">
        <f>INDEX(Coin1!$A:$D,MATCH(VLOOKUP(Coin3!$A51,Correspondance!$D:$E,2,FALSE),Coin1!$A:$A,0),4)</f>
        <v>26.36</v>
      </c>
    </row>
    <row r="52" spans="1:4" x14ac:dyDescent="0.35">
      <c r="A52">
        <f t="shared" si="0"/>
        <v>1051</v>
      </c>
      <c r="B52">
        <f>2*$I$1-INDEX(Coin1!$A:$D,MATCH(VLOOKUP(Coin3!$A52,Correspondance!$D:$E,2,FALSE),Coin1!$A:$A,0),2)</f>
        <v>58.529248925313254</v>
      </c>
      <c r="C52">
        <f>INDEX(Coin1!$A:$D,MATCH(VLOOKUP(Coin3!$A52,Correspondance!$D:$E,2,FALSE),Coin1!$A:$A,0),3)</f>
        <v>0</v>
      </c>
      <c r="D52">
        <f>INDEX(Coin1!$A:$D,MATCH(VLOOKUP(Coin3!$A52,Correspondance!$D:$E,2,FALSE),Coin1!$A:$A,0),4)</f>
        <v>26.36</v>
      </c>
    </row>
    <row r="53" spans="1:4" x14ac:dyDescent="0.35">
      <c r="A53">
        <f t="shared" si="0"/>
        <v>1052</v>
      </c>
      <c r="B53">
        <f>2*$I$1-INDEX(Coin1!$A:$D,MATCH(VLOOKUP(Coin3!$A53,Correspondance!$D:$E,2,FALSE),Coin1!$A:$A,0),2)</f>
        <v>58.717948729810786</v>
      </c>
      <c r="C53">
        <f>INDEX(Coin1!$A:$D,MATCH(VLOOKUP(Coin3!$A53,Correspondance!$D:$E,2,FALSE),Coin1!$A:$A,0),3)</f>
        <v>0</v>
      </c>
      <c r="D53">
        <f>INDEX(Coin1!$A:$D,MATCH(VLOOKUP(Coin3!$A53,Correspondance!$D:$E,2,FALSE),Coin1!$A:$A,0),4)</f>
        <v>26.36</v>
      </c>
    </row>
    <row r="54" spans="1:4" x14ac:dyDescent="0.35">
      <c r="A54">
        <f t="shared" si="0"/>
        <v>1053</v>
      </c>
      <c r="B54">
        <f>2*$I$1-INDEX(Coin1!$A:$D,MATCH(VLOOKUP(Coin3!$A54,Correspondance!$D:$E,2,FALSE),Coin1!$A:$A,0),2)</f>
        <v>59.667500000000004</v>
      </c>
      <c r="C54">
        <f>INDEX(Coin1!$A:$D,MATCH(VLOOKUP(Coin3!$A54,Correspondance!$D:$E,2,FALSE),Coin1!$A:$A,0),3)</f>
        <v>0</v>
      </c>
      <c r="D54">
        <f>INDEX(Coin1!$A:$D,MATCH(VLOOKUP(Coin3!$A54,Correspondance!$D:$E,2,FALSE),Coin1!$A:$A,0),4)</f>
        <v>26.36</v>
      </c>
    </row>
    <row r="55" spans="1:4" x14ac:dyDescent="0.35">
      <c r="A55">
        <f t="shared" si="0"/>
        <v>1054</v>
      </c>
      <c r="B55">
        <f>2*$I$1-INDEX(Coin1!$A:$D,MATCH(VLOOKUP(Coin3!$A55,Correspondance!$D:$E,2,FALSE),Coin1!$A:$A,0),2)</f>
        <v>60.583873387969874</v>
      </c>
      <c r="C55">
        <f>INDEX(Coin1!$A:$D,MATCH(VLOOKUP(Coin3!$A55,Correspondance!$D:$E,2,FALSE),Coin1!$A:$A,0),3)</f>
        <v>0</v>
      </c>
      <c r="D55">
        <f>INDEX(Coin1!$A:$D,MATCH(VLOOKUP(Coin3!$A55,Correspondance!$D:$E,2,FALSE),Coin1!$A:$A,0),4)</f>
        <v>26.36</v>
      </c>
    </row>
    <row r="56" spans="1:4" x14ac:dyDescent="0.35">
      <c r="A56">
        <f t="shared" si="0"/>
        <v>1055</v>
      </c>
      <c r="B56">
        <f>2*$I$1-INDEX(Coin1!$A:$D,MATCH(VLOOKUP(Coin3!$A56,Correspondance!$D:$E,2,FALSE),Coin1!$A:$A,0),2)</f>
        <v>60.372500000000002</v>
      </c>
      <c r="C56">
        <f>INDEX(Coin1!$A:$D,MATCH(VLOOKUP(Coin3!$A56,Correspondance!$D:$E,2,FALSE),Coin1!$A:$A,0),3)</f>
        <v>0</v>
      </c>
      <c r="D56">
        <f>INDEX(Coin1!$A:$D,MATCH(VLOOKUP(Coin3!$A56,Correspondance!$D:$E,2,FALSE),Coin1!$A:$A,0),4)</f>
        <v>26.36</v>
      </c>
    </row>
    <row r="57" spans="1:4" x14ac:dyDescent="0.35">
      <c r="A57">
        <f t="shared" si="0"/>
        <v>1056</v>
      </c>
      <c r="B57">
        <f>2*$I$1-INDEX(Coin1!$A:$D,MATCH(VLOOKUP(Coin3!$A57,Correspondance!$D:$E,2,FALSE),Coin1!$A:$A,0),2)</f>
        <v>60.607500000000002</v>
      </c>
      <c r="C57">
        <f>INDEX(Coin1!$A:$D,MATCH(VLOOKUP(Coin3!$A57,Correspondance!$D:$E,2,FALSE),Coin1!$A:$A,0),3)</f>
        <v>0</v>
      </c>
      <c r="D57">
        <f>INDEX(Coin1!$A:$D,MATCH(VLOOKUP(Coin3!$A57,Correspondance!$D:$E,2,FALSE),Coin1!$A:$A,0),4)</f>
        <v>26.36</v>
      </c>
    </row>
    <row r="58" spans="1:4" x14ac:dyDescent="0.35">
      <c r="A58">
        <f t="shared" si="0"/>
        <v>1057</v>
      </c>
      <c r="B58">
        <f>2*$I$1-INDEX(Coin1!$A:$D,MATCH(VLOOKUP(Coin3!$A58,Correspondance!$D:$E,2,FALSE),Coin1!$A:$A,0),2)</f>
        <v>61.222500000000004</v>
      </c>
      <c r="C58">
        <f>INDEX(Coin1!$A:$D,MATCH(VLOOKUP(Coin3!$A58,Correspondance!$D:$E,2,FALSE),Coin1!$A:$A,0),3)</f>
        <v>0</v>
      </c>
      <c r="D58">
        <f>INDEX(Coin1!$A:$D,MATCH(VLOOKUP(Coin3!$A58,Correspondance!$D:$E,2,FALSE),Coin1!$A:$A,0),4)</f>
        <v>26.36</v>
      </c>
    </row>
    <row r="59" spans="1:4" x14ac:dyDescent="0.35">
      <c r="A59">
        <f t="shared" si="0"/>
        <v>1058</v>
      </c>
      <c r="B59">
        <f>2*$I$1-INDEX(Coin1!$A:$D,MATCH(VLOOKUP(Coin3!$A59,Correspondance!$D:$E,2,FALSE),Coin1!$A:$A,0),2)</f>
        <v>61.837500000000006</v>
      </c>
      <c r="C59">
        <f>INDEX(Coin1!$A:$D,MATCH(VLOOKUP(Coin3!$A59,Correspondance!$D:$E,2,FALSE),Coin1!$A:$A,0),3)</f>
        <v>0</v>
      </c>
      <c r="D59">
        <f>INDEX(Coin1!$A:$D,MATCH(VLOOKUP(Coin3!$A59,Correspondance!$D:$E,2,FALSE),Coin1!$A:$A,0),4)</f>
        <v>26.36</v>
      </c>
    </row>
    <row r="60" spans="1:4" x14ac:dyDescent="0.35">
      <c r="A60">
        <f t="shared" si="0"/>
        <v>1059</v>
      </c>
      <c r="B60">
        <f>2*$I$1-INDEX(Coin1!$A:$D,MATCH(VLOOKUP(Coin3!$A60,Correspondance!$D:$E,2,FALSE),Coin1!$A:$A,0),2)</f>
        <v>62.072500000000005</v>
      </c>
      <c r="C60">
        <f>INDEX(Coin1!$A:$D,MATCH(VLOOKUP(Coin3!$A60,Correspondance!$D:$E,2,FALSE),Coin1!$A:$A,0),3)</f>
        <v>0</v>
      </c>
      <c r="D60">
        <f>INDEX(Coin1!$A:$D,MATCH(VLOOKUP(Coin3!$A60,Correspondance!$D:$E,2,FALSE),Coin1!$A:$A,0),4)</f>
        <v>26.36</v>
      </c>
    </row>
    <row r="61" spans="1:4" x14ac:dyDescent="0.35">
      <c r="A61">
        <f t="shared" si="0"/>
        <v>1060</v>
      </c>
      <c r="B61">
        <f>2*$I$1-INDEX(Coin1!$A:$D,MATCH(VLOOKUP(Coin3!$A61,Correspondance!$D:$E,2,FALSE),Coin1!$A:$A,0),2)</f>
        <v>61.861126612030134</v>
      </c>
      <c r="C61">
        <f>INDEX(Coin1!$A:$D,MATCH(VLOOKUP(Coin3!$A61,Correspondance!$D:$E,2,FALSE),Coin1!$A:$A,0),3)</f>
        <v>0</v>
      </c>
      <c r="D61">
        <f>INDEX(Coin1!$A:$D,MATCH(VLOOKUP(Coin3!$A61,Correspondance!$D:$E,2,FALSE),Coin1!$A:$A,0),4)</f>
        <v>26.36</v>
      </c>
    </row>
    <row r="62" spans="1:4" x14ac:dyDescent="0.35">
      <c r="A62">
        <f t="shared" si="0"/>
        <v>1061</v>
      </c>
      <c r="B62">
        <f>2*$I$1-INDEX(Coin1!$A:$D,MATCH(VLOOKUP(Coin3!$A62,Correspondance!$D:$E,2,FALSE),Coin1!$A:$A,0),2)</f>
        <v>62.777500000000003</v>
      </c>
      <c r="C62">
        <f>INDEX(Coin1!$A:$D,MATCH(VLOOKUP(Coin3!$A62,Correspondance!$D:$E,2,FALSE),Coin1!$A:$A,0),3)</f>
        <v>0</v>
      </c>
      <c r="D62">
        <f>INDEX(Coin1!$A:$D,MATCH(VLOOKUP(Coin3!$A62,Correspondance!$D:$E,2,FALSE),Coin1!$A:$A,0),4)</f>
        <v>26.36</v>
      </c>
    </row>
    <row r="63" spans="1:4" x14ac:dyDescent="0.35">
      <c r="A63">
        <f t="shared" si="0"/>
        <v>1062</v>
      </c>
      <c r="B63">
        <f>2*$I$1-INDEX(Coin1!$A:$D,MATCH(VLOOKUP(Coin3!$A63,Correspondance!$D:$E,2,FALSE),Coin1!$A:$A,0),2)</f>
        <v>63.727051270189229</v>
      </c>
      <c r="C63">
        <f>INDEX(Coin1!$A:$D,MATCH(VLOOKUP(Coin3!$A63,Correspondance!$D:$E,2,FALSE),Coin1!$A:$A,0),3)</f>
        <v>0</v>
      </c>
      <c r="D63">
        <f>INDEX(Coin1!$A:$D,MATCH(VLOOKUP(Coin3!$A63,Correspondance!$D:$E,2,FALSE),Coin1!$A:$A,0),4)</f>
        <v>26.36</v>
      </c>
    </row>
    <row r="64" spans="1:4" x14ac:dyDescent="0.35">
      <c r="A64">
        <f t="shared" si="0"/>
        <v>1063</v>
      </c>
      <c r="B64">
        <f>2*$I$1-INDEX(Coin1!$A:$D,MATCH(VLOOKUP(Coin3!$A64,Correspondance!$D:$E,2,FALSE),Coin1!$A:$A,0),2)</f>
        <v>63.91575107468676</v>
      </c>
      <c r="C64">
        <f>INDEX(Coin1!$A:$D,MATCH(VLOOKUP(Coin3!$A64,Correspondance!$D:$E,2,FALSE),Coin1!$A:$A,0),3)</f>
        <v>0</v>
      </c>
      <c r="D64">
        <f>INDEX(Coin1!$A:$D,MATCH(VLOOKUP(Coin3!$A64,Correspondance!$D:$E,2,FALSE),Coin1!$A:$A,0),4)</f>
        <v>26.36</v>
      </c>
    </row>
    <row r="65" spans="1:4" x14ac:dyDescent="0.35">
      <c r="A65">
        <f t="shared" si="0"/>
        <v>1064</v>
      </c>
      <c r="B65">
        <f>2*$I$1-INDEX(Coin1!$A:$D,MATCH(VLOOKUP(Coin3!$A65,Correspondance!$D:$E,2,FALSE),Coin1!$A:$A,0),2)</f>
        <v>64.667051270189233</v>
      </c>
      <c r="C65">
        <f>INDEX(Coin1!$A:$D,MATCH(VLOOKUP(Coin3!$A65,Correspondance!$D:$E,2,FALSE),Coin1!$A:$A,0),3)</f>
        <v>0</v>
      </c>
      <c r="D65">
        <f>INDEX(Coin1!$A:$D,MATCH(VLOOKUP(Coin3!$A65,Correspondance!$D:$E,2,FALSE),Coin1!$A:$A,0),4)</f>
        <v>26.36</v>
      </c>
    </row>
    <row r="66" spans="1:4" x14ac:dyDescent="0.35">
      <c r="A66">
        <f t="shared" si="0"/>
        <v>1065</v>
      </c>
      <c r="B66">
        <f>2*$I$1-INDEX(Coin1!$A:$D,MATCH(VLOOKUP(Coin3!$A66,Correspondance!$D:$E,2,FALSE),Coin1!$A:$A,0),2)</f>
        <v>65.787051270189224</v>
      </c>
      <c r="C66">
        <f>INDEX(Coin1!$A:$D,MATCH(VLOOKUP(Coin3!$A66,Correspondance!$D:$E,2,FALSE),Coin1!$A:$A,0),3)</f>
        <v>0</v>
      </c>
      <c r="D66">
        <f>INDEX(Coin1!$A:$D,MATCH(VLOOKUP(Coin3!$A66,Correspondance!$D:$E,2,FALSE),Coin1!$A:$A,0),4)</f>
        <v>26.36</v>
      </c>
    </row>
    <row r="67" spans="1:4" x14ac:dyDescent="0.35">
      <c r="A67">
        <f t="shared" si="0"/>
        <v>1066</v>
      </c>
      <c r="B67">
        <f>2*$I$1-INDEX(Coin1!$A:$D,MATCH(VLOOKUP(Coin3!$A67,Correspondance!$D:$E,2,FALSE),Coin1!$A:$A,0),2)</f>
        <v>65.970375537343386</v>
      </c>
      <c r="C67">
        <f>INDEX(Coin1!$A:$D,MATCH(VLOOKUP(Coin3!$A67,Correspondance!$D:$E,2,FALSE),Coin1!$A:$A,0),3)</f>
        <v>0</v>
      </c>
      <c r="D67">
        <f>INDEX(Coin1!$A:$D,MATCH(VLOOKUP(Coin3!$A67,Correspondance!$D:$E,2,FALSE),Coin1!$A:$A,0),4)</f>
        <v>26.36</v>
      </c>
    </row>
    <row r="68" spans="1:4" x14ac:dyDescent="0.35">
      <c r="A68">
        <f t="shared" ref="A68:A131" si="1">A67+1</f>
        <v>1067</v>
      </c>
      <c r="B68">
        <f>2*$I$1-INDEX(Coin1!$A:$D,MATCH(VLOOKUP(Coin3!$A68,Correspondance!$D:$E,2,FALSE),Coin1!$A:$A,0),2)</f>
        <v>66.905000000000001</v>
      </c>
      <c r="C68">
        <f>INDEX(Coin1!$A:$D,MATCH(VLOOKUP(Coin3!$A68,Correspondance!$D:$E,2,FALSE),Coin1!$A:$A,0),3)</f>
        <v>0</v>
      </c>
      <c r="D68">
        <f>INDEX(Coin1!$A:$D,MATCH(VLOOKUP(Coin3!$A68,Correspondance!$D:$E,2,FALSE),Coin1!$A:$A,0),4)</f>
        <v>26.36</v>
      </c>
    </row>
    <row r="69" spans="1:4" x14ac:dyDescent="0.35">
      <c r="A69">
        <f t="shared" si="1"/>
        <v>1068</v>
      </c>
      <c r="B69">
        <f>2*$I$1-INDEX(Coin1!$A:$D,MATCH(VLOOKUP(Coin3!$A69,Correspondance!$D:$E,2,FALSE),Coin1!$A:$A,0),2)</f>
        <v>68.025000000000006</v>
      </c>
      <c r="C69">
        <f>INDEX(Coin1!$A:$D,MATCH(VLOOKUP(Coin3!$A69,Correspondance!$D:$E,2,FALSE),Coin1!$A:$A,0),3)</f>
        <v>0</v>
      </c>
      <c r="D69">
        <f>INDEX(Coin1!$A:$D,MATCH(VLOOKUP(Coin3!$A69,Correspondance!$D:$E,2,FALSE),Coin1!$A:$A,0),4)</f>
        <v>26.36</v>
      </c>
    </row>
    <row r="70" spans="1:4" x14ac:dyDescent="0.35">
      <c r="A70">
        <f t="shared" si="1"/>
        <v>1069</v>
      </c>
      <c r="B70">
        <f>2*$I$1-INDEX(Coin1!$A:$D,MATCH(VLOOKUP(Coin3!$A70,Correspondance!$D:$E,2,FALSE),Coin1!$A:$A,0),2)</f>
        <v>69.425000000000011</v>
      </c>
      <c r="C70">
        <f>INDEX(Coin1!$A:$D,MATCH(VLOOKUP(Coin3!$A70,Correspondance!$D:$E,2,FALSE),Coin1!$A:$A,0),3)</f>
        <v>0</v>
      </c>
      <c r="D70">
        <f>INDEX(Coin1!$A:$D,MATCH(VLOOKUP(Coin3!$A70,Correspondance!$D:$E,2,FALSE),Coin1!$A:$A,0),4)</f>
        <v>26.36</v>
      </c>
    </row>
    <row r="71" spans="1:4" x14ac:dyDescent="0.35">
      <c r="A71">
        <f t="shared" si="1"/>
        <v>1070</v>
      </c>
      <c r="B71">
        <f>2*$I$1-INDEX(Coin1!$A:$D,MATCH(VLOOKUP(Coin3!$A71,Correspondance!$D:$E,2,FALSE),Coin1!$A:$A,0),2)</f>
        <v>58.668873387969874</v>
      </c>
      <c r="C71">
        <f>INDEX(Coin1!$A:$D,MATCH(VLOOKUP(Coin3!$A71,Correspondance!$D:$E,2,FALSE),Coin1!$A:$A,0),3)</f>
        <v>1.9150000000000005</v>
      </c>
      <c r="D71">
        <f>INDEX(Coin1!$A:$D,MATCH(VLOOKUP(Coin3!$A71,Correspondance!$D:$E,2,FALSE),Coin1!$A:$A,0),4)</f>
        <v>26.36</v>
      </c>
    </row>
    <row r="72" spans="1:4" x14ac:dyDescent="0.35">
      <c r="A72">
        <f t="shared" si="1"/>
        <v>1071</v>
      </c>
      <c r="B72">
        <f>2*$I$1-INDEX(Coin1!$A:$D,MATCH(VLOOKUP(Coin3!$A72,Correspondance!$D:$E,2,FALSE),Coin1!$A:$A,0),2)</f>
        <v>61.222500000000004</v>
      </c>
      <c r="C72">
        <f>INDEX(Coin1!$A:$D,MATCH(VLOOKUP(Coin3!$A72,Correspondance!$D:$E,2,FALSE),Coin1!$A:$A,0),3)</f>
        <v>1.9150000000000005</v>
      </c>
      <c r="D72">
        <f>INDEX(Coin1!$A:$D,MATCH(VLOOKUP(Coin3!$A72,Correspondance!$D:$E,2,FALSE),Coin1!$A:$A,0),4)</f>
        <v>26.36</v>
      </c>
    </row>
    <row r="73" spans="1:4" x14ac:dyDescent="0.35">
      <c r="A73">
        <f t="shared" si="1"/>
        <v>1072</v>
      </c>
      <c r="B73">
        <f>2*$I$1-INDEX(Coin1!$A:$D,MATCH(VLOOKUP(Coin3!$A73,Correspondance!$D:$E,2,FALSE),Coin1!$A:$A,0),2)</f>
        <v>63.77612661203014</v>
      </c>
      <c r="C73">
        <f>INDEX(Coin1!$A:$D,MATCH(VLOOKUP(Coin3!$A73,Correspondance!$D:$E,2,FALSE),Coin1!$A:$A,0),3)</f>
        <v>1.9150000000000005</v>
      </c>
      <c r="D73">
        <f>INDEX(Coin1!$A:$D,MATCH(VLOOKUP(Coin3!$A73,Correspondance!$D:$E,2,FALSE),Coin1!$A:$A,0),4)</f>
        <v>26.36</v>
      </c>
    </row>
    <row r="74" spans="1:4" x14ac:dyDescent="0.35">
      <c r="A74">
        <f t="shared" si="1"/>
        <v>1073</v>
      </c>
      <c r="B74">
        <f>2*$I$1-INDEX(Coin1!$A:$D,MATCH(VLOOKUP(Coin3!$A74,Correspondance!$D:$E,2,FALSE),Coin1!$A:$A,0),2)</f>
        <v>61.222500000000004</v>
      </c>
      <c r="C74">
        <f>INDEX(Coin1!$A:$D,MATCH(VLOOKUP(Coin3!$A74,Correspondance!$D:$E,2,FALSE),Coin1!$A:$A,0),3)</f>
        <v>2.2300000000000004</v>
      </c>
      <c r="D74">
        <f>INDEX(Coin1!$A:$D,MATCH(VLOOKUP(Coin3!$A74,Correspondance!$D:$E,2,FALSE),Coin1!$A:$A,0),4)</f>
        <v>26.36</v>
      </c>
    </row>
    <row r="75" spans="1:4" x14ac:dyDescent="0.35">
      <c r="A75">
        <f t="shared" si="1"/>
        <v>1074</v>
      </c>
      <c r="B75">
        <f>2*$I$1-INDEX(Coin1!$A:$D,MATCH(VLOOKUP(Coin3!$A75,Correspondance!$D:$E,2,FALSE),Coin1!$A:$A,0),2)</f>
        <v>54.42</v>
      </c>
      <c r="C75">
        <f>INDEX(Coin1!$A:$D,MATCH(VLOOKUP(Coin3!$A75,Correspondance!$D:$E,2,FALSE),Coin1!$A:$A,0),3)</f>
        <v>2.0546244626566232</v>
      </c>
      <c r="D75">
        <f>INDEX(Coin1!$A:$D,MATCH(VLOOKUP(Coin3!$A75,Correspondance!$D:$E,2,FALSE),Coin1!$A:$A,0),4)</f>
        <v>26.36</v>
      </c>
    </row>
    <row r="76" spans="1:4" x14ac:dyDescent="0.35">
      <c r="A76">
        <f t="shared" si="1"/>
        <v>1075</v>
      </c>
      <c r="B76">
        <f>2*$I$1-INDEX(Coin1!$A:$D,MATCH(VLOOKUP(Coin3!$A76,Correspondance!$D:$E,2,FALSE),Coin1!$A:$A,0),2)</f>
        <v>68.025000000000006</v>
      </c>
      <c r="C76">
        <f>INDEX(Coin1!$A:$D,MATCH(VLOOKUP(Coin3!$A76,Correspondance!$D:$E,2,FALSE),Coin1!$A:$A,0),3)</f>
        <v>2.0546244626566232</v>
      </c>
      <c r="D76">
        <f>INDEX(Coin1!$A:$D,MATCH(VLOOKUP(Coin3!$A76,Correspondance!$D:$E,2,FALSE),Coin1!$A:$A,0),4)</f>
        <v>26.36</v>
      </c>
    </row>
    <row r="77" spans="1:4" x14ac:dyDescent="0.35">
      <c r="A77">
        <f t="shared" si="1"/>
        <v>1076</v>
      </c>
      <c r="B77">
        <f>2*$I$1-INDEX(Coin1!$A:$D,MATCH(VLOOKUP(Coin3!$A77,Correspondance!$D:$E,2,FALSE),Coin1!$A:$A,0),2)</f>
        <v>55.83550000000001</v>
      </c>
      <c r="C77">
        <f>INDEX(Coin1!$A:$D,MATCH(VLOOKUP(Coin3!$A77,Correspondance!$D:$E,2,FALSE),Coin1!$A:$A,0),3)</f>
        <v>2.6930000000000005</v>
      </c>
      <c r="D77">
        <f>INDEX(Coin1!$A:$D,MATCH(VLOOKUP(Coin3!$A77,Correspondance!$D:$E,2,FALSE),Coin1!$A:$A,0),4)</f>
        <v>26.36</v>
      </c>
    </row>
    <row r="78" spans="1:4" x14ac:dyDescent="0.35">
      <c r="A78">
        <f t="shared" si="1"/>
        <v>1077</v>
      </c>
      <c r="B78">
        <f>2*$I$1-INDEX(Coin1!$A:$D,MATCH(VLOOKUP(Coin3!$A78,Correspondance!$D:$E,2,FALSE),Coin1!$A:$A,0),2)</f>
        <v>66.609500000000011</v>
      </c>
      <c r="C78">
        <f>INDEX(Coin1!$A:$D,MATCH(VLOOKUP(Coin3!$A78,Correspondance!$D:$E,2,FALSE),Coin1!$A:$A,0),3)</f>
        <v>2.6930000000000005</v>
      </c>
      <c r="D78">
        <f>INDEX(Coin1!$A:$D,MATCH(VLOOKUP(Coin3!$A78,Correspondance!$D:$E,2,FALSE),Coin1!$A:$A,0),4)</f>
        <v>26.36</v>
      </c>
    </row>
    <row r="79" spans="1:4" x14ac:dyDescent="0.35">
      <c r="A79">
        <f t="shared" si="1"/>
        <v>1078</v>
      </c>
      <c r="B79">
        <f>2*$I$1-INDEX(Coin1!$A:$D,MATCH(VLOOKUP(Coin3!$A79,Correspondance!$D:$E,2,FALSE),Coin1!$A:$A,0),2)</f>
        <v>68.025000000000006</v>
      </c>
      <c r="C79">
        <f>INDEX(Coin1!$A:$D,MATCH(VLOOKUP(Coin3!$A79,Correspondance!$D:$E,2,FALSE),Coin1!$A:$A,0),3)</f>
        <v>2.6930000000000001</v>
      </c>
      <c r="D79">
        <f>INDEX(Coin1!$A:$D,MATCH(VLOOKUP(Coin3!$A79,Correspondance!$D:$E,2,FALSE),Coin1!$A:$A,0),4)</f>
        <v>26.36</v>
      </c>
    </row>
    <row r="80" spans="1:4" x14ac:dyDescent="0.35">
      <c r="A80">
        <f t="shared" si="1"/>
        <v>1079</v>
      </c>
      <c r="B80">
        <f>2*$I$1-INDEX(Coin1!$A:$D,MATCH(VLOOKUP(Coin3!$A80,Correspondance!$D:$E,2,FALSE),Coin1!$A:$A,0),2)</f>
        <v>69.425000000000011</v>
      </c>
      <c r="C80">
        <f>INDEX(Coin1!$A:$D,MATCH(VLOOKUP(Coin3!$A80,Correspondance!$D:$E,2,FALSE),Coin1!$A:$A,0),3)</f>
        <v>2.6930000000000001</v>
      </c>
      <c r="D80">
        <f>INDEX(Coin1!$A:$D,MATCH(VLOOKUP(Coin3!$A80,Correspondance!$D:$E,2,FALSE),Coin1!$A:$A,0),4)</f>
        <v>26.36</v>
      </c>
    </row>
    <row r="81" spans="1:4" x14ac:dyDescent="0.35">
      <c r="A81">
        <f t="shared" si="1"/>
        <v>1080</v>
      </c>
      <c r="B81">
        <f>2*$I$1-INDEX(Coin1!$A:$D,MATCH(VLOOKUP(Coin3!$A81,Correspondance!$D:$E,2,FALSE),Coin1!$A:$A,0),2)</f>
        <v>56.863500000000002</v>
      </c>
      <c r="C81">
        <f>INDEX(Coin1!$A:$D,MATCH(VLOOKUP(Coin3!$A81,Correspondance!$D:$E,2,FALSE),Coin1!$A:$A,0),3)</f>
        <v>3.7210000000000001</v>
      </c>
      <c r="D81">
        <f>INDEX(Coin1!$A:$D,MATCH(VLOOKUP(Coin3!$A81,Correspondance!$D:$E,2,FALSE),Coin1!$A:$A,0),4)</f>
        <v>26.36</v>
      </c>
    </row>
    <row r="82" spans="1:4" x14ac:dyDescent="0.35">
      <c r="A82">
        <f t="shared" si="1"/>
        <v>1081</v>
      </c>
      <c r="B82">
        <f>2*$I$1-INDEX(Coin1!$A:$D,MATCH(VLOOKUP(Coin3!$A82,Correspondance!$D:$E,2,FALSE),Coin1!$A:$A,0),2)</f>
        <v>65.581500000000005</v>
      </c>
      <c r="C82">
        <f>INDEX(Coin1!$A:$D,MATCH(VLOOKUP(Coin3!$A82,Correspondance!$D:$E,2,FALSE),Coin1!$A:$A,0),3)</f>
        <v>3.7210000000000001</v>
      </c>
      <c r="D82">
        <f>INDEX(Coin1!$A:$D,MATCH(VLOOKUP(Coin3!$A82,Correspondance!$D:$E,2,FALSE),Coin1!$A:$A,0),4)</f>
        <v>26.36</v>
      </c>
    </row>
    <row r="83" spans="1:4" x14ac:dyDescent="0.35">
      <c r="A83">
        <f t="shared" si="1"/>
        <v>1082</v>
      </c>
      <c r="B83">
        <f>2*$I$1-INDEX(Coin1!$A:$D,MATCH(VLOOKUP(Coin3!$A83,Correspondance!$D:$E,2,FALSE),Coin1!$A:$A,0),2)</f>
        <v>57.08550000000001</v>
      </c>
      <c r="C83">
        <f>INDEX(Coin1!$A:$D,MATCH(VLOOKUP(Coin3!$A83,Correspondance!$D:$E,2,FALSE),Coin1!$A:$A,0),3)</f>
        <v>3.9430000000000005</v>
      </c>
      <c r="D83">
        <f>INDEX(Coin1!$A:$D,MATCH(VLOOKUP(Coin3!$A83,Correspondance!$D:$E,2,FALSE),Coin1!$A:$A,0),4)</f>
        <v>26.36</v>
      </c>
    </row>
    <row r="84" spans="1:4" x14ac:dyDescent="0.35">
      <c r="A84">
        <f t="shared" si="1"/>
        <v>1083</v>
      </c>
      <c r="B84">
        <f>2*$I$1-INDEX(Coin1!$A:$D,MATCH(VLOOKUP(Coin3!$A84,Correspondance!$D:$E,2,FALSE),Coin1!$A:$A,0),2)</f>
        <v>65.359500000000011</v>
      </c>
      <c r="C84">
        <f>INDEX(Coin1!$A:$D,MATCH(VLOOKUP(Coin3!$A84,Correspondance!$D:$E,2,FALSE),Coin1!$A:$A,0),3)</f>
        <v>3.9430000000000005</v>
      </c>
      <c r="D84">
        <f>INDEX(Coin1!$A:$D,MATCH(VLOOKUP(Coin3!$A84,Correspondance!$D:$E,2,FALSE),Coin1!$A:$A,0),4)</f>
        <v>26.36</v>
      </c>
    </row>
    <row r="85" spans="1:4" x14ac:dyDescent="0.35">
      <c r="A85">
        <f t="shared" si="1"/>
        <v>1084</v>
      </c>
      <c r="B85">
        <f>2*$I$1-INDEX(Coin1!$A:$D,MATCH(VLOOKUP(Coin3!$A85,Correspondance!$D:$E,2,FALSE),Coin1!$A:$A,0),2)</f>
        <v>54.42</v>
      </c>
      <c r="C85">
        <f>INDEX(Coin1!$A:$D,MATCH(VLOOKUP(Coin3!$A85,Correspondance!$D:$E,2,FALSE),Coin1!$A:$A,0),3)</f>
        <v>4.1092489253132465</v>
      </c>
      <c r="D85">
        <f>INDEX(Coin1!$A:$D,MATCH(VLOOKUP(Coin3!$A85,Correspondance!$D:$E,2,FALSE),Coin1!$A:$A,0),4)</f>
        <v>26.36</v>
      </c>
    </row>
    <row r="86" spans="1:4" x14ac:dyDescent="0.35">
      <c r="A86">
        <f t="shared" si="1"/>
        <v>1085</v>
      </c>
      <c r="B86">
        <f>2*$I$1-INDEX(Coin1!$A:$D,MATCH(VLOOKUP(Coin3!$A86,Correspondance!$D:$E,2,FALSE),Coin1!$A:$A,0),2)</f>
        <v>68.025000000000006</v>
      </c>
      <c r="C86">
        <f>INDEX(Coin1!$A:$D,MATCH(VLOOKUP(Coin3!$A86,Correspondance!$D:$E,2,FALSE),Coin1!$A:$A,0),3)</f>
        <v>4.1092489253132465</v>
      </c>
      <c r="D86">
        <f>INDEX(Coin1!$A:$D,MATCH(VLOOKUP(Coin3!$A86,Correspondance!$D:$E,2,FALSE),Coin1!$A:$A,0),4)</f>
        <v>26.36</v>
      </c>
    </row>
    <row r="87" spans="1:4" x14ac:dyDescent="0.35">
      <c r="A87">
        <f t="shared" si="1"/>
        <v>1086</v>
      </c>
      <c r="B87">
        <f>2*$I$1-INDEX(Coin1!$A:$D,MATCH(VLOOKUP(Coin3!$A87,Correspondance!$D:$E,2,FALSE),Coin1!$A:$A,0),2)</f>
        <v>55.057500000000005</v>
      </c>
      <c r="C87">
        <f>INDEX(Coin1!$A:$D,MATCH(VLOOKUP(Coin3!$A87,Correspondance!$D:$E,2,FALSE),Coin1!$A:$A,0),3)</f>
        <v>5.5263733879698691</v>
      </c>
      <c r="D87">
        <f>INDEX(Coin1!$A:$D,MATCH(VLOOKUP(Coin3!$A87,Correspondance!$D:$E,2,FALSE),Coin1!$A:$A,0),4)</f>
        <v>26.36</v>
      </c>
    </row>
    <row r="88" spans="1:4" x14ac:dyDescent="0.35">
      <c r="A88">
        <f t="shared" si="1"/>
        <v>1087</v>
      </c>
      <c r="B88">
        <f>2*$I$1-INDEX(Coin1!$A:$D,MATCH(VLOOKUP(Coin3!$A88,Correspondance!$D:$E,2,FALSE),Coin1!$A:$A,0),2)</f>
        <v>67.387500000000003</v>
      </c>
      <c r="C88">
        <f>INDEX(Coin1!$A:$D,MATCH(VLOOKUP(Coin3!$A88,Correspondance!$D:$E,2,FALSE),Coin1!$A:$A,0),3)</f>
        <v>5.5263733879698691</v>
      </c>
      <c r="D88">
        <f>INDEX(Coin1!$A:$D,MATCH(VLOOKUP(Coin3!$A88,Correspondance!$D:$E,2,FALSE),Coin1!$A:$A,0),4)</f>
        <v>26.36</v>
      </c>
    </row>
    <row r="89" spans="1:4" x14ac:dyDescent="0.35">
      <c r="A89">
        <f t="shared" si="1"/>
        <v>1088</v>
      </c>
      <c r="B89">
        <f>2*$I$1-INDEX(Coin1!$A:$D,MATCH(VLOOKUP(Coin3!$A89,Correspondance!$D:$E,2,FALSE),Coin1!$A:$A,0),2)</f>
        <v>68.025000000000006</v>
      </c>
      <c r="C89">
        <f>INDEX(Coin1!$A:$D,MATCH(VLOOKUP(Coin3!$A89,Correspondance!$D:$E,2,FALSE),Coin1!$A:$A,0),3)</f>
        <v>5.3869999999999996</v>
      </c>
      <c r="D89">
        <f>INDEX(Coin1!$A:$D,MATCH(VLOOKUP(Coin3!$A89,Correspondance!$D:$E,2,FALSE),Coin1!$A:$A,0),4)</f>
        <v>26.36</v>
      </c>
    </row>
    <row r="90" spans="1:4" x14ac:dyDescent="0.35">
      <c r="A90">
        <f t="shared" si="1"/>
        <v>1089</v>
      </c>
      <c r="B90">
        <f>2*$I$1-INDEX(Coin1!$A:$D,MATCH(VLOOKUP(Coin3!$A90,Correspondance!$D:$E,2,FALSE),Coin1!$A:$A,0),2)</f>
        <v>69.425000000000011</v>
      </c>
      <c r="C90">
        <f>INDEX(Coin1!$A:$D,MATCH(VLOOKUP(Coin3!$A90,Correspondance!$D:$E,2,FALSE),Coin1!$A:$A,0),3)</f>
        <v>5.3869999999999996</v>
      </c>
      <c r="D90">
        <f>INDEX(Coin1!$A:$D,MATCH(VLOOKUP(Coin3!$A90,Correspondance!$D:$E,2,FALSE),Coin1!$A:$A,0),4)</f>
        <v>26.36</v>
      </c>
    </row>
    <row r="91" spans="1:4" x14ac:dyDescent="0.35">
      <c r="A91">
        <f t="shared" si="1"/>
        <v>1090</v>
      </c>
      <c r="B91">
        <f>2*$I$1-INDEX(Coin1!$A:$D,MATCH(VLOOKUP(Coin3!$A91,Correspondance!$D:$E,2,FALSE),Coin1!$A:$A,0),2)</f>
        <v>54.42</v>
      </c>
      <c r="C91">
        <f>INDEX(Coin1!$A:$D,MATCH(VLOOKUP(Coin3!$A91,Correspondance!$D:$E,2,FALSE),Coin1!$A:$A,0),3)</f>
        <v>6.1638733879698702</v>
      </c>
      <c r="D91">
        <f>INDEX(Coin1!$A:$D,MATCH(VLOOKUP(Coin3!$A91,Correspondance!$D:$E,2,FALSE),Coin1!$A:$A,0),4)</f>
        <v>26.36</v>
      </c>
    </row>
    <row r="92" spans="1:4" x14ac:dyDescent="0.35">
      <c r="A92">
        <f t="shared" si="1"/>
        <v>1091</v>
      </c>
      <c r="B92">
        <f>2*$I$1-INDEX(Coin1!$A:$D,MATCH(VLOOKUP(Coin3!$A92,Correspondance!$D:$E,2,FALSE),Coin1!$A:$A,0),2)</f>
        <v>68.025000000000006</v>
      </c>
      <c r="C92">
        <f>INDEX(Coin1!$A:$D,MATCH(VLOOKUP(Coin3!$A92,Correspondance!$D:$E,2,FALSE),Coin1!$A:$A,0),3)</f>
        <v>6.1638733879698702</v>
      </c>
      <c r="D92">
        <f>INDEX(Coin1!$A:$D,MATCH(VLOOKUP(Coin3!$A92,Correspondance!$D:$E,2,FALSE),Coin1!$A:$A,0),4)</f>
        <v>26.36</v>
      </c>
    </row>
    <row r="93" spans="1:4" x14ac:dyDescent="0.35">
      <c r="A93">
        <f t="shared" si="1"/>
        <v>1092</v>
      </c>
      <c r="B93">
        <f>2*$I$1-INDEX(Coin1!$A:$D,MATCH(VLOOKUP(Coin3!$A93,Correspondance!$D:$E,2,FALSE),Coin1!$A:$A,0),2)</f>
        <v>54.42</v>
      </c>
      <c r="C93">
        <f>INDEX(Coin1!$A:$D,MATCH(VLOOKUP(Coin3!$A93,Correspondance!$D:$E,2,FALSE),Coin1!$A:$A,0),3)</f>
        <v>8.08</v>
      </c>
      <c r="D93">
        <f>INDEX(Coin1!$A:$D,MATCH(VLOOKUP(Coin3!$A93,Correspondance!$D:$E,2,FALSE),Coin1!$A:$A,0),4)</f>
        <v>26.36</v>
      </c>
    </row>
    <row r="94" spans="1:4" x14ac:dyDescent="0.35">
      <c r="A94">
        <f t="shared" si="1"/>
        <v>1093</v>
      </c>
      <c r="B94">
        <f>2*$I$1-INDEX(Coin1!$A:$D,MATCH(VLOOKUP(Coin3!$A94,Correspondance!$D:$E,2,FALSE),Coin1!$A:$A,0),2)</f>
        <v>55.057500000000005</v>
      </c>
      <c r="C94">
        <f>INDEX(Coin1!$A:$D,MATCH(VLOOKUP(Coin3!$A94,Correspondance!$D:$E,2,FALSE),Coin1!$A:$A,0),3)</f>
        <v>8.08</v>
      </c>
      <c r="D94">
        <f>INDEX(Coin1!$A:$D,MATCH(VLOOKUP(Coin3!$A94,Correspondance!$D:$E,2,FALSE),Coin1!$A:$A,0),4)</f>
        <v>26.36</v>
      </c>
    </row>
    <row r="95" spans="1:4" x14ac:dyDescent="0.35">
      <c r="A95">
        <f t="shared" si="1"/>
        <v>1094</v>
      </c>
      <c r="B95">
        <f>2*$I$1-INDEX(Coin1!$A:$D,MATCH(VLOOKUP(Coin3!$A95,Correspondance!$D:$E,2,FALSE),Coin1!$A:$A,0),2)</f>
        <v>55.372500000000002</v>
      </c>
      <c r="C95">
        <f>INDEX(Coin1!$A:$D,MATCH(VLOOKUP(Coin3!$A95,Correspondance!$D:$E,2,FALSE),Coin1!$A:$A,0),3)</f>
        <v>8.08</v>
      </c>
      <c r="D95">
        <f>INDEX(Coin1!$A:$D,MATCH(VLOOKUP(Coin3!$A95,Correspondance!$D:$E,2,FALSE),Coin1!$A:$A,0),4)</f>
        <v>26.36</v>
      </c>
    </row>
    <row r="96" spans="1:4" x14ac:dyDescent="0.35">
      <c r="A96">
        <f t="shared" si="1"/>
        <v>1095</v>
      </c>
      <c r="B96">
        <f>2*$I$1-INDEX(Coin1!$A:$D,MATCH(VLOOKUP(Coin3!$A96,Correspondance!$D:$E,2,FALSE),Coin1!$A:$A,0),2)</f>
        <v>67.072500000000005</v>
      </c>
      <c r="C96">
        <f>INDEX(Coin1!$A:$D,MATCH(VLOOKUP(Coin3!$A96,Correspondance!$D:$E,2,FALSE),Coin1!$A:$A,0),3)</f>
        <v>8.08</v>
      </c>
      <c r="D96">
        <f>INDEX(Coin1!$A:$D,MATCH(VLOOKUP(Coin3!$A96,Correspondance!$D:$E,2,FALSE),Coin1!$A:$A,0),4)</f>
        <v>26.36</v>
      </c>
    </row>
    <row r="97" spans="1:4" x14ac:dyDescent="0.35">
      <c r="A97">
        <f t="shared" si="1"/>
        <v>1096</v>
      </c>
      <c r="B97">
        <f>2*$I$1-INDEX(Coin1!$A:$D,MATCH(VLOOKUP(Coin3!$A97,Correspondance!$D:$E,2,FALSE),Coin1!$A:$A,0),2)</f>
        <v>67.387500000000003</v>
      </c>
      <c r="C97">
        <f>INDEX(Coin1!$A:$D,MATCH(VLOOKUP(Coin3!$A97,Correspondance!$D:$E,2,FALSE),Coin1!$A:$A,0),3)</f>
        <v>8.08</v>
      </c>
      <c r="D97">
        <f>INDEX(Coin1!$A:$D,MATCH(VLOOKUP(Coin3!$A97,Correspondance!$D:$E,2,FALSE),Coin1!$A:$A,0),4)</f>
        <v>26.36</v>
      </c>
    </row>
    <row r="98" spans="1:4" x14ac:dyDescent="0.35">
      <c r="A98">
        <f t="shared" si="1"/>
        <v>1097</v>
      </c>
      <c r="B98">
        <f>2*$I$1-INDEX(Coin1!$A:$D,MATCH(VLOOKUP(Coin3!$A98,Correspondance!$D:$E,2,FALSE),Coin1!$A:$A,0),2)</f>
        <v>68.025000000000006</v>
      </c>
      <c r="C98">
        <f>INDEX(Coin1!$A:$D,MATCH(VLOOKUP(Coin3!$A98,Correspondance!$D:$E,2,FALSE),Coin1!$A:$A,0),3)</f>
        <v>8.08</v>
      </c>
      <c r="D98">
        <f>INDEX(Coin1!$A:$D,MATCH(VLOOKUP(Coin3!$A98,Correspondance!$D:$E,2,FALSE),Coin1!$A:$A,0),4)</f>
        <v>26.36</v>
      </c>
    </row>
    <row r="99" spans="1:4" x14ac:dyDescent="0.35">
      <c r="A99">
        <f t="shared" si="1"/>
        <v>1098</v>
      </c>
      <c r="B99">
        <f>2*$I$1-INDEX(Coin1!$A:$D,MATCH(VLOOKUP(Coin3!$A99,Correspondance!$D:$E,2,FALSE),Coin1!$A:$A,0),2)</f>
        <v>69.425000000000011</v>
      </c>
      <c r="C99">
        <f>INDEX(Coin1!$A:$D,MATCH(VLOOKUP(Coin3!$A99,Correspondance!$D:$E,2,FALSE),Coin1!$A:$A,0),3)</f>
        <v>8.08</v>
      </c>
      <c r="D99">
        <f>INDEX(Coin1!$A:$D,MATCH(VLOOKUP(Coin3!$A99,Correspondance!$D:$E,2,FALSE),Coin1!$A:$A,0),4)</f>
        <v>26.36</v>
      </c>
    </row>
    <row r="100" spans="1:4" x14ac:dyDescent="0.35">
      <c r="A100">
        <f t="shared" si="1"/>
        <v>1099</v>
      </c>
      <c r="B100">
        <f>2*$I$1-INDEX(Coin1!$A:$D,MATCH(VLOOKUP(Coin3!$A100,Correspondance!$D:$E,2,FALSE),Coin1!$A:$A,0),2)</f>
        <v>54.42</v>
      </c>
      <c r="C100">
        <f>INDEX(Coin1!$A:$D,MATCH(VLOOKUP(Coin3!$A100,Correspondance!$D:$E,2,FALSE),Coin1!$A:$A,0),3)</f>
        <v>9.9961266120301318</v>
      </c>
      <c r="D100">
        <f>INDEX(Coin1!$A:$D,MATCH(VLOOKUP(Coin3!$A100,Correspondance!$D:$E,2,FALSE),Coin1!$A:$A,0),4)</f>
        <v>26.36</v>
      </c>
    </row>
    <row r="101" spans="1:4" x14ac:dyDescent="0.35">
      <c r="A101">
        <f t="shared" si="1"/>
        <v>1100</v>
      </c>
      <c r="B101">
        <f>2*$I$1-INDEX(Coin1!$A:$D,MATCH(VLOOKUP(Coin3!$A101,Correspondance!$D:$E,2,FALSE),Coin1!$A:$A,0),2)</f>
        <v>68.025000000000006</v>
      </c>
      <c r="C101">
        <f>INDEX(Coin1!$A:$D,MATCH(VLOOKUP(Coin3!$A101,Correspondance!$D:$E,2,FALSE),Coin1!$A:$A,0),3)</f>
        <v>9.9961266120301318</v>
      </c>
      <c r="D101">
        <f>INDEX(Coin1!$A:$D,MATCH(VLOOKUP(Coin3!$A101,Correspondance!$D:$E,2,FALSE),Coin1!$A:$A,0),4)</f>
        <v>26.36</v>
      </c>
    </row>
    <row r="102" spans="1:4" x14ac:dyDescent="0.35">
      <c r="A102">
        <f t="shared" si="1"/>
        <v>1101</v>
      </c>
      <c r="B102">
        <f>2*$I$1-INDEX(Coin1!$A:$D,MATCH(VLOOKUP(Coin3!$A102,Correspondance!$D:$E,2,FALSE),Coin1!$A:$A,0),2)</f>
        <v>68.025000000000006</v>
      </c>
      <c r="C102">
        <f>INDEX(Coin1!$A:$D,MATCH(VLOOKUP(Coin3!$A102,Correspondance!$D:$E,2,FALSE),Coin1!$A:$A,0),3)</f>
        <v>10.773</v>
      </c>
      <c r="D102">
        <f>INDEX(Coin1!$A:$D,MATCH(VLOOKUP(Coin3!$A102,Correspondance!$D:$E,2,FALSE),Coin1!$A:$A,0),4)</f>
        <v>26.36</v>
      </c>
    </row>
    <row r="103" spans="1:4" x14ac:dyDescent="0.35">
      <c r="A103">
        <f t="shared" si="1"/>
        <v>1102</v>
      </c>
      <c r="B103">
        <f>2*$I$1-INDEX(Coin1!$A:$D,MATCH(VLOOKUP(Coin3!$A103,Correspondance!$D:$E,2,FALSE),Coin1!$A:$A,0),2)</f>
        <v>69.425000000000011</v>
      </c>
      <c r="C103">
        <f>INDEX(Coin1!$A:$D,MATCH(VLOOKUP(Coin3!$A103,Correspondance!$D:$E,2,FALSE),Coin1!$A:$A,0),3)</f>
        <v>10.773</v>
      </c>
      <c r="D103">
        <f>INDEX(Coin1!$A:$D,MATCH(VLOOKUP(Coin3!$A103,Correspondance!$D:$E,2,FALSE),Coin1!$A:$A,0),4)</f>
        <v>26.36</v>
      </c>
    </row>
    <row r="104" spans="1:4" x14ac:dyDescent="0.35">
      <c r="A104">
        <f t="shared" si="1"/>
        <v>1103</v>
      </c>
      <c r="B104">
        <f>2*$I$1-INDEX(Coin1!$A:$D,MATCH(VLOOKUP(Coin3!$A104,Correspondance!$D:$E,2,FALSE),Coin1!$A:$A,0),2)</f>
        <v>55.057500000000005</v>
      </c>
      <c r="C104">
        <f>INDEX(Coin1!$A:$D,MATCH(VLOOKUP(Coin3!$A104,Correspondance!$D:$E,2,FALSE),Coin1!$A:$A,0),3)</f>
        <v>10.633626612030131</v>
      </c>
      <c r="D104">
        <f>INDEX(Coin1!$A:$D,MATCH(VLOOKUP(Coin3!$A104,Correspondance!$D:$E,2,FALSE),Coin1!$A:$A,0),4)</f>
        <v>26.36</v>
      </c>
    </row>
    <row r="105" spans="1:4" x14ac:dyDescent="0.35">
      <c r="A105">
        <f t="shared" si="1"/>
        <v>1104</v>
      </c>
      <c r="B105">
        <f>2*$I$1-INDEX(Coin1!$A:$D,MATCH(VLOOKUP(Coin3!$A105,Correspondance!$D:$E,2,FALSE),Coin1!$A:$A,0),2)</f>
        <v>67.387500000000003</v>
      </c>
      <c r="C105">
        <f>INDEX(Coin1!$A:$D,MATCH(VLOOKUP(Coin3!$A105,Correspondance!$D:$E,2,FALSE),Coin1!$A:$A,0),3)</f>
        <v>10.633626612030131</v>
      </c>
      <c r="D105">
        <f>INDEX(Coin1!$A:$D,MATCH(VLOOKUP(Coin3!$A105,Correspondance!$D:$E,2,FALSE),Coin1!$A:$A,0),4)</f>
        <v>26.36</v>
      </c>
    </row>
    <row r="106" spans="1:4" x14ac:dyDescent="0.35">
      <c r="A106">
        <f t="shared" si="1"/>
        <v>1105</v>
      </c>
      <c r="B106">
        <f>2*$I$1-INDEX(Coin1!$A:$D,MATCH(VLOOKUP(Coin3!$A106,Correspondance!$D:$E,2,FALSE),Coin1!$A:$A,0),2)</f>
        <v>54.42</v>
      </c>
      <c r="C106">
        <f>INDEX(Coin1!$A:$D,MATCH(VLOOKUP(Coin3!$A106,Correspondance!$D:$E,2,FALSE),Coin1!$A:$A,0),3)</f>
        <v>12.050751074686755</v>
      </c>
      <c r="D106">
        <f>INDEX(Coin1!$A:$D,MATCH(VLOOKUP(Coin3!$A106,Correspondance!$D:$E,2,FALSE),Coin1!$A:$A,0),4)</f>
        <v>26.36</v>
      </c>
    </row>
    <row r="107" spans="1:4" x14ac:dyDescent="0.35">
      <c r="A107">
        <f t="shared" si="1"/>
        <v>1106</v>
      </c>
      <c r="B107">
        <f>2*$I$1-INDEX(Coin1!$A:$D,MATCH(VLOOKUP(Coin3!$A107,Correspondance!$D:$E,2,FALSE),Coin1!$A:$A,0),2)</f>
        <v>68.025000000000006</v>
      </c>
      <c r="C107">
        <f>INDEX(Coin1!$A:$D,MATCH(VLOOKUP(Coin3!$A107,Correspondance!$D:$E,2,FALSE),Coin1!$A:$A,0),3)</f>
        <v>12.050751074686755</v>
      </c>
      <c r="D107">
        <f>INDEX(Coin1!$A:$D,MATCH(VLOOKUP(Coin3!$A107,Correspondance!$D:$E,2,FALSE),Coin1!$A:$A,0),4)</f>
        <v>26.36</v>
      </c>
    </row>
    <row r="108" spans="1:4" x14ac:dyDescent="0.35">
      <c r="A108">
        <f t="shared" si="1"/>
        <v>1107</v>
      </c>
      <c r="B108">
        <f>2*$I$1-INDEX(Coin1!$A:$D,MATCH(VLOOKUP(Coin3!$A108,Correspondance!$D:$E,2,FALSE),Coin1!$A:$A,0),2)</f>
        <v>57.08550000000001</v>
      </c>
      <c r="C108">
        <f>INDEX(Coin1!$A:$D,MATCH(VLOOKUP(Coin3!$A108,Correspondance!$D:$E,2,FALSE),Coin1!$A:$A,0),3)</f>
        <v>12.216999999999999</v>
      </c>
      <c r="D108">
        <f>INDEX(Coin1!$A:$D,MATCH(VLOOKUP(Coin3!$A108,Correspondance!$D:$E,2,FALSE),Coin1!$A:$A,0),4)</f>
        <v>26.36</v>
      </c>
    </row>
    <row r="109" spans="1:4" x14ac:dyDescent="0.35">
      <c r="A109">
        <f t="shared" si="1"/>
        <v>1108</v>
      </c>
      <c r="B109">
        <f>2*$I$1-INDEX(Coin1!$A:$D,MATCH(VLOOKUP(Coin3!$A109,Correspondance!$D:$E,2,FALSE),Coin1!$A:$A,0),2)</f>
        <v>65.359500000000011</v>
      </c>
      <c r="C109">
        <f>INDEX(Coin1!$A:$D,MATCH(VLOOKUP(Coin3!$A109,Correspondance!$D:$E,2,FALSE),Coin1!$A:$A,0),3)</f>
        <v>12.216999999999999</v>
      </c>
      <c r="D109">
        <f>INDEX(Coin1!$A:$D,MATCH(VLOOKUP(Coin3!$A109,Correspondance!$D:$E,2,FALSE),Coin1!$A:$A,0),4)</f>
        <v>26.36</v>
      </c>
    </row>
    <row r="110" spans="1:4" x14ac:dyDescent="0.35">
      <c r="A110">
        <f t="shared" si="1"/>
        <v>1109</v>
      </c>
      <c r="B110">
        <f>2*$I$1-INDEX(Coin1!$A:$D,MATCH(VLOOKUP(Coin3!$A110,Correspondance!$D:$E,2,FALSE),Coin1!$A:$A,0),2)</f>
        <v>56.863500000000002</v>
      </c>
      <c r="C110">
        <f>INDEX(Coin1!$A:$D,MATCH(VLOOKUP(Coin3!$A110,Correspondance!$D:$E,2,FALSE),Coin1!$A:$A,0),3)</f>
        <v>12.439</v>
      </c>
      <c r="D110">
        <f>INDEX(Coin1!$A:$D,MATCH(VLOOKUP(Coin3!$A110,Correspondance!$D:$E,2,FALSE),Coin1!$A:$A,0),4)</f>
        <v>26.36</v>
      </c>
    </row>
    <row r="111" spans="1:4" x14ac:dyDescent="0.35">
      <c r="A111">
        <f t="shared" si="1"/>
        <v>1110</v>
      </c>
      <c r="B111">
        <f>2*$I$1-INDEX(Coin1!$A:$D,MATCH(VLOOKUP(Coin3!$A111,Correspondance!$D:$E,2,FALSE),Coin1!$A:$A,0),2)</f>
        <v>65.581500000000005</v>
      </c>
      <c r="C111">
        <f>INDEX(Coin1!$A:$D,MATCH(VLOOKUP(Coin3!$A111,Correspondance!$D:$E,2,FALSE),Coin1!$A:$A,0),3)</f>
        <v>12.439</v>
      </c>
      <c r="D111">
        <f>INDEX(Coin1!$A:$D,MATCH(VLOOKUP(Coin3!$A111,Correspondance!$D:$E,2,FALSE),Coin1!$A:$A,0),4)</f>
        <v>26.36</v>
      </c>
    </row>
    <row r="112" spans="1:4" x14ac:dyDescent="0.35">
      <c r="A112">
        <f t="shared" si="1"/>
        <v>1111</v>
      </c>
      <c r="B112">
        <f>2*$I$1-INDEX(Coin1!$A:$D,MATCH(VLOOKUP(Coin3!$A112,Correspondance!$D:$E,2,FALSE),Coin1!$A:$A,0),2)</f>
        <v>68.025000000000006</v>
      </c>
      <c r="C112">
        <f>INDEX(Coin1!$A:$D,MATCH(VLOOKUP(Coin3!$A112,Correspondance!$D:$E,2,FALSE),Coin1!$A:$A,0),3)</f>
        <v>13.467000000000001</v>
      </c>
      <c r="D112">
        <f>INDEX(Coin1!$A:$D,MATCH(VLOOKUP(Coin3!$A112,Correspondance!$D:$E,2,FALSE),Coin1!$A:$A,0),4)</f>
        <v>26.36</v>
      </c>
    </row>
    <row r="113" spans="1:4" x14ac:dyDescent="0.35">
      <c r="A113">
        <f t="shared" si="1"/>
        <v>1112</v>
      </c>
      <c r="B113">
        <f>2*$I$1-INDEX(Coin1!$A:$D,MATCH(VLOOKUP(Coin3!$A113,Correspondance!$D:$E,2,FALSE),Coin1!$A:$A,0),2)</f>
        <v>69.425000000000011</v>
      </c>
      <c r="C113">
        <f>INDEX(Coin1!$A:$D,MATCH(VLOOKUP(Coin3!$A113,Correspondance!$D:$E,2,FALSE),Coin1!$A:$A,0),3)</f>
        <v>13.467000000000001</v>
      </c>
      <c r="D113">
        <f>INDEX(Coin1!$A:$D,MATCH(VLOOKUP(Coin3!$A113,Correspondance!$D:$E,2,FALSE),Coin1!$A:$A,0),4)</f>
        <v>26.36</v>
      </c>
    </row>
    <row r="114" spans="1:4" x14ac:dyDescent="0.35">
      <c r="A114">
        <f t="shared" si="1"/>
        <v>1113</v>
      </c>
      <c r="B114">
        <f>2*$I$1-INDEX(Coin1!$A:$D,MATCH(VLOOKUP(Coin3!$A114,Correspondance!$D:$E,2,FALSE),Coin1!$A:$A,0),2)</f>
        <v>55.83550000000001</v>
      </c>
      <c r="C114">
        <f>INDEX(Coin1!$A:$D,MATCH(VLOOKUP(Coin3!$A114,Correspondance!$D:$E,2,FALSE),Coin1!$A:$A,0),3)</f>
        <v>13.466999999999999</v>
      </c>
      <c r="D114">
        <f>INDEX(Coin1!$A:$D,MATCH(VLOOKUP(Coin3!$A114,Correspondance!$D:$E,2,FALSE),Coin1!$A:$A,0),4)</f>
        <v>26.36</v>
      </c>
    </row>
    <row r="115" spans="1:4" x14ac:dyDescent="0.35">
      <c r="A115">
        <f t="shared" si="1"/>
        <v>1114</v>
      </c>
      <c r="B115">
        <f>2*$I$1-INDEX(Coin1!$A:$D,MATCH(VLOOKUP(Coin3!$A115,Correspondance!$D:$E,2,FALSE),Coin1!$A:$A,0),2)</f>
        <v>66.609500000000011</v>
      </c>
      <c r="C115">
        <f>INDEX(Coin1!$A:$D,MATCH(VLOOKUP(Coin3!$A115,Correspondance!$D:$E,2,FALSE),Coin1!$A:$A,0),3)</f>
        <v>13.466999999999999</v>
      </c>
      <c r="D115">
        <f>INDEX(Coin1!$A:$D,MATCH(VLOOKUP(Coin3!$A115,Correspondance!$D:$E,2,FALSE),Coin1!$A:$A,0),4)</f>
        <v>26.36</v>
      </c>
    </row>
    <row r="116" spans="1:4" x14ac:dyDescent="0.35">
      <c r="A116">
        <f t="shared" si="1"/>
        <v>1115</v>
      </c>
      <c r="B116">
        <f>2*$I$1-INDEX(Coin1!$A:$D,MATCH(VLOOKUP(Coin3!$A116,Correspondance!$D:$E,2,FALSE),Coin1!$A:$A,0),2)</f>
        <v>54.42</v>
      </c>
      <c r="C116">
        <f>INDEX(Coin1!$A:$D,MATCH(VLOOKUP(Coin3!$A116,Correspondance!$D:$E,2,FALSE),Coin1!$A:$A,0),3)</f>
        <v>14.105375537343377</v>
      </c>
      <c r="D116">
        <f>INDEX(Coin1!$A:$D,MATCH(VLOOKUP(Coin3!$A116,Correspondance!$D:$E,2,FALSE),Coin1!$A:$A,0),4)</f>
        <v>26.36</v>
      </c>
    </row>
    <row r="117" spans="1:4" x14ac:dyDescent="0.35">
      <c r="A117">
        <f t="shared" si="1"/>
        <v>1116</v>
      </c>
      <c r="B117">
        <f>2*$I$1-INDEX(Coin1!$A:$D,MATCH(VLOOKUP(Coin3!$A117,Correspondance!$D:$E,2,FALSE),Coin1!$A:$A,0),2)</f>
        <v>68.025000000000006</v>
      </c>
      <c r="C117">
        <f>INDEX(Coin1!$A:$D,MATCH(VLOOKUP(Coin3!$A117,Correspondance!$D:$E,2,FALSE),Coin1!$A:$A,0),3)</f>
        <v>14.105375537343377</v>
      </c>
      <c r="D117">
        <f>INDEX(Coin1!$A:$D,MATCH(VLOOKUP(Coin3!$A117,Correspondance!$D:$E,2,FALSE),Coin1!$A:$A,0),4)</f>
        <v>26.36</v>
      </c>
    </row>
    <row r="118" spans="1:4" x14ac:dyDescent="0.35">
      <c r="A118">
        <f t="shared" si="1"/>
        <v>1117</v>
      </c>
      <c r="B118">
        <f>2*$I$1-INDEX(Coin1!$A:$D,MATCH(VLOOKUP(Coin3!$A118,Correspondance!$D:$E,2,FALSE),Coin1!$A:$A,0),2)</f>
        <v>61.222500000000004</v>
      </c>
      <c r="C118">
        <f>INDEX(Coin1!$A:$D,MATCH(VLOOKUP(Coin3!$A118,Correspondance!$D:$E,2,FALSE),Coin1!$A:$A,0),3)</f>
        <v>13.93</v>
      </c>
      <c r="D118">
        <f>INDEX(Coin1!$A:$D,MATCH(VLOOKUP(Coin3!$A118,Correspondance!$D:$E,2,FALSE),Coin1!$A:$A,0),4)</f>
        <v>26.36</v>
      </c>
    </row>
    <row r="119" spans="1:4" x14ac:dyDescent="0.35">
      <c r="A119">
        <f t="shared" si="1"/>
        <v>1118</v>
      </c>
      <c r="B119">
        <f>2*$I$1-INDEX(Coin1!$A:$D,MATCH(VLOOKUP(Coin3!$A119,Correspondance!$D:$E,2,FALSE),Coin1!$A:$A,0),2)</f>
        <v>58.668873387969874</v>
      </c>
      <c r="C119">
        <f>INDEX(Coin1!$A:$D,MATCH(VLOOKUP(Coin3!$A119,Correspondance!$D:$E,2,FALSE),Coin1!$A:$A,0),3)</f>
        <v>14.244999999999999</v>
      </c>
      <c r="D119">
        <f>INDEX(Coin1!$A:$D,MATCH(VLOOKUP(Coin3!$A119,Correspondance!$D:$E,2,FALSE),Coin1!$A:$A,0),4)</f>
        <v>26.36</v>
      </c>
    </row>
    <row r="120" spans="1:4" x14ac:dyDescent="0.35">
      <c r="A120">
        <f t="shared" si="1"/>
        <v>1119</v>
      </c>
      <c r="B120">
        <f>2*$I$1-INDEX(Coin1!$A:$D,MATCH(VLOOKUP(Coin3!$A120,Correspondance!$D:$E,2,FALSE),Coin1!$A:$A,0),2)</f>
        <v>61.222500000000004</v>
      </c>
      <c r="C120">
        <f>INDEX(Coin1!$A:$D,MATCH(VLOOKUP(Coin3!$A120,Correspondance!$D:$E,2,FALSE),Coin1!$A:$A,0),3)</f>
        <v>14.244999999999999</v>
      </c>
      <c r="D120">
        <f>INDEX(Coin1!$A:$D,MATCH(VLOOKUP(Coin3!$A120,Correspondance!$D:$E,2,FALSE),Coin1!$A:$A,0),4)</f>
        <v>26.36</v>
      </c>
    </row>
    <row r="121" spans="1:4" x14ac:dyDescent="0.35">
      <c r="A121">
        <f t="shared" si="1"/>
        <v>1120</v>
      </c>
      <c r="B121">
        <f>2*$I$1-INDEX(Coin1!$A:$D,MATCH(VLOOKUP(Coin3!$A121,Correspondance!$D:$E,2,FALSE),Coin1!$A:$A,0),2)</f>
        <v>63.77612661203014</v>
      </c>
      <c r="C121">
        <f>INDEX(Coin1!$A:$D,MATCH(VLOOKUP(Coin3!$A121,Correspondance!$D:$E,2,FALSE),Coin1!$A:$A,0),3)</f>
        <v>14.244999999999999</v>
      </c>
      <c r="D121">
        <f>INDEX(Coin1!$A:$D,MATCH(VLOOKUP(Coin3!$A121,Correspondance!$D:$E,2,FALSE),Coin1!$A:$A,0),4)</f>
        <v>26.36</v>
      </c>
    </row>
    <row r="122" spans="1:4" x14ac:dyDescent="0.35">
      <c r="A122">
        <f t="shared" si="1"/>
        <v>1121</v>
      </c>
      <c r="B122">
        <f>2*$I$1-INDEX(Coin1!$A:$D,MATCH(VLOOKUP(Coin3!$A122,Correspondance!$D:$E,2,FALSE),Coin1!$A:$A,0),2)</f>
        <v>54.42</v>
      </c>
      <c r="C122">
        <f>INDEX(Coin1!$A:$D,MATCH(VLOOKUP(Coin3!$A122,Correspondance!$D:$E,2,FALSE),Coin1!$A:$A,0),3)</f>
        <v>16.16</v>
      </c>
      <c r="D122">
        <f>INDEX(Coin1!$A:$D,MATCH(VLOOKUP(Coin3!$A122,Correspondance!$D:$E,2,FALSE),Coin1!$A:$A,0),4)</f>
        <v>26.36</v>
      </c>
    </row>
    <row r="123" spans="1:4" x14ac:dyDescent="0.35">
      <c r="A123">
        <f t="shared" si="1"/>
        <v>1122</v>
      </c>
      <c r="B123">
        <f>2*$I$1-INDEX(Coin1!$A:$D,MATCH(VLOOKUP(Coin3!$A123,Correspondance!$D:$E,2,FALSE),Coin1!$A:$A,0),2)</f>
        <v>56.474624462656628</v>
      </c>
      <c r="C123">
        <f>INDEX(Coin1!$A:$D,MATCH(VLOOKUP(Coin3!$A123,Correspondance!$D:$E,2,FALSE),Coin1!$A:$A,0),3)</f>
        <v>16.16</v>
      </c>
      <c r="D123">
        <f>INDEX(Coin1!$A:$D,MATCH(VLOOKUP(Coin3!$A123,Correspondance!$D:$E,2,FALSE),Coin1!$A:$A,0),4)</f>
        <v>26.36</v>
      </c>
    </row>
    <row r="124" spans="1:4" x14ac:dyDescent="0.35">
      <c r="A124">
        <f t="shared" si="1"/>
        <v>1123</v>
      </c>
      <c r="B124">
        <f>2*$I$1-INDEX(Coin1!$A:$D,MATCH(VLOOKUP(Coin3!$A124,Correspondance!$D:$E,2,FALSE),Coin1!$A:$A,0),2)</f>
        <v>58.529248925313254</v>
      </c>
      <c r="C124">
        <f>INDEX(Coin1!$A:$D,MATCH(VLOOKUP(Coin3!$A124,Correspondance!$D:$E,2,FALSE),Coin1!$A:$A,0),3)</f>
        <v>16.16</v>
      </c>
      <c r="D124">
        <f>INDEX(Coin1!$A:$D,MATCH(VLOOKUP(Coin3!$A124,Correspondance!$D:$E,2,FALSE),Coin1!$A:$A,0),4)</f>
        <v>26.36</v>
      </c>
    </row>
    <row r="125" spans="1:4" x14ac:dyDescent="0.35">
      <c r="A125">
        <f t="shared" si="1"/>
        <v>1124</v>
      </c>
      <c r="B125">
        <f>2*$I$1-INDEX(Coin1!$A:$D,MATCH(VLOOKUP(Coin3!$A125,Correspondance!$D:$E,2,FALSE),Coin1!$A:$A,0),2)</f>
        <v>60.583873387969874</v>
      </c>
      <c r="C125">
        <f>INDEX(Coin1!$A:$D,MATCH(VLOOKUP(Coin3!$A125,Correspondance!$D:$E,2,FALSE),Coin1!$A:$A,0),3)</f>
        <v>16.16</v>
      </c>
      <c r="D125">
        <f>INDEX(Coin1!$A:$D,MATCH(VLOOKUP(Coin3!$A125,Correspondance!$D:$E,2,FALSE),Coin1!$A:$A,0),4)</f>
        <v>26.36</v>
      </c>
    </row>
    <row r="126" spans="1:4" x14ac:dyDescent="0.35">
      <c r="A126">
        <f t="shared" si="1"/>
        <v>1125</v>
      </c>
      <c r="B126">
        <f>2*$I$1-INDEX(Coin1!$A:$D,MATCH(VLOOKUP(Coin3!$A126,Correspondance!$D:$E,2,FALSE),Coin1!$A:$A,0),2)</f>
        <v>60.372500000000002</v>
      </c>
      <c r="C126">
        <f>INDEX(Coin1!$A:$D,MATCH(VLOOKUP(Coin3!$A126,Correspondance!$D:$E,2,FALSE),Coin1!$A:$A,0),3)</f>
        <v>16.16</v>
      </c>
      <c r="D126">
        <f>INDEX(Coin1!$A:$D,MATCH(VLOOKUP(Coin3!$A126,Correspondance!$D:$E,2,FALSE),Coin1!$A:$A,0),4)</f>
        <v>26.36</v>
      </c>
    </row>
    <row r="127" spans="1:4" x14ac:dyDescent="0.35">
      <c r="A127">
        <f t="shared" si="1"/>
        <v>1126</v>
      </c>
      <c r="B127">
        <f>2*$I$1-INDEX(Coin1!$A:$D,MATCH(VLOOKUP(Coin3!$A127,Correspondance!$D:$E,2,FALSE),Coin1!$A:$A,0),2)</f>
        <v>60.607500000000002</v>
      </c>
      <c r="C127">
        <f>INDEX(Coin1!$A:$D,MATCH(VLOOKUP(Coin3!$A127,Correspondance!$D:$E,2,FALSE),Coin1!$A:$A,0),3)</f>
        <v>16.16</v>
      </c>
      <c r="D127">
        <f>INDEX(Coin1!$A:$D,MATCH(VLOOKUP(Coin3!$A127,Correspondance!$D:$E,2,FALSE),Coin1!$A:$A,0),4)</f>
        <v>26.36</v>
      </c>
    </row>
    <row r="128" spans="1:4" x14ac:dyDescent="0.35">
      <c r="A128">
        <f t="shared" si="1"/>
        <v>1127</v>
      </c>
      <c r="B128">
        <f>2*$I$1-INDEX(Coin1!$A:$D,MATCH(VLOOKUP(Coin3!$A128,Correspondance!$D:$E,2,FALSE),Coin1!$A:$A,0),2)</f>
        <v>61.222500000000004</v>
      </c>
      <c r="C128">
        <f>INDEX(Coin1!$A:$D,MATCH(VLOOKUP(Coin3!$A128,Correspondance!$D:$E,2,FALSE),Coin1!$A:$A,0),3)</f>
        <v>16.16</v>
      </c>
      <c r="D128">
        <f>INDEX(Coin1!$A:$D,MATCH(VLOOKUP(Coin3!$A128,Correspondance!$D:$E,2,FALSE),Coin1!$A:$A,0),4)</f>
        <v>26.36</v>
      </c>
    </row>
    <row r="129" spans="1:4" x14ac:dyDescent="0.35">
      <c r="A129">
        <f t="shared" si="1"/>
        <v>1128</v>
      </c>
      <c r="B129">
        <f>2*$I$1-INDEX(Coin1!$A:$D,MATCH(VLOOKUP(Coin3!$A129,Correspondance!$D:$E,2,FALSE),Coin1!$A:$A,0),2)</f>
        <v>61.837500000000006</v>
      </c>
      <c r="C129">
        <f>INDEX(Coin1!$A:$D,MATCH(VLOOKUP(Coin3!$A129,Correspondance!$D:$E,2,FALSE),Coin1!$A:$A,0),3)</f>
        <v>16.16</v>
      </c>
      <c r="D129">
        <f>INDEX(Coin1!$A:$D,MATCH(VLOOKUP(Coin3!$A129,Correspondance!$D:$E,2,FALSE),Coin1!$A:$A,0),4)</f>
        <v>26.36</v>
      </c>
    </row>
    <row r="130" spans="1:4" x14ac:dyDescent="0.35">
      <c r="A130">
        <f t="shared" si="1"/>
        <v>1129</v>
      </c>
      <c r="B130">
        <f>2*$I$1-INDEX(Coin1!$A:$D,MATCH(VLOOKUP(Coin3!$A130,Correspondance!$D:$E,2,FALSE),Coin1!$A:$A,0),2)</f>
        <v>62.072500000000005</v>
      </c>
      <c r="C130">
        <f>INDEX(Coin1!$A:$D,MATCH(VLOOKUP(Coin3!$A130,Correspondance!$D:$E,2,FALSE),Coin1!$A:$A,0),3)</f>
        <v>16.16</v>
      </c>
      <c r="D130">
        <f>INDEX(Coin1!$A:$D,MATCH(VLOOKUP(Coin3!$A130,Correspondance!$D:$E,2,FALSE),Coin1!$A:$A,0),4)</f>
        <v>26.36</v>
      </c>
    </row>
    <row r="131" spans="1:4" x14ac:dyDescent="0.35">
      <c r="A131">
        <f t="shared" si="1"/>
        <v>1130</v>
      </c>
      <c r="B131">
        <f>2*$I$1-INDEX(Coin1!$A:$D,MATCH(VLOOKUP(Coin3!$A131,Correspondance!$D:$E,2,FALSE),Coin1!$A:$A,0),2)</f>
        <v>61.861126612030134</v>
      </c>
      <c r="C131">
        <f>INDEX(Coin1!$A:$D,MATCH(VLOOKUP(Coin3!$A131,Correspondance!$D:$E,2,FALSE),Coin1!$A:$A,0),3)</f>
        <v>16.16</v>
      </c>
      <c r="D131">
        <f>INDEX(Coin1!$A:$D,MATCH(VLOOKUP(Coin3!$A131,Correspondance!$D:$E,2,FALSE),Coin1!$A:$A,0),4)</f>
        <v>26.36</v>
      </c>
    </row>
    <row r="132" spans="1:4" x14ac:dyDescent="0.35">
      <c r="A132">
        <f t="shared" ref="A132:A195" si="2">A131+1</f>
        <v>1131</v>
      </c>
      <c r="B132">
        <f>2*$I$1-INDEX(Coin1!$A:$D,MATCH(VLOOKUP(Coin3!$A132,Correspondance!$D:$E,2,FALSE),Coin1!$A:$A,0),2)</f>
        <v>63.91575107468676</v>
      </c>
      <c r="C132">
        <f>INDEX(Coin1!$A:$D,MATCH(VLOOKUP(Coin3!$A132,Correspondance!$D:$E,2,FALSE),Coin1!$A:$A,0),3)</f>
        <v>16.16</v>
      </c>
      <c r="D132">
        <f>INDEX(Coin1!$A:$D,MATCH(VLOOKUP(Coin3!$A132,Correspondance!$D:$E,2,FALSE),Coin1!$A:$A,0),4)</f>
        <v>26.36</v>
      </c>
    </row>
    <row r="133" spans="1:4" x14ac:dyDescent="0.35">
      <c r="A133">
        <f t="shared" si="2"/>
        <v>1132</v>
      </c>
      <c r="B133">
        <f>2*$I$1-INDEX(Coin1!$A:$D,MATCH(VLOOKUP(Coin3!$A133,Correspondance!$D:$E,2,FALSE),Coin1!$A:$A,0),2)</f>
        <v>65.970375537343386</v>
      </c>
      <c r="C133">
        <f>INDEX(Coin1!$A:$D,MATCH(VLOOKUP(Coin3!$A133,Correspondance!$D:$E,2,FALSE),Coin1!$A:$A,0),3)</f>
        <v>16.16</v>
      </c>
      <c r="D133">
        <f>INDEX(Coin1!$A:$D,MATCH(VLOOKUP(Coin3!$A133,Correspondance!$D:$E,2,FALSE),Coin1!$A:$A,0),4)</f>
        <v>26.36</v>
      </c>
    </row>
    <row r="134" spans="1:4" x14ac:dyDescent="0.35">
      <c r="A134">
        <f t="shared" si="2"/>
        <v>1133</v>
      </c>
      <c r="B134">
        <f>2*$I$1-INDEX(Coin1!$A:$D,MATCH(VLOOKUP(Coin3!$A134,Correspondance!$D:$E,2,FALSE),Coin1!$A:$A,0),2)</f>
        <v>68.025000000000006</v>
      </c>
      <c r="C134">
        <f>INDEX(Coin1!$A:$D,MATCH(VLOOKUP(Coin3!$A134,Correspondance!$D:$E,2,FALSE),Coin1!$A:$A,0),3)</f>
        <v>16.16</v>
      </c>
      <c r="D134">
        <f>INDEX(Coin1!$A:$D,MATCH(VLOOKUP(Coin3!$A134,Correspondance!$D:$E,2,FALSE),Coin1!$A:$A,0),4)</f>
        <v>26.36</v>
      </c>
    </row>
    <row r="135" spans="1:4" x14ac:dyDescent="0.35">
      <c r="A135">
        <f t="shared" si="2"/>
        <v>1134</v>
      </c>
      <c r="B135">
        <f>2*$I$1-INDEX(Coin1!$A:$D,MATCH(VLOOKUP(Coin3!$A135,Correspondance!$D:$E,2,FALSE),Coin1!$A:$A,0),2)</f>
        <v>69.425000000000011</v>
      </c>
      <c r="C135">
        <f>INDEX(Coin1!$A:$D,MATCH(VLOOKUP(Coin3!$A135,Correspondance!$D:$E,2,FALSE),Coin1!$A:$A,0),3)</f>
        <v>16.16</v>
      </c>
      <c r="D135">
        <f>INDEX(Coin1!$A:$D,MATCH(VLOOKUP(Coin3!$A135,Correspondance!$D:$E,2,FALSE),Coin1!$A:$A,0),4)</f>
        <v>26.36</v>
      </c>
    </row>
    <row r="136" spans="1:4" x14ac:dyDescent="0.35">
      <c r="A136">
        <f t="shared" si="2"/>
        <v>1135</v>
      </c>
      <c r="B136">
        <f>2*$I$1-INDEX(Coin1!$A:$D,MATCH(VLOOKUP(Coin3!$A136,Correspondance!$D:$E,2,FALSE),Coin1!$A:$A,0),2)</f>
        <v>60.372500000000002</v>
      </c>
      <c r="C136">
        <f>INDEX(Coin1!$A:$D,MATCH(VLOOKUP(Coin3!$A136,Correspondance!$D:$E,2,FALSE),Coin1!$A:$A,0),3)</f>
        <v>7.3750000000000009</v>
      </c>
      <c r="D136">
        <f>INDEX(Coin1!$A:$D,MATCH(VLOOKUP(Coin3!$A136,Correspondance!$D:$E,2,FALSE),Coin1!$A:$A,0),4)</f>
        <v>27.25</v>
      </c>
    </row>
    <row r="137" spans="1:4" x14ac:dyDescent="0.35">
      <c r="A137">
        <f t="shared" si="2"/>
        <v>1136</v>
      </c>
      <c r="B137">
        <f>2*$I$1-INDEX(Coin1!$A:$D,MATCH(VLOOKUP(Coin3!$A137,Correspondance!$D:$E,2,FALSE),Coin1!$A:$A,0),2)</f>
        <v>60.772500000000008</v>
      </c>
      <c r="C137">
        <f>INDEX(Coin1!$A:$D,MATCH(VLOOKUP(Coin3!$A137,Correspondance!$D:$E,2,FALSE),Coin1!$A:$A,0),3)</f>
        <v>7.3750000000000009</v>
      </c>
      <c r="D137">
        <f>INDEX(Coin1!$A:$D,MATCH(VLOOKUP(Coin3!$A137,Correspondance!$D:$E,2,FALSE),Coin1!$A:$A,0),4)</f>
        <v>27.25</v>
      </c>
    </row>
    <row r="138" spans="1:4" x14ac:dyDescent="0.35">
      <c r="A138">
        <f t="shared" si="2"/>
        <v>1137</v>
      </c>
      <c r="B138">
        <f>2*$I$1-INDEX(Coin1!$A:$D,MATCH(VLOOKUP(Coin3!$A138,Correspondance!$D:$E,2,FALSE),Coin1!$A:$A,0),2)</f>
        <v>61.672500000000007</v>
      </c>
      <c r="C138">
        <f>INDEX(Coin1!$A:$D,MATCH(VLOOKUP(Coin3!$A138,Correspondance!$D:$E,2,FALSE),Coin1!$A:$A,0),3)</f>
        <v>7.3750000000000009</v>
      </c>
      <c r="D138">
        <f>INDEX(Coin1!$A:$D,MATCH(VLOOKUP(Coin3!$A138,Correspondance!$D:$E,2,FALSE),Coin1!$A:$A,0),4)</f>
        <v>27.25</v>
      </c>
    </row>
    <row r="139" spans="1:4" x14ac:dyDescent="0.35">
      <c r="A139">
        <f t="shared" si="2"/>
        <v>1138</v>
      </c>
      <c r="B139">
        <f>2*$I$1-INDEX(Coin1!$A:$D,MATCH(VLOOKUP(Coin3!$A139,Correspondance!$D:$E,2,FALSE),Coin1!$A:$A,0),2)</f>
        <v>62.072500000000005</v>
      </c>
      <c r="C139">
        <f>INDEX(Coin1!$A:$D,MATCH(VLOOKUP(Coin3!$A139,Correspondance!$D:$E,2,FALSE),Coin1!$A:$A,0),3)</f>
        <v>7.3750000000000009</v>
      </c>
      <c r="D139">
        <f>INDEX(Coin1!$A:$D,MATCH(VLOOKUP(Coin3!$A139,Correspondance!$D:$E,2,FALSE),Coin1!$A:$A,0),4)</f>
        <v>27.25</v>
      </c>
    </row>
    <row r="140" spans="1:4" x14ac:dyDescent="0.35">
      <c r="A140">
        <f t="shared" si="2"/>
        <v>1139</v>
      </c>
      <c r="B140">
        <f>2*$I$1-INDEX(Coin1!$A:$D,MATCH(VLOOKUP(Coin3!$A140,Correspondance!$D:$E,2,FALSE),Coin1!$A:$A,0),2)</f>
        <v>61.222500000000004</v>
      </c>
      <c r="C140">
        <f>INDEX(Coin1!$A:$D,MATCH(VLOOKUP(Coin3!$A140,Correspondance!$D:$E,2,FALSE),Coin1!$A:$A,0),3)</f>
        <v>8.08</v>
      </c>
      <c r="D140">
        <f>INDEX(Coin1!$A:$D,MATCH(VLOOKUP(Coin3!$A140,Correspondance!$D:$E,2,FALSE),Coin1!$A:$A,0),4)</f>
        <v>27.25</v>
      </c>
    </row>
    <row r="141" spans="1:4" x14ac:dyDescent="0.35">
      <c r="A141">
        <f t="shared" si="2"/>
        <v>1140</v>
      </c>
      <c r="B141">
        <f>2*$I$1-INDEX(Coin1!$A:$D,MATCH(VLOOKUP(Coin3!$A141,Correspondance!$D:$E,2,FALSE),Coin1!$A:$A,0),2)</f>
        <v>60.372500000000002</v>
      </c>
      <c r="C141">
        <f>INDEX(Coin1!$A:$D,MATCH(VLOOKUP(Coin3!$A141,Correspondance!$D:$E,2,FALSE),Coin1!$A:$A,0),3)</f>
        <v>8.7849999999999984</v>
      </c>
      <c r="D141">
        <f>INDEX(Coin1!$A:$D,MATCH(VLOOKUP(Coin3!$A141,Correspondance!$D:$E,2,FALSE),Coin1!$A:$A,0),4)</f>
        <v>27.25</v>
      </c>
    </row>
    <row r="142" spans="1:4" x14ac:dyDescent="0.35">
      <c r="A142">
        <f t="shared" si="2"/>
        <v>1141</v>
      </c>
      <c r="B142">
        <f>2*$I$1-INDEX(Coin1!$A:$D,MATCH(VLOOKUP(Coin3!$A142,Correspondance!$D:$E,2,FALSE),Coin1!$A:$A,0),2)</f>
        <v>60.772500000000008</v>
      </c>
      <c r="C142">
        <f>INDEX(Coin1!$A:$D,MATCH(VLOOKUP(Coin3!$A142,Correspondance!$D:$E,2,FALSE),Coin1!$A:$A,0),3)</f>
        <v>8.7849999999999984</v>
      </c>
      <c r="D142">
        <f>INDEX(Coin1!$A:$D,MATCH(VLOOKUP(Coin3!$A142,Correspondance!$D:$E,2,FALSE),Coin1!$A:$A,0),4)</f>
        <v>27.25</v>
      </c>
    </row>
    <row r="143" spans="1:4" x14ac:dyDescent="0.35">
      <c r="A143">
        <f t="shared" si="2"/>
        <v>1142</v>
      </c>
      <c r="B143">
        <f>2*$I$1-INDEX(Coin1!$A:$D,MATCH(VLOOKUP(Coin3!$A143,Correspondance!$D:$E,2,FALSE),Coin1!$A:$A,0),2)</f>
        <v>61.672500000000007</v>
      </c>
      <c r="C143">
        <f>INDEX(Coin1!$A:$D,MATCH(VLOOKUP(Coin3!$A143,Correspondance!$D:$E,2,FALSE),Coin1!$A:$A,0),3)</f>
        <v>8.7849999999999984</v>
      </c>
      <c r="D143">
        <f>INDEX(Coin1!$A:$D,MATCH(VLOOKUP(Coin3!$A143,Correspondance!$D:$E,2,FALSE),Coin1!$A:$A,0),4)</f>
        <v>27.25</v>
      </c>
    </row>
    <row r="144" spans="1:4" x14ac:dyDescent="0.35">
      <c r="A144">
        <f t="shared" si="2"/>
        <v>1143</v>
      </c>
      <c r="B144">
        <f>2*$I$1-INDEX(Coin1!$A:$D,MATCH(VLOOKUP(Coin3!$A144,Correspondance!$D:$E,2,FALSE),Coin1!$A:$A,0),2)</f>
        <v>62.072500000000005</v>
      </c>
      <c r="C144">
        <f>INDEX(Coin1!$A:$D,MATCH(VLOOKUP(Coin3!$A144,Correspondance!$D:$E,2,FALSE),Coin1!$A:$A,0),3)</f>
        <v>8.7849999999999984</v>
      </c>
      <c r="D144">
        <f>INDEX(Coin1!$A:$D,MATCH(VLOOKUP(Coin3!$A144,Correspondance!$D:$E,2,FALSE),Coin1!$A:$A,0),4)</f>
        <v>27.25</v>
      </c>
    </row>
    <row r="145" spans="1:4" x14ac:dyDescent="0.35">
      <c r="A145">
        <f t="shared" si="2"/>
        <v>1144</v>
      </c>
      <c r="B145">
        <f>2*$I$1-INDEX(Coin1!$A:$D,MATCH(VLOOKUP(Coin3!$A145,Correspondance!$D:$E,2,FALSE),Coin1!$A:$A,0),2)</f>
        <v>60.372500000000002</v>
      </c>
      <c r="C145">
        <f>INDEX(Coin1!$A:$D,MATCH(VLOOKUP(Coin3!$A145,Correspondance!$D:$E,2,FALSE),Coin1!$A:$A,0),3)</f>
        <v>0</v>
      </c>
      <c r="D145">
        <f>INDEX(Coin1!$A:$D,MATCH(VLOOKUP(Coin3!$A145,Correspondance!$D:$E,2,FALSE),Coin1!$A:$A,0),4)</f>
        <v>27.55</v>
      </c>
    </row>
    <row r="146" spans="1:4" x14ac:dyDescent="0.35">
      <c r="A146">
        <f t="shared" si="2"/>
        <v>1145</v>
      </c>
      <c r="B146">
        <f>2*$I$1-INDEX(Coin1!$A:$D,MATCH(VLOOKUP(Coin3!$A146,Correspondance!$D:$E,2,FALSE),Coin1!$A:$A,0),2)</f>
        <v>62.072500000000005</v>
      </c>
      <c r="C146">
        <f>INDEX(Coin1!$A:$D,MATCH(VLOOKUP(Coin3!$A146,Correspondance!$D:$E,2,FALSE),Coin1!$A:$A,0),3)</f>
        <v>0</v>
      </c>
      <c r="D146">
        <f>INDEX(Coin1!$A:$D,MATCH(VLOOKUP(Coin3!$A146,Correspondance!$D:$E,2,FALSE),Coin1!$A:$A,0),4)</f>
        <v>27.55</v>
      </c>
    </row>
    <row r="147" spans="1:4" x14ac:dyDescent="0.35">
      <c r="A147">
        <f t="shared" si="2"/>
        <v>1146</v>
      </c>
      <c r="B147">
        <f>2*$I$1-INDEX(Coin1!$A:$D,MATCH(VLOOKUP(Coin3!$A147,Correspondance!$D:$E,2,FALSE),Coin1!$A:$A,0),2)</f>
        <v>60.372500000000002</v>
      </c>
      <c r="C147">
        <f>INDEX(Coin1!$A:$D,MATCH(VLOOKUP(Coin3!$A147,Correspondance!$D:$E,2,FALSE),Coin1!$A:$A,0),3)</f>
        <v>0.4</v>
      </c>
      <c r="D147">
        <f>INDEX(Coin1!$A:$D,MATCH(VLOOKUP(Coin3!$A147,Correspondance!$D:$E,2,FALSE),Coin1!$A:$A,0),4)</f>
        <v>27.55</v>
      </c>
    </row>
    <row r="148" spans="1:4" x14ac:dyDescent="0.35">
      <c r="A148">
        <f t="shared" si="2"/>
        <v>1147</v>
      </c>
      <c r="B148">
        <f>2*$I$1-INDEX(Coin1!$A:$D,MATCH(VLOOKUP(Coin3!$A148,Correspondance!$D:$E,2,FALSE),Coin1!$A:$A,0),2)</f>
        <v>62.072500000000005</v>
      </c>
      <c r="C148">
        <f>INDEX(Coin1!$A:$D,MATCH(VLOOKUP(Coin3!$A148,Correspondance!$D:$E,2,FALSE),Coin1!$A:$A,0),3)</f>
        <v>0.4</v>
      </c>
      <c r="D148">
        <f>INDEX(Coin1!$A:$D,MATCH(VLOOKUP(Coin3!$A148,Correspondance!$D:$E,2,FALSE),Coin1!$A:$A,0),4)</f>
        <v>27.55</v>
      </c>
    </row>
    <row r="149" spans="1:4" x14ac:dyDescent="0.35">
      <c r="A149">
        <f t="shared" si="2"/>
        <v>1148</v>
      </c>
      <c r="B149">
        <f>2*$I$1-INDEX(Coin1!$A:$D,MATCH(VLOOKUP(Coin3!$A149,Correspondance!$D:$E,2,FALSE),Coin1!$A:$A,0),2)</f>
        <v>60.372500000000002</v>
      </c>
      <c r="C149">
        <f>INDEX(Coin1!$A:$D,MATCH(VLOOKUP(Coin3!$A149,Correspondance!$D:$E,2,FALSE),Coin1!$A:$A,0),3)</f>
        <v>2.4249999999999998</v>
      </c>
      <c r="D149">
        <f>INDEX(Coin1!$A:$D,MATCH(VLOOKUP(Coin3!$A149,Correspondance!$D:$E,2,FALSE),Coin1!$A:$A,0),4)</f>
        <v>27.55</v>
      </c>
    </row>
    <row r="150" spans="1:4" x14ac:dyDescent="0.35">
      <c r="A150">
        <f t="shared" si="2"/>
        <v>1149</v>
      </c>
      <c r="B150">
        <f>2*$I$1-INDEX(Coin1!$A:$D,MATCH(VLOOKUP(Coin3!$A150,Correspondance!$D:$E,2,FALSE),Coin1!$A:$A,0),2)</f>
        <v>62.072500000000005</v>
      </c>
      <c r="C150">
        <f>INDEX(Coin1!$A:$D,MATCH(VLOOKUP(Coin3!$A150,Correspondance!$D:$E,2,FALSE),Coin1!$A:$A,0),3)</f>
        <v>2.4249999999999998</v>
      </c>
      <c r="D150">
        <f>INDEX(Coin1!$A:$D,MATCH(VLOOKUP(Coin3!$A150,Correspondance!$D:$E,2,FALSE),Coin1!$A:$A,0),4)</f>
        <v>27.55</v>
      </c>
    </row>
    <row r="151" spans="1:4" x14ac:dyDescent="0.35">
      <c r="A151">
        <f t="shared" si="2"/>
        <v>1150</v>
      </c>
      <c r="B151">
        <f>2*$I$1-INDEX(Coin1!$A:$D,MATCH(VLOOKUP(Coin3!$A151,Correspondance!$D:$E,2,FALSE),Coin1!$A:$A,0),2)</f>
        <v>60.372500000000002</v>
      </c>
      <c r="C151">
        <f>INDEX(Coin1!$A:$D,MATCH(VLOOKUP(Coin3!$A151,Correspondance!$D:$E,2,FALSE),Coin1!$A:$A,0),3)</f>
        <v>4.45</v>
      </c>
      <c r="D151">
        <f>INDEX(Coin1!$A:$D,MATCH(VLOOKUP(Coin3!$A151,Correspondance!$D:$E,2,FALSE),Coin1!$A:$A,0),4)</f>
        <v>27.55</v>
      </c>
    </row>
    <row r="152" spans="1:4" x14ac:dyDescent="0.35">
      <c r="A152">
        <f t="shared" si="2"/>
        <v>1151</v>
      </c>
      <c r="B152">
        <f>2*$I$1-INDEX(Coin1!$A:$D,MATCH(VLOOKUP(Coin3!$A152,Correspondance!$D:$E,2,FALSE),Coin1!$A:$A,0),2)</f>
        <v>62.072500000000005</v>
      </c>
      <c r="C152">
        <f>INDEX(Coin1!$A:$D,MATCH(VLOOKUP(Coin3!$A152,Correspondance!$D:$E,2,FALSE),Coin1!$A:$A,0),3)</f>
        <v>4.45</v>
      </c>
      <c r="D152">
        <f>INDEX(Coin1!$A:$D,MATCH(VLOOKUP(Coin3!$A152,Correspondance!$D:$E,2,FALSE),Coin1!$A:$A,0),4)</f>
        <v>27.55</v>
      </c>
    </row>
    <row r="153" spans="1:4" x14ac:dyDescent="0.35">
      <c r="A153">
        <f t="shared" si="2"/>
        <v>1152</v>
      </c>
      <c r="B153">
        <f>2*$I$1-INDEX(Coin1!$A:$D,MATCH(VLOOKUP(Coin3!$A153,Correspondance!$D:$E,2,FALSE),Coin1!$A:$A,0),2)</f>
        <v>60.372500000000002</v>
      </c>
      <c r="C153">
        <f>INDEX(Coin1!$A:$D,MATCH(VLOOKUP(Coin3!$A153,Correspondance!$D:$E,2,FALSE),Coin1!$A:$A,0),3)</f>
        <v>6.4750000000000005</v>
      </c>
      <c r="D153">
        <f>INDEX(Coin1!$A:$D,MATCH(VLOOKUP(Coin3!$A153,Correspondance!$D:$E,2,FALSE),Coin1!$A:$A,0),4)</f>
        <v>27.55</v>
      </c>
    </row>
    <row r="154" spans="1:4" x14ac:dyDescent="0.35">
      <c r="A154">
        <f t="shared" si="2"/>
        <v>1153</v>
      </c>
      <c r="B154">
        <f>2*$I$1-INDEX(Coin1!$A:$D,MATCH(VLOOKUP(Coin3!$A154,Correspondance!$D:$E,2,FALSE),Coin1!$A:$A,0),2)</f>
        <v>62.072500000000005</v>
      </c>
      <c r="C154">
        <f>INDEX(Coin1!$A:$D,MATCH(VLOOKUP(Coin3!$A154,Correspondance!$D:$E,2,FALSE),Coin1!$A:$A,0),3)</f>
        <v>6.4750000000000005</v>
      </c>
      <c r="D154">
        <f>INDEX(Coin1!$A:$D,MATCH(VLOOKUP(Coin3!$A154,Correspondance!$D:$E,2,FALSE),Coin1!$A:$A,0),4)</f>
        <v>27.55</v>
      </c>
    </row>
    <row r="155" spans="1:4" x14ac:dyDescent="0.35">
      <c r="A155">
        <f t="shared" si="2"/>
        <v>1154</v>
      </c>
      <c r="B155">
        <f>2*$I$1-INDEX(Coin1!$A:$D,MATCH(VLOOKUP(Coin3!$A155,Correspondance!$D:$E,2,FALSE),Coin1!$A:$A,0),2)</f>
        <v>60.372500000000002</v>
      </c>
      <c r="C155">
        <f>INDEX(Coin1!$A:$D,MATCH(VLOOKUP(Coin3!$A155,Correspondance!$D:$E,2,FALSE),Coin1!$A:$A,0),3)</f>
        <v>7.3750000000000009</v>
      </c>
      <c r="D155">
        <f>INDEX(Coin1!$A:$D,MATCH(VLOOKUP(Coin3!$A155,Correspondance!$D:$E,2,FALSE),Coin1!$A:$A,0),4)</f>
        <v>27.55</v>
      </c>
    </row>
    <row r="156" spans="1:4" x14ac:dyDescent="0.35">
      <c r="A156">
        <f t="shared" si="2"/>
        <v>1155</v>
      </c>
      <c r="B156">
        <f>2*$I$1-INDEX(Coin1!$A:$D,MATCH(VLOOKUP(Coin3!$A156,Correspondance!$D:$E,2,FALSE),Coin1!$A:$A,0),2)</f>
        <v>62.072500000000005</v>
      </c>
      <c r="C156">
        <f>INDEX(Coin1!$A:$D,MATCH(VLOOKUP(Coin3!$A156,Correspondance!$D:$E,2,FALSE),Coin1!$A:$A,0),3)</f>
        <v>7.3750000000000009</v>
      </c>
      <c r="D156">
        <f>INDEX(Coin1!$A:$D,MATCH(VLOOKUP(Coin3!$A156,Correspondance!$D:$E,2,FALSE),Coin1!$A:$A,0),4)</f>
        <v>27.55</v>
      </c>
    </row>
    <row r="157" spans="1:4" x14ac:dyDescent="0.35">
      <c r="A157">
        <f t="shared" si="2"/>
        <v>1156</v>
      </c>
      <c r="B157">
        <f>2*$I$1-INDEX(Coin1!$A:$D,MATCH(VLOOKUP(Coin3!$A157,Correspondance!$D:$E,2,FALSE),Coin1!$A:$A,0),2)</f>
        <v>60.372500000000002</v>
      </c>
      <c r="C157">
        <f>INDEX(Coin1!$A:$D,MATCH(VLOOKUP(Coin3!$A157,Correspondance!$D:$E,2,FALSE),Coin1!$A:$A,0),3)</f>
        <v>8.7849999999999984</v>
      </c>
      <c r="D157">
        <f>INDEX(Coin1!$A:$D,MATCH(VLOOKUP(Coin3!$A157,Correspondance!$D:$E,2,FALSE),Coin1!$A:$A,0),4)</f>
        <v>27.55</v>
      </c>
    </row>
    <row r="158" spans="1:4" x14ac:dyDescent="0.35">
      <c r="A158">
        <f t="shared" si="2"/>
        <v>1157</v>
      </c>
      <c r="B158">
        <f>2*$I$1-INDEX(Coin1!$A:$D,MATCH(VLOOKUP(Coin3!$A158,Correspondance!$D:$E,2,FALSE),Coin1!$A:$A,0),2)</f>
        <v>62.072500000000005</v>
      </c>
      <c r="C158">
        <f>INDEX(Coin1!$A:$D,MATCH(VLOOKUP(Coin3!$A158,Correspondance!$D:$E,2,FALSE),Coin1!$A:$A,0),3)</f>
        <v>8.7849999999999984</v>
      </c>
      <c r="D158">
        <f>INDEX(Coin1!$A:$D,MATCH(VLOOKUP(Coin3!$A158,Correspondance!$D:$E,2,FALSE),Coin1!$A:$A,0),4)</f>
        <v>27.55</v>
      </c>
    </row>
    <row r="159" spans="1:4" x14ac:dyDescent="0.35">
      <c r="A159">
        <f t="shared" si="2"/>
        <v>1158</v>
      </c>
      <c r="B159">
        <f>2*$I$1-INDEX(Coin1!$A:$D,MATCH(VLOOKUP(Coin3!$A159,Correspondance!$D:$E,2,FALSE),Coin1!$A:$A,0),2)</f>
        <v>60.372500000000002</v>
      </c>
      <c r="C159">
        <f>INDEX(Coin1!$A:$D,MATCH(VLOOKUP(Coin3!$A159,Correspondance!$D:$E,2,FALSE),Coin1!$A:$A,0),3)</f>
        <v>9.6849999999999987</v>
      </c>
      <c r="D159">
        <f>INDEX(Coin1!$A:$D,MATCH(VLOOKUP(Coin3!$A159,Correspondance!$D:$E,2,FALSE),Coin1!$A:$A,0),4)</f>
        <v>27.55</v>
      </c>
    </row>
    <row r="160" spans="1:4" x14ac:dyDescent="0.35">
      <c r="A160">
        <f t="shared" si="2"/>
        <v>1159</v>
      </c>
      <c r="B160">
        <f>2*$I$1-INDEX(Coin1!$A:$D,MATCH(VLOOKUP(Coin3!$A160,Correspondance!$D:$E,2,FALSE),Coin1!$A:$A,0),2)</f>
        <v>62.072500000000005</v>
      </c>
      <c r="C160">
        <f>INDEX(Coin1!$A:$D,MATCH(VLOOKUP(Coin3!$A160,Correspondance!$D:$E,2,FALSE),Coin1!$A:$A,0),3)</f>
        <v>9.6849999999999987</v>
      </c>
      <c r="D160">
        <f>INDEX(Coin1!$A:$D,MATCH(VLOOKUP(Coin3!$A160,Correspondance!$D:$E,2,FALSE),Coin1!$A:$A,0),4)</f>
        <v>27.55</v>
      </c>
    </row>
    <row r="161" spans="1:4" x14ac:dyDescent="0.35">
      <c r="A161">
        <f t="shared" si="2"/>
        <v>1160</v>
      </c>
      <c r="B161">
        <f>2*$I$1-INDEX(Coin1!$A:$D,MATCH(VLOOKUP(Coin3!$A161,Correspondance!$D:$E,2,FALSE),Coin1!$A:$A,0),2)</f>
        <v>60.372500000000002</v>
      </c>
      <c r="C161">
        <f>INDEX(Coin1!$A:$D,MATCH(VLOOKUP(Coin3!$A161,Correspondance!$D:$E,2,FALSE),Coin1!$A:$A,0),3)</f>
        <v>11.71</v>
      </c>
      <c r="D161">
        <f>INDEX(Coin1!$A:$D,MATCH(VLOOKUP(Coin3!$A161,Correspondance!$D:$E,2,FALSE),Coin1!$A:$A,0),4)</f>
        <v>27.55</v>
      </c>
    </row>
    <row r="162" spans="1:4" x14ac:dyDescent="0.35">
      <c r="A162">
        <f t="shared" si="2"/>
        <v>1161</v>
      </c>
      <c r="B162">
        <f>2*$I$1-INDEX(Coin1!$A:$D,MATCH(VLOOKUP(Coin3!$A162,Correspondance!$D:$E,2,FALSE),Coin1!$A:$A,0),2)</f>
        <v>62.072500000000005</v>
      </c>
      <c r="C162">
        <f>INDEX(Coin1!$A:$D,MATCH(VLOOKUP(Coin3!$A162,Correspondance!$D:$E,2,FALSE),Coin1!$A:$A,0),3)</f>
        <v>11.71</v>
      </c>
      <c r="D162">
        <f>INDEX(Coin1!$A:$D,MATCH(VLOOKUP(Coin3!$A162,Correspondance!$D:$E,2,FALSE),Coin1!$A:$A,0),4)</f>
        <v>27.55</v>
      </c>
    </row>
    <row r="163" spans="1:4" x14ac:dyDescent="0.35">
      <c r="A163">
        <f t="shared" si="2"/>
        <v>1162</v>
      </c>
      <c r="B163">
        <f>2*$I$1-INDEX(Coin1!$A:$D,MATCH(VLOOKUP(Coin3!$A163,Correspondance!$D:$E,2,FALSE),Coin1!$A:$A,0),2)</f>
        <v>60.372500000000002</v>
      </c>
      <c r="C163">
        <f>INDEX(Coin1!$A:$D,MATCH(VLOOKUP(Coin3!$A163,Correspondance!$D:$E,2,FALSE),Coin1!$A:$A,0),3)</f>
        <v>13.734999999999999</v>
      </c>
      <c r="D163">
        <f>INDEX(Coin1!$A:$D,MATCH(VLOOKUP(Coin3!$A163,Correspondance!$D:$E,2,FALSE),Coin1!$A:$A,0),4)</f>
        <v>27.55</v>
      </c>
    </row>
    <row r="164" spans="1:4" x14ac:dyDescent="0.35">
      <c r="A164">
        <f t="shared" si="2"/>
        <v>1163</v>
      </c>
      <c r="B164">
        <f>2*$I$1-INDEX(Coin1!$A:$D,MATCH(VLOOKUP(Coin3!$A164,Correspondance!$D:$E,2,FALSE),Coin1!$A:$A,0),2)</f>
        <v>62.072500000000005</v>
      </c>
      <c r="C164">
        <f>INDEX(Coin1!$A:$D,MATCH(VLOOKUP(Coin3!$A164,Correspondance!$D:$E,2,FALSE),Coin1!$A:$A,0),3)</f>
        <v>13.734999999999999</v>
      </c>
      <c r="D164">
        <f>INDEX(Coin1!$A:$D,MATCH(VLOOKUP(Coin3!$A164,Correspondance!$D:$E,2,FALSE),Coin1!$A:$A,0),4)</f>
        <v>27.55</v>
      </c>
    </row>
    <row r="165" spans="1:4" x14ac:dyDescent="0.35">
      <c r="A165">
        <f t="shared" si="2"/>
        <v>1164</v>
      </c>
      <c r="B165">
        <f>2*$I$1-INDEX(Coin1!$A:$D,MATCH(VLOOKUP(Coin3!$A165,Correspondance!$D:$E,2,FALSE),Coin1!$A:$A,0),2)</f>
        <v>60.372500000000002</v>
      </c>
      <c r="C165">
        <f>INDEX(Coin1!$A:$D,MATCH(VLOOKUP(Coin3!$A165,Correspondance!$D:$E,2,FALSE),Coin1!$A:$A,0),3)</f>
        <v>15.76</v>
      </c>
      <c r="D165">
        <f>INDEX(Coin1!$A:$D,MATCH(VLOOKUP(Coin3!$A165,Correspondance!$D:$E,2,FALSE),Coin1!$A:$A,0),4)</f>
        <v>27.55</v>
      </c>
    </row>
    <row r="166" spans="1:4" x14ac:dyDescent="0.35">
      <c r="A166">
        <f t="shared" si="2"/>
        <v>1165</v>
      </c>
      <c r="B166">
        <f>2*$I$1-INDEX(Coin1!$A:$D,MATCH(VLOOKUP(Coin3!$A166,Correspondance!$D:$E,2,FALSE),Coin1!$A:$A,0),2)</f>
        <v>62.072500000000005</v>
      </c>
      <c r="C166">
        <f>INDEX(Coin1!$A:$D,MATCH(VLOOKUP(Coin3!$A166,Correspondance!$D:$E,2,FALSE),Coin1!$A:$A,0),3)</f>
        <v>15.76</v>
      </c>
      <c r="D166">
        <f>INDEX(Coin1!$A:$D,MATCH(VLOOKUP(Coin3!$A166,Correspondance!$D:$E,2,FALSE),Coin1!$A:$A,0),4)</f>
        <v>27.55</v>
      </c>
    </row>
    <row r="167" spans="1:4" x14ac:dyDescent="0.35">
      <c r="A167">
        <f t="shared" si="2"/>
        <v>1166</v>
      </c>
      <c r="B167">
        <f>2*$I$1-INDEX(Coin1!$A:$D,MATCH(VLOOKUP(Coin3!$A167,Correspondance!$D:$E,2,FALSE),Coin1!$A:$A,0),2)</f>
        <v>60.372500000000002</v>
      </c>
      <c r="C167">
        <f>INDEX(Coin1!$A:$D,MATCH(VLOOKUP(Coin3!$A167,Correspondance!$D:$E,2,FALSE),Coin1!$A:$A,0),3)</f>
        <v>16.16</v>
      </c>
      <c r="D167">
        <f>INDEX(Coin1!$A:$D,MATCH(VLOOKUP(Coin3!$A167,Correspondance!$D:$E,2,FALSE),Coin1!$A:$A,0),4)</f>
        <v>27.55</v>
      </c>
    </row>
    <row r="168" spans="1:4" x14ac:dyDescent="0.35">
      <c r="A168">
        <f t="shared" si="2"/>
        <v>1167</v>
      </c>
      <c r="B168">
        <f>2*$I$1-INDEX(Coin1!$A:$D,MATCH(VLOOKUP(Coin3!$A168,Correspondance!$D:$E,2,FALSE),Coin1!$A:$A,0),2)</f>
        <v>62.072500000000005</v>
      </c>
      <c r="C168">
        <f>INDEX(Coin1!$A:$D,MATCH(VLOOKUP(Coin3!$A168,Correspondance!$D:$E,2,FALSE),Coin1!$A:$A,0),3)</f>
        <v>16.16</v>
      </c>
      <c r="D168">
        <f>INDEX(Coin1!$A:$D,MATCH(VLOOKUP(Coin3!$A168,Correspondance!$D:$E,2,FALSE),Coin1!$A:$A,0),4)</f>
        <v>27.55</v>
      </c>
    </row>
    <row r="169" spans="1:4" x14ac:dyDescent="0.35">
      <c r="A169">
        <f t="shared" si="2"/>
        <v>1168</v>
      </c>
      <c r="B169">
        <f>2*$I$1-INDEX(Coin1!$A:$D,MATCH(VLOOKUP(Coin3!$A169,Correspondance!$D:$E,2,FALSE),Coin1!$A:$A,0),2)</f>
        <v>55.332000000000008</v>
      </c>
      <c r="C169">
        <f>INDEX(Coin1!$A:$D,MATCH(VLOOKUP(Coin3!$A169,Correspondance!$D:$E,2,FALSE),Coin1!$A:$A,0),3)</f>
        <v>0</v>
      </c>
      <c r="D169">
        <f>INDEX(Coin1!$A:$D,MATCH(VLOOKUP(Coin3!$A169,Correspondance!$D:$E,2,FALSE),Coin1!$A:$A,0),4)</f>
        <v>27.939999999999998</v>
      </c>
    </row>
    <row r="170" spans="1:4" x14ac:dyDescent="0.35">
      <c r="A170">
        <f t="shared" si="2"/>
        <v>1169</v>
      </c>
      <c r="B170">
        <f>2*$I$1-INDEX(Coin1!$A:$D,MATCH(VLOOKUP(Coin3!$A170,Correspondance!$D:$E,2,FALSE),Coin1!$A:$A,0),2)</f>
        <v>67.113</v>
      </c>
      <c r="C170">
        <f>INDEX(Coin1!$A:$D,MATCH(VLOOKUP(Coin3!$A170,Correspondance!$D:$E,2,FALSE),Coin1!$A:$A,0),3)</f>
        <v>0</v>
      </c>
      <c r="D170">
        <f>INDEX(Coin1!$A:$D,MATCH(VLOOKUP(Coin3!$A170,Correspondance!$D:$E,2,FALSE),Coin1!$A:$A,0),4)</f>
        <v>27.939999999999998</v>
      </c>
    </row>
    <row r="171" spans="1:4" x14ac:dyDescent="0.35">
      <c r="A171">
        <f t="shared" si="2"/>
        <v>1170</v>
      </c>
      <c r="B171">
        <f>2*$I$1-INDEX(Coin1!$A:$D,MATCH(VLOOKUP(Coin3!$A171,Correspondance!$D:$E,2,FALSE),Coin1!$A:$A,0),2)</f>
        <v>55.332000000000008</v>
      </c>
      <c r="C171">
        <f>INDEX(Coin1!$A:$D,MATCH(VLOOKUP(Coin3!$A171,Correspondance!$D:$E,2,FALSE),Coin1!$A:$A,0),3)</f>
        <v>8.08</v>
      </c>
      <c r="D171">
        <f>INDEX(Coin1!$A:$D,MATCH(VLOOKUP(Coin3!$A171,Correspondance!$D:$E,2,FALSE),Coin1!$A:$A,0),4)</f>
        <v>27.939999999999998</v>
      </c>
    </row>
    <row r="172" spans="1:4" x14ac:dyDescent="0.35">
      <c r="A172">
        <f t="shared" si="2"/>
        <v>1171</v>
      </c>
      <c r="B172">
        <f>2*$I$1-INDEX(Coin1!$A:$D,MATCH(VLOOKUP(Coin3!$A172,Correspondance!$D:$E,2,FALSE),Coin1!$A:$A,0),2)</f>
        <v>67.113</v>
      </c>
      <c r="C172">
        <f>INDEX(Coin1!$A:$D,MATCH(VLOOKUP(Coin3!$A172,Correspondance!$D:$E,2,FALSE),Coin1!$A:$A,0),3)</f>
        <v>8.08</v>
      </c>
      <c r="D172">
        <f>INDEX(Coin1!$A:$D,MATCH(VLOOKUP(Coin3!$A172,Correspondance!$D:$E,2,FALSE),Coin1!$A:$A,0),4)</f>
        <v>27.939999999999998</v>
      </c>
    </row>
    <row r="173" spans="1:4" x14ac:dyDescent="0.35">
      <c r="A173">
        <f t="shared" si="2"/>
        <v>1172</v>
      </c>
      <c r="B173">
        <f>2*$I$1-INDEX(Coin1!$A:$D,MATCH(VLOOKUP(Coin3!$A173,Correspondance!$D:$E,2,FALSE),Coin1!$A:$A,0),2)</f>
        <v>55.332000000000008</v>
      </c>
      <c r="C173">
        <f>INDEX(Coin1!$A:$D,MATCH(VLOOKUP(Coin3!$A173,Correspondance!$D:$E,2,FALSE),Coin1!$A:$A,0),3)</f>
        <v>16.16</v>
      </c>
      <c r="D173">
        <f>INDEX(Coin1!$A:$D,MATCH(VLOOKUP(Coin3!$A173,Correspondance!$D:$E,2,FALSE),Coin1!$A:$A,0),4)</f>
        <v>27.939999999999998</v>
      </c>
    </row>
    <row r="174" spans="1:4" x14ac:dyDescent="0.35">
      <c r="A174">
        <f t="shared" si="2"/>
        <v>1173</v>
      </c>
      <c r="B174">
        <f>2*$I$1-INDEX(Coin1!$A:$D,MATCH(VLOOKUP(Coin3!$A174,Correspondance!$D:$E,2,FALSE),Coin1!$A:$A,0),2)</f>
        <v>67.113</v>
      </c>
      <c r="C174">
        <f>INDEX(Coin1!$A:$D,MATCH(VLOOKUP(Coin3!$A174,Correspondance!$D:$E,2,FALSE),Coin1!$A:$A,0),3)</f>
        <v>16.16</v>
      </c>
      <c r="D174">
        <f>INDEX(Coin1!$A:$D,MATCH(VLOOKUP(Coin3!$A174,Correspondance!$D:$E,2,FALSE),Coin1!$A:$A,0),4)</f>
        <v>27.939999999999998</v>
      </c>
    </row>
    <row r="175" spans="1:4" x14ac:dyDescent="0.35">
      <c r="A175">
        <f t="shared" si="2"/>
        <v>1174</v>
      </c>
      <c r="B175">
        <f>2*$I$1-INDEX(Coin1!$A:$D,MATCH(VLOOKUP(Coin3!$A175,Correspondance!$D:$E,2,FALSE),Coin1!$A:$A,0),2)</f>
        <v>53.805000000000007</v>
      </c>
      <c r="C175">
        <f>INDEX(Coin1!$A:$D,MATCH(VLOOKUP(Coin3!$A175,Correspondance!$D:$E,2,FALSE),Coin1!$A:$A,0),3)</f>
        <v>-0.35</v>
      </c>
      <c r="D175">
        <f>INDEX(Coin1!$A:$D,MATCH(VLOOKUP(Coin3!$A175,Correspondance!$D:$E,2,FALSE),Coin1!$A:$A,0),4)</f>
        <v>29.268068904621821</v>
      </c>
    </row>
    <row r="176" spans="1:4" x14ac:dyDescent="0.35">
      <c r="A176">
        <f t="shared" si="2"/>
        <v>1175</v>
      </c>
      <c r="B176">
        <f>2*$I$1-INDEX(Coin1!$A:$D,MATCH(VLOOKUP(Coin3!$A176,Correspondance!$D:$E,2,FALSE),Coin1!$A:$A,0),2)</f>
        <v>55.035000000000004</v>
      </c>
      <c r="C176">
        <f>INDEX(Coin1!$A:$D,MATCH(VLOOKUP(Coin3!$A176,Correspondance!$D:$E,2,FALSE),Coin1!$A:$A,0),3)</f>
        <v>-0.35</v>
      </c>
      <c r="D176">
        <f>INDEX(Coin1!$A:$D,MATCH(VLOOKUP(Coin3!$A176,Correspondance!$D:$E,2,FALSE),Coin1!$A:$A,0),4)</f>
        <v>29.268068904621821</v>
      </c>
    </row>
    <row r="177" spans="1:4" x14ac:dyDescent="0.35">
      <c r="A177">
        <f t="shared" si="2"/>
        <v>1176</v>
      </c>
      <c r="B177">
        <f>2*$I$1-INDEX(Coin1!$A:$D,MATCH(VLOOKUP(Coin3!$A177,Correspondance!$D:$E,2,FALSE),Coin1!$A:$A,0),2)</f>
        <v>56.099000000000004</v>
      </c>
      <c r="C177">
        <f>INDEX(Coin1!$A:$D,MATCH(VLOOKUP(Coin3!$A177,Correspondance!$D:$E,2,FALSE),Coin1!$A:$A,0),3)</f>
        <v>-0.35</v>
      </c>
      <c r="D177">
        <f>INDEX(Coin1!$A:$D,MATCH(VLOOKUP(Coin3!$A177,Correspondance!$D:$E,2,FALSE),Coin1!$A:$A,0),4)</f>
        <v>29.268068904621821</v>
      </c>
    </row>
    <row r="178" spans="1:4" x14ac:dyDescent="0.35">
      <c r="A178">
        <f t="shared" si="2"/>
        <v>1177</v>
      </c>
      <c r="B178">
        <f>2*$I$1-INDEX(Coin1!$A:$D,MATCH(VLOOKUP(Coin3!$A178,Correspondance!$D:$E,2,FALSE),Coin1!$A:$A,0),2)</f>
        <v>57.777948729810781</v>
      </c>
      <c r="C178">
        <f>INDEX(Coin1!$A:$D,MATCH(VLOOKUP(Coin3!$A178,Correspondance!$D:$E,2,FALSE),Coin1!$A:$A,0),3)</f>
        <v>-0.35</v>
      </c>
      <c r="D178">
        <f>INDEX(Coin1!$A:$D,MATCH(VLOOKUP(Coin3!$A178,Correspondance!$D:$E,2,FALSE),Coin1!$A:$A,0),4)</f>
        <v>29.268068904621821</v>
      </c>
    </row>
    <row r="179" spans="1:4" x14ac:dyDescent="0.35">
      <c r="A179">
        <f t="shared" si="2"/>
        <v>1178</v>
      </c>
      <c r="B179">
        <f>2*$I$1-INDEX(Coin1!$A:$D,MATCH(VLOOKUP(Coin3!$A179,Correspondance!$D:$E,2,FALSE),Coin1!$A:$A,0),2)</f>
        <v>60.607500000000002</v>
      </c>
      <c r="C179">
        <f>INDEX(Coin1!$A:$D,MATCH(VLOOKUP(Coin3!$A179,Correspondance!$D:$E,2,FALSE),Coin1!$A:$A,0),3)</f>
        <v>-0.35</v>
      </c>
      <c r="D179">
        <f>INDEX(Coin1!$A:$D,MATCH(VLOOKUP(Coin3!$A179,Correspondance!$D:$E,2,FALSE),Coin1!$A:$A,0),4)</f>
        <v>29.268068904621821</v>
      </c>
    </row>
    <row r="180" spans="1:4" x14ac:dyDescent="0.35">
      <c r="A180">
        <f t="shared" si="2"/>
        <v>1179</v>
      </c>
      <c r="B180">
        <f>2*$I$1-INDEX(Coin1!$A:$D,MATCH(VLOOKUP(Coin3!$A180,Correspondance!$D:$E,2,FALSE),Coin1!$A:$A,0),2)</f>
        <v>61.837500000000006</v>
      </c>
      <c r="C180">
        <f>INDEX(Coin1!$A:$D,MATCH(VLOOKUP(Coin3!$A180,Correspondance!$D:$E,2,FALSE),Coin1!$A:$A,0),3)</f>
        <v>-0.35</v>
      </c>
      <c r="D180">
        <f>INDEX(Coin1!$A:$D,MATCH(VLOOKUP(Coin3!$A180,Correspondance!$D:$E,2,FALSE),Coin1!$A:$A,0),4)</f>
        <v>29.268068904621821</v>
      </c>
    </row>
    <row r="181" spans="1:4" x14ac:dyDescent="0.35">
      <c r="A181">
        <f t="shared" si="2"/>
        <v>1180</v>
      </c>
      <c r="B181">
        <f>2*$I$1-INDEX(Coin1!$A:$D,MATCH(VLOOKUP(Coin3!$A181,Correspondance!$D:$E,2,FALSE),Coin1!$A:$A,0),2)</f>
        <v>64.667051270189233</v>
      </c>
      <c r="C181">
        <f>INDEX(Coin1!$A:$D,MATCH(VLOOKUP(Coin3!$A181,Correspondance!$D:$E,2,FALSE),Coin1!$A:$A,0),3)</f>
        <v>-0.35</v>
      </c>
      <c r="D181">
        <f>INDEX(Coin1!$A:$D,MATCH(VLOOKUP(Coin3!$A181,Correspondance!$D:$E,2,FALSE),Coin1!$A:$A,0),4)</f>
        <v>29.268068904621821</v>
      </c>
    </row>
    <row r="182" spans="1:4" x14ac:dyDescent="0.35">
      <c r="A182">
        <f t="shared" si="2"/>
        <v>1181</v>
      </c>
      <c r="B182">
        <f>2*$I$1-INDEX(Coin1!$A:$D,MATCH(VLOOKUP(Coin3!$A182,Correspondance!$D:$E,2,FALSE),Coin1!$A:$A,0),2)</f>
        <v>66.346000000000004</v>
      </c>
      <c r="C182">
        <f>INDEX(Coin1!$A:$D,MATCH(VLOOKUP(Coin3!$A182,Correspondance!$D:$E,2,FALSE),Coin1!$A:$A,0),3)</f>
        <v>-0.35</v>
      </c>
      <c r="D182">
        <f>INDEX(Coin1!$A:$D,MATCH(VLOOKUP(Coin3!$A182,Correspondance!$D:$E,2,FALSE),Coin1!$A:$A,0),4)</f>
        <v>29.268068904621821</v>
      </c>
    </row>
    <row r="183" spans="1:4" x14ac:dyDescent="0.35">
      <c r="A183">
        <f t="shared" si="2"/>
        <v>1182</v>
      </c>
      <c r="B183">
        <f>2*$I$1-INDEX(Coin1!$A:$D,MATCH(VLOOKUP(Coin3!$A183,Correspondance!$D:$E,2,FALSE),Coin1!$A:$A,0),2)</f>
        <v>68.025000000000006</v>
      </c>
      <c r="C183">
        <f>INDEX(Coin1!$A:$D,MATCH(VLOOKUP(Coin3!$A183,Correspondance!$D:$E,2,FALSE),Coin1!$A:$A,0),3)</f>
        <v>-0.35</v>
      </c>
      <c r="D183">
        <f>INDEX(Coin1!$A:$D,MATCH(VLOOKUP(Coin3!$A183,Correspondance!$D:$E,2,FALSE),Coin1!$A:$A,0),4)</f>
        <v>29.268068904621821</v>
      </c>
    </row>
    <row r="184" spans="1:4" x14ac:dyDescent="0.35">
      <c r="A184">
        <f t="shared" si="2"/>
        <v>1183</v>
      </c>
      <c r="B184">
        <f>2*$I$1-INDEX(Coin1!$A:$D,MATCH(VLOOKUP(Coin3!$A184,Correspondance!$D:$E,2,FALSE),Coin1!$A:$A,0),2)</f>
        <v>69.425000000000011</v>
      </c>
      <c r="C184">
        <f>INDEX(Coin1!$A:$D,MATCH(VLOOKUP(Coin3!$A184,Correspondance!$D:$E,2,FALSE),Coin1!$A:$A,0),3)</f>
        <v>-0.35</v>
      </c>
      <c r="D184">
        <f>INDEX(Coin1!$A:$D,MATCH(VLOOKUP(Coin3!$A184,Correspondance!$D:$E,2,FALSE),Coin1!$A:$A,0),4)</f>
        <v>29.268068904621821</v>
      </c>
    </row>
    <row r="185" spans="1:4" x14ac:dyDescent="0.35">
      <c r="A185">
        <f t="shared" si="2"/>
        <v>1184</v>
      </c>
      <c r="B185">
        <f>2*$I$1-INDEX(Coin1!$A:$D,MATCH(VLOOKUP(Coin3!$A185,Correspondance!$D:$E,2,FALSE),Coin1!$A:$A,0),2)</f>
        <v>56.099000000000004</v>
      </c>
      <c r="C185">
        <f>INDEX(Coin1!$A:$D,MATCH(VLOOKUP(Coin3!$A185,Correspondance!$D:$E,2,FALSE),Coin1!$A:$A,0),3)</f>
        <v>0</v>
      </c>
      <c r="D185">
        <f>INDEX(Coin1!$A:$D,MATCH(VLOOKUP(Coin3!$A185,Correspondance!$D:$E,2,FALSE),Coin1!$A:$A,0),4)</f>
        <v>29.268068904621821</v>
      </c>
    </row>
    <row r="186" spans="1:4" x14ac:dyDescent="0.35">
      <c r="A186">
        <f t="shared" si="2"/>
        <v>1185</v>
      </c>
      <c r="B186">
        <f>2*$I$1-INDEX(Coin1!$A:$D,MATCH(VLOOKUP(Coin3!$A186,Correspondance!$D:$E,2,FALSE),Coin1!$A:$A,0),2)</f>
        <v>66.346000000000004</v>
      </c>
      <c r="C186">
        <f>INDEX(Coin1!$A:$D,MATCH(VLOOKUP(Coin3!$A186,Correspondance!$D:$E,2,FALSE),Coin1!$A:$A,0),3)</f>
        <v>0</v>
      </c>
      <c r="D186">
        <f>INDEX(Coin1!$A:$D,MATCH(VLOOKUP(Coin3!$A186,Correspondance!$D:$E,2,FALSE),Coin1!$A:$A,0),4)</f>
        <v>29.268068904621821</v>
      </c>
    </row>
    <row r="187" spans="1:4" x14ac:dyDescent="0.35">
      <c r="A187">
        <f t="shared" si="2"/>
        <v>1186</v>
      </c>
      <c r="B187">
        <f>2*$I$1-INDEX(Coin1!$A:$D,MATCH(VLOOKUP(Coin3!$A187,Correspondance!$D:$E,2,FALSE),Coin1!$A:$A,0),2)</f>
        <v>69.425000000000011</v>
      </c>
      <c r="C187">
        <f>INDEX(Coin1!$A:$D,MATCH(VLOOKUP(Coin3!$A187,Correspondance!$D:$E,2,FALSE),Coin1!$A:$A,0),3)</f>
        <v>0</v>
      </c>
      <c r="D187">
        <f>INDEX(Coin1!$A:$D,MATCH(VLOOKUP(Coin3!$A187,Correspondance!$D:$E,2,FALSE),Coin1!$A:$A,0),4)</f>
        <v>29.268068904621821</v>
      </c>
    </row>
    <row r="188" spans="1:4" x14ac:dyDescent="0.35">
      <c r="A188">
        <f t="shared" si="2"/>
        <v>1187</v>
      </c>
      <c r="B188">
        <f>2*$I$1-INDEX(Coin1!$A:$D,MATCH(VLOOKUP(Coin3!$A188,Correspondance!$D:$E,2,FALSE),Coin1!$A:$A,0),2)</f>
        <v>69.425000000000011</v>
      </c>
      <c r="C188">
        <f>INDEX(Coin1!$A:$D,MATCH(VLOOKUP(Coin3!$A188,Correspondance!$D:$E,2,FALSE),Coin1!$A:$A,0),3)</f>
        <v>2.6930000000000001</v>
      </c>
      <c r="D188">
        <f>INDEX(Coin1!$A:$D,MATCH(VLOOKUP(Coin3!$A188,Correspondance!$D:$E,2,FALSE),Coin1!$A:$A,0),4)</f>
        <v>29.268068904621821</v>
      </c>
    </row>
    <row r="189" spans="1:4" x14ac:dyDescent="0.35">
      <c r="A189">
        <f t="shared" si="2"/>
        <v>1188</v>
      </c>
      <c r="B189">
        <f>2*$I$1-INDEX(Coin1!$A:$D,MATCH(VLOOKUP(Coin3!$A189,Correspondance!$D:$E,2,FALSE),Coin1!$A:$A,0),2)</f>
        <v>69.425000000000011</v>
      </c>
      <c r="C189">
        <f>INDEX(Coin1!$A:$D,MATCH(VLOOKUP(Coin3!$A189,Correspondance!$D:$E,2,FALSE),Coin1!$A:$A,0),3)</f>
        <v>5.3869999999999996</v>
      </c>
      <c r="D189">
        <f>INDEX(Coin1!$A:$D,MATCH(VLOOKUP(Coin3!$A189,Correspondance!$D:$E,2,FALSE),Coin1!$A:$A,0),4)</f>
        <v>29.268068904621821</v>
      </c>
    </row>
    <row r="190" spans="1:4" x14ac:dyDescent="0.35">
      <c r="A190">
        <f t="shared" si="2"/>
        <v>1189</v>
      </c>
      <c r="B190">
        <f>2*$I$1-INDEX(Coin1!$A:$D,MATCH(VLOOKUP(Coin3!$A190,Correspondance!$D:$E,2,FALSE),Coin1!$A:$A,0),2)</f>
        <v>56.099000000000004</v>
      </c>
      <c r="C190">
        <f>INDEX(Coin1!$A:$D,MATCH(VLOOKUP(Coin3!$A190,Correspondance!$D:$E,2,FALSE),Coin1!$A:$A,0),3)</f>
        <v>8.08</v>
      </c>
      <c r="D190">
        <f>INDEX(Coin1!$A:$D,MATCH(VLOOKUP(Coin3!$A190,Correspondance!$D:$E,2,FALSE),Coin1!$A:$A,0),4)</f>
        <v>29.268068904621821</v>
      </c>
    </row>
    <row r="191" spans="1:4" x14ac:dyDescent="0.35">
      <c r="A191">
        <f t="shared" si="2"/>
        <v>1190</v>
      </c>
      <c r="B191">
        <f>2*$I$1-INDEX(Coin1!$A:$D,MATCH(VLOOKUP(Coin3!$A191,Correspondance!$D:$E,2,FALSE),Coin1!$A:$A,0),2)</f>
        <v>66.346000000000004</v>
      </c>
      <c r="C191">
        <f>INDEX(Coin1!$A:$D,MATCH(VLOOKUP(Coin3!$A191,Correspondance!$D:$E,2,FALSE),Coin1!$A:$A,0),3)</f>
        <v>8.08</v>
      </c>
      <c r="D191">
        <f>INDEX(Coin1!$A:$D,MATCH(VLOOKUP(Coin3!$A191,Correspondance!$D:$E,2,FALSE),Coin1!$A:$A,0),4)</f>
        <v>29.268068904621821</v>
      </c>
    </row>
    <row r="192" spans="1:4" x14ac:dyDescent="0.35">
      <c r="A192">
        <f t="shared" si="2"/>
        <v>1191</v>
      </c>
      <c r="B192">
        <f>2*$I$1-INDEX(Coin1!$A:$D,MATCH(VLOOKUP(Coin3!$A192,Correspondance!$D:$E,2,FALSE),Coin1!$A:$A,0),2)</f>
        <v>69.425000000000011</v>
      </c>
      <c r="C192">
        <f>INDEX(Coin1!$A:$D,MATCH(VLOOKUP(Coin3!$A192,Correspondance!$D:$E,2,FALSE),Coin1!$A:$A,0),3)</f>
        <v>8.08</v>
      </c>
      <c r="D192">
        <f>INDEX(Coin1!$A:$D,MATCH(VLOOKUP(Coin3!$A192,Correspondance!$D:$E,2,FALSE),Coin1!$A:$A,0),4)</f>
        <v>29.268068904621821</v>
      </c>
    </row>
    <row r="193" spans="1:4" x14ac:dyDescent="0.35">
      <c r="A193">
        <f t="shared" si="2"/>
        <v>1192</v>
      </c>
      <c r="B193">
        <f>2*$I$1-INDEX(Coin1!$A:$D,MATCH(VLOOKUP(Coin3!$A193,Correspondance!$D:$E,2,FALSE),Coin1!$A:$A,0),2)</f>
        <v>69.425000000000011</v>
      </c>
      <c r="C193">
        <f>INDEX(Coin1!$A:$D,MATCH(VLOOKUP(Coin3!$A193,Correspondance!$D:$E,2,FALSE),Coin1!$A:$A,0),3)</f>
        <v>10.773</v>
      </c>
      <c r="D193">
        <f>INDEX(Coin1!$A:$D,MATCH(VLOOKUP(Coin3!$A193,Correspondance!$D:$E,2,FALSE),Coin1!$A:$A,0),4)</f>
        <v>29.268068904621821</v>
      </c>
    </row>
    <row r="194" spans="1:4" x14ac:dyDescent="0.35">
      <c r="A194">
        <f t="shared" si="2"/>
        <v>1193</v>
      </c>
      <c r="B194">
        <f>2*$I$1-INDEX(Coin1!$A:$D,MATCH(VLOOKUP(Coin3!$A194,Correspondance!$D:$E,2,FALSE),Coin1!$A:$A,0),2)</f>
        <v>69.425000000000011</v>
      </c>
      <c r="C194">
        <f>INDEX(Coin1!$A:$D,MATCH(VLOOKUP(Coin3!$A194,Correspondance!$D:$E,2,FALSE),Coin1!$A:$A,0),3)</f>
        <v>13.467000000000001</v>
      </c>
      <c r="D194">
        <f>INDEX(Coin1!$A:$D,MATCH(VLOOKUP(Coin3!$A194,Correspondance!$D:$E,2,FALSE),Coin1!$A:$A,0),4)</f>
        <v>29.268068904621821</v>
      </c>
    </row>
    <row r="195" spans="1:4" x14ac:dyDescent="0.35">
      <c r="A195">
        <f t="shared" si="2"/>
        <v>1194</v>
      </c>
      <c r="B195">
        <f>2*$I$1-INDEX(Coin1!$A:$D,MATCH(VLOOKUP(Coin3!$A195,Correspondance!$D:$E,2,FALSE),Coin1!$A:$A,0),2)</f>
        <v>56.099000000000004</v>
      </c>
      <c r="C195">
        <f>INDEX(Coin1!$A:$D,MATCH(VLOOKUP(Coin3!$A195,Correspondance!$D:$E,2,FALSE),Coin1!$A:$A,0),3)</f>
        <v>16.16</v>
      </c>
      <c r="D195">
        <f>INDEX(Coin1!$A:$D,MATCH(VLOOKUP(Coin3!$A195,Correspondance!$D:$E,2,FALSE),Coin1!$A:$A,0),4)</f>
        <v>29.268068904621821</v>
      </c>
    </row>
    <row r="196" spans="1:4" x14ac:dyDescent="0.35">
      <c r="A196">
        <f t="shared" ref="A196:A259" si="3">A195+1</f>
        <v>1195</v>
      </c>
      <c r="B196">
        <f>2*$I$1-INDEX(Coin1!$A:$D,MATCH(VLOOKUP(Coin3!$A196,Correspondance!$D:$E,2,FALSE),Coin1!$A:$A,0),2)</f>
        <v>60.607500000000002</v>
      </c>
      <c r="C196">
        <f>INDEX(Coin1!$A:$D,MATCH(VLOOKUP(Coin3!$A196,Correspondance!$D:$E,2,FALSE),Coin1!$A:$A,0),3)</f>
        <v>16.16</v>
      </c>
      <c r="D196">
        <f>INDEX(Coin1!$A:$D,MATCH(VLOOKUP(Coin3!$A196,Correspondance!$D:$E,2,FALSE),Coin1!$A:$A,0),4)</f>
        <v>29.268068904621821</v>
      </c>
    </row>
    <row r="197" spans="1:4" x14ac:dyDescent="0.35">
      <c r="A197">
        <f t="shared" si="3"/>
        <v>1196</v>
      </c>
      <c r="B197">
        <f>2*$I$1-INDEX(Coin1!$A:$D,MATCH(VLOOKUP(Coin3!$A197,Correspondance!$D:$E,2,FALSE),Coin1!$A:$A,0),2)</f>
        <v>61.837500000000006</v>
      </c>
      <c r="C197">
        <f>INDEX(Coin1!$A:$D,MATCH(VLOOKUP(Coin3!$A197,Correspondance!$D:$E,2,FALSE),Coin1!$A:$A,0),3)</f>
        <v>16.16</v>
      </c>
      <c r="D197">
        <f>INDEX(Coin1!$A:$D,MATCH(VLOOKUP(Coin3!$A197,Correspondance!$D:$E,2,FALSE),Coin1!$A:$A,0),4)</f>
        <v>29.268068904621821</v>
      </c>
    </row>
    <row r="198" spans="1:4" x14ac:dyDescent="0.35">
      <c r="A198">
        <f t="shared" si="3"/>
        <v>1197</v>
      </c>
      <c r="B198">
        <f>2*$I$1-INDEX(Coin1!$A:$D,MATCH(VLOOKUP(Coin3!$A198,Correspondance!$D:$E,2,FALSE),Coin1!$A:$A,0),2)</f>
        <v>66.346000000000004</v>
      </c>
      <c r="C198">
        <f>INDEX(Coin1!$A:$D,MATCH(VLOOKUP(Coin3!$A198,Correspondance!$D:$E,2,FALSE),Coin1!$A:$A,0),3)</f>
        <v>16.16</v>
      </c>
      <c r="D198">
        <f>INDEX(Coin1!$A:$D,MATCH(VLOOKUP(Coin3!$A198,Correspondance!$D:$E,2,FALSE),Coin1!$A:$A,0),4)</f>
        <v>29.268068904621821</v>
      </c>
    </row>
    <row r="199" spans="1:4" x14ac:dyDescent="0.35">
      <c r="A199">
        <f t="shared" si="3"/>
        <v>1198</v>
      </c>
      <c r="B199">
        <f>2*$I$1-INDEX(Coin1!$A:$D,MATCH(VLOOKUP(Coin3!$A199,Correspondance!$D:$E,2,FALSE),Coin1!$A:$A,0),2)</f>
        <v>69.425000000000011</v>
      </c>
      <c r="C199">
        <f>INDEX(Coin1!$A:$D,MATCH(VLOOKUP(Coin3!$A199,Correspondance!$D:$E,2,FALSE),Coin1!$A:$A,0),3)</f>
        <v>16.16</v>
      </c>
      <c r="D199">
        <f>INDEX(Coin1!$A:$D,MATCH(VLOOKUP(Coin3!$A199,Correspondance!$D:$E,2,FALSE),Coin1!$A:$A,0),4)</f>
        <v>29.268068904621821</v>
      </c>
    </row>
    <row r="200" spans="1:4" x14ac:dyDescent="0.35">
      <c r="A200">
        <f t="shared" si="3"/>
        <v>1199</v>
      </c>
      <c r="B200">
        <f>2*$I$1-INDEX(Coin1!$A:$D,MATCH(VLOOKUP(Coin3!$A200,Correspondance!$D:$E,2,FALSE),Coin1!$A:$A,0),2)</f>
        <v>60.607500000000002</v>
      </c>
      <c r="C200">
        <f>INDEX(Coin1!$A:$D,MATCH(VLOOKUP(Coin3!$A200,Correspondance!$D:$E,2,FALSE),Coin1!$A:$A,0),3)</f>
        <v>-0.35</v>
      </c>
      <c r="D200">
        <f>INDEX(Coin1!$A:$D,MATCH(VLOOKUP(Coin3!$A200,Correspondance!$D:$E,2,FALSE),Coin1!$A:$A,0),4)</f>
        <v>29.75</v>
      </c>
    </row>
    <row r="201" spans="1:4" x14ac:dyDescent="0.35">
      <c r="A201">
        <f t="shared" si="3"/>
        <v>1200</v>
      </c>
      <c r="B201">
        <f>2*$I$1-INDEX(Coin1!$A:$D,MATCH(VLOOKUP(Coin3!$A201,Correspondance!$D:$E,2,FALSE),Coin1!$A:$A,0),2)</f>
        <v>61.837500000000006</v>
      </c>
      <c r="C201">
        <f>INDEX(Coin1!$A:$D,MATCH(VLOOKUP(Coin3!$A201,Correspondance!$D:$E,2,FALSE),Coin1!$A:$A,0),3)</f>
        <v>-0.35</v>
      </c>
      <c r="D201">
        <f>INDEX(Coin1!$A:$D,MATCH(VLOOKUP(Coin3!$A201,Correspondance!$D:$E,2,FALSE),Coin1!$A:$A,0),4)</f>
        <v>29.75</v>
      </c>
    </row>
    <row r="202" spans="1:4" x14ac:dyDescent="0.35">
      <c r="A202">
        <f t="shared" si="3"/>
        <v>1201</v>
      </c>
      <c r="B202">
        <f>2*$I$1-INDEX(Coin1!$A:$D,MATCH(VLOOKUP(Coin3!$A202,Correspondance!$D:$E,2,FALSE),Coin1!$A:$A,0),2)</f>
        <v>60.607500000000002</v>
      </c>
      <c r="C202">
        <f>INDEX(Coin1!$A:$D,MATCH(VLOOKUP(Coin3!$A202,Correspondance!$D:$E,2,FALSE),Coin1!$A:$A,0),3)</f>
        <v>16.16</v>
      </c>
      <c r="D202">
        <f>INDEX(Coin1!$A:$D,MATCH(VLOOKUP(Coin3!$A202,Correspondance!$D:$E,2,FALSE),Coin1!$A:$A,0),4)</f>
        <v>29.75</v>
      </c>
    </row>
    <row r="203" spans="1:4" x14ac:dyDescent="0.35">
      <c r="A203">
        <f t="shared" si="3"/>
        <v>1202</v>
      </c>
      <c r="B203">
        <f>2*$I$1-INDEX(Coin1!$A:$D,MATCH(VLOOKUP(Coin3!$A203,Correspondance!$D:$E,2,FALSE),Coin1!$A:$A,0),2)</f>
        <v>61.837500000000006</v>
      </c>
      <c r="C203">
        <f>INDEX(Coin1!$A:$D,MATCH(VLOOKUP(Coin3!$A203,Correspondance!$D:$E,2,FALSE),Coin1!$A:$A,0),3)</f>
        <v>16.16</v>
      </c>
      <c r="D203">
        <f>INDEX(Coin1!$A:$D,MATCH(VLOOKUP(Coin3!$A203,Correspondance!$D:$E,2,FALSE),Coin1!$A:$A,0),4)</f>
        <v>29.75</v>
      </c>
    </row>
    <row r="204" spans="1:4" x14ac:dyDescent="0.35">
      <c r="A204">
        <f t="shared" si="3"/>
        <v>1203</v>
      </c>
      <c r="B204">
        <f>2*$I$1-INDEX(Coin1!$A:$D,MATCH(VLOOKUP(Coin3!$A204,Correspondance!$D:$E,2,FALSE),Coin1!$A:$A,0),2)</f>
        <v>55.035000000000004</v>
      </c>
      <c r="C204">
        <f>INDEX(Coin1!$A:$D,MATCH(VLOOKUP(Coin3!$A204,Correspondance!$D:$E,2,FALSE),Coin1!$A:$A,0),3)</f>
        <v>-0.35</v>
      </c>
      <c r="D204">
        <f>INDEX(Coin1!$A:$D,MATCH(VLOOKUP(Coin3!$A204,Correspondance!$D:$E,2,FALSE),Coin1!$A:$A,0),4)</f>
        <v>32.176137809243642</v>
      </c>
    </row>
    <row r="205" spans="1:4" x14ac:dyDescent="0.35">
      <c r="A205">
        <f t="shared" si="3"/>
        <v>1204</v>
      </c>
      <c r="B205">
        <f>2*$I$1-INDEX(Coin1!$A:$D,MATCH(VLOOKUP(Coin3!$A205,Correspondance!$D:$E,2,FALSE),Coin1!$A:$A,0),2)</f>
        <v>57.778000000000006</v>
      </c>
      <c r="C205">
        <f>INDEX(Coin1!$A:$D,MATCH(VLOOKUP(Coin3!$A205,Correspondance!$D:$E,2,FALSE),Coin1!$A:$A,0),3)</f>
        <v>-0.35</v>
      </c>
      <c r="D205">
        <f>INDEX(Coin1!$A:$D,MATCH(VLOOKUP(Coin3!$A205,Correspondance!$D:$E,2,FALSE),Coin1!$A:$A,0),4)</f>
        <v>32.176137809243642</v>
      </c>
    </row>
    <row r="206" spans="1:4" x14ac:dyDescent="0.35">
      <c r="A206">
        <f t="shared" si="3"/>
        <v>1205</v>
      </c>
      <c r="B206">
        <f>2*$I$1-INDEX(Coin1!$A:$D,MATCH(VLOOKUP(Coin3!$A206,Correspondance!$D:$E,2,FALSE),Coin1!$A:$A,0),2)</f>
        <v>57.777948729810781</v>
      </c>
      <c r="C206">
        <f>INDEX(Coin1!$A:$D,MATCH(VLOOKUP(Coin3!$A206,Correspondance!$D:$E,2,FALSE),Coin1!$A:$A,0),3)</f>
        <v>-0.35</v>
      </c>
      <c r="D206">
        <f>INDEX(Coin1!$A:$D,MATCH(VLOOKUP(Coin3!$A206,Correspondance!$D:$E,2,FALSE),Coin1!$A:$A,0),4)</f>
        <v>32.176137809243642</v>
      </c>
    </row>
    <row r="207" spans="1:4" x14ac:dyDescent="0.35">
      <c r="A207">
        <f t="shared" si="3"/>
        <v>1206</v>
      </c>
      <c r="B207">
        <f>2*$I$1-INDEX(Coin1!$A:$D,MATCH(VLOOKUP(Coin3!$A207,Correspondance!$D:$E,2,FALSE),Coin1!$A:$A,0),2)</f>
        <v>60.607500000000002</v>
      </c>
      <c r="C207">
        <f>INDEX(Coin1!$A:$D,MATCH(VLOOKUP(Coin3!$A207,Correspondance!$D:$E,2,FALSE),Coin1!$A:$A,0),3)</f>
        <v>-0.35</v>
      </c>
      <c r="D207">
        <f>INDEX(Coin1!$A:$D,MATCH(VLOOKUP(Coin3!$A207,Correspondance!$D:$E,2,FALSE),Coin1!$A:$A,0),4)</f>
        <v>32.176137809243642</v>
      </c>
    </row>
    <row r="208" spans="1:4" x14ac:dyDescent="0.35">
      <c r="A208">
        <f t="shared" si="3"/>
        <v>1207</v>
      </c>
      <c r="B208">
        <f>2*$I$1-INDEX(Coin1!$A:$D,MATCH(VLOOKUP(Coin3!$A208,Correspondance!$D:$E,2,FALSE),Coin1!$A:$A,0),2)</f>
        <v>61.837500000000006</v>
      </c>
      <c r="C208">
        <f>INDEX(Coin1!$A:$D,MATCH(VLOOKUP(Coin3!$A208,Correspondance!$D:$E,2,FALSE),Coin1!$A:$A,0),3)</f>
        <v>-0.35</v>
      </c>
      <c r="D208">
        <f>INDEX(Coin1!$A:$D,MATCH(VLOOKUP(Coin3!$A208,Correspondance!$D:$E,2,FALSE),Coin1!$A:$A,0),4)</f>
        <v>32.176137809243642</v>
      </c>
    </row>
    <row r="209" spans="1:4" x14ac:dyDescent="0.35">
      <c r="A209">
        <f t="shared" si="3"/>
        <v>1208</v>
      </c>
      <c r="B209">
        <f>2*$I$1-INDEX(Coin1!$A:$D,MATCH(VLOOKUP(Coin3!$A209,Correspondance!$D:$E,2,FALSE),Coin1!$A:$A,0),2)</f>
        <v>64.667051270189233</v>
      </c>
      <c r="C209">
        <f>INDEX(Coin1!$A:$D,MATCH(VLOOKUP(Coin3!$A209,Correspondance!$D:$E,2,FALSE),Coin1!$A:$A,0),3)</f>
        <v>-0.35</v>
      </c>
      <c r="D209">
        <f>INDEX(Coin1!$A:$D,MATCH(VLOOKUP(Coin3!$A209,Correspondance!$D:$E,2,FALSE),Coin1!$A:$A,0),4)</f>
        <v>32.176137809243642</v>
      </c>
    </row>
    <row r="210" spans="1:4" x14ac:dyDescent="0.35">
      <c r="A210">
        <f t="shared" si="3"/>
        <v>1209</v>
      </c>
      <c r="B210">
        <f>2*$I$1-INDEX(Coin1!$A:$D,MATCH(VLOOKUP(Coin3!$A210,Correspondance!$D:$E,2,FALSE),Coin1!$A:$A,0),2)</f>
        <v>64.667000000000002</v>
      </c>
      <c r="C210">
        <f>INDEX(Coin1!$A:$D,MATCH(VLOOKUP(Coin3!$A210,Correspondance!$D:$E,2,FALSE),Coin1!$A:$A,0),3)</f>
        <v>-0.35</v>
      </c>
      <c r="D210">
        <f>INDEX(Coin1!$A:$D,MATCH(VLOOKUP(Coin3!$A210,Correspondance!$D:$E,2,FALSE),Coin1!$A:$A,0),4)</f>
        <v>32.176137809243642</v>
      </c>
    </row>
    <row r="211" spans="1:4" x14ac:dyDescent="0.35">
      <c r="A211">
        <f t="shared" si="3"/>
        <v>1210</v>
      </c>
      <c r="B211">
        <f>2*$I$1-INDEX(Coin1!$A:$D,MATCH(VLOOKUP(Coin3!$A211,Correspondance!$D:$E,2,FALSE),Coin1!$A:$A,0),2)</f>
        <v>69.425000000000011</v>
      </c>
      <c r="C211">
        <f>INDEX(Coin1!$A:$D,MATCH(VLOOKUP(Coin3!$A211,Correspondance!$D:$E,2,FALSE),Coin1!$A:$A,0),3)</f>
        <v>-0.35</v>
      </c>
      <c r="D211">
        <f>INDEX(Coin1!$A:$D,MATCH(VLOOKUP(Coin3!$A211,Correspondance!$D:$E,2,FALSE),Coin1!$A:$A,0),4)</f>
        <v>32.176137809243642</v>
      </c>
    </row>
    <row r="212" spans="1:4" x14ac:dyDescent="0.35">
      <c r="A212">
        <f t="shared" si="3"/>
        <v>1211</v>
      </c>
      <c r="B212">
        <f>2*$I$1-INDEX(Coin1!$A:$D,MATCH(VLOOKUP(Coin3!$A212,Correspondance!$D:$E,2,FALSE),Coin1!$A:$A,0),2)</f>
        <v>57.778000000000006</v>
      </c>
      <c r="C212">
        <f>INDEX(Coin1!$A:$D,MATCH(VLOOKUP(Coin3!$A212,Correspondance!$D:$E,2,FALSE),Coin1!$A:$A,0),3)</f>
        <v>0</v>
      </c>
      <c r="D212">
        <f>INDEX(Coin1!$A:$D,MATCH(VLOOKUP(Coin3!$A212,Correspondance!$D:$E,2,FALSE),Coin1!$A:$A,0),4)</f>
        <v>32.176137809243642</v>
      </c>
    </row>
    <row r="213" spans="1:4" x14ac:dyDescent="0.35">
      <c r="A213">
        <f t="shared" si="3"/>
        <v>1212</v>
      </c>
      <c r="B213">
        <f>2*$I$1-INDEX(Coin1!$A:$D,MATCH(VLOOKUP(Coin3!$A213,Correspondance!$D:$E,2,FALSE),Coin1!$A:$A,0),2)</f>
        <v>64.667000000000002</v>
      </c>
      <c r="C213">
        <f>INDEX(Coin1!$A:$D,MATCH(VLOOKUP(Coin3!$A213,Correspondance!$D:$E,2,FALSE),Coin1!$A:$A,0),3)</f>
        <v>0</v>
      </c>
      <c r="D213">
        <f>INDEX(Coin1!$A:$D,MATCH(VLOOKUP(Coin3!$A213,Correspondance!$D:$E,2,FALSE),Coin1!$A:$A,0),4)</f>
        <v>32.176137809243642</v>
      </c>
    </row>
    <row r="214" spans="1:4" x14ac:dyDescent="0.35">
      <c r="A214">
        <f t="shared" si="3"/>
        <v>1213</v>
      </c>
      <c r="B214">
        <f>2*$I$1-INDEX(Coin1!$A:$D,MATCH(VLOOKUP(Coin3!$A214,Correspondance!$D:$E,2,FALSE),Coin1!$A:$A,0),2)</f>
        <v>69.425000000000011</v>
      </c>
      <c r="C214">
        <f>INDEX(Coin1!$A:$D,MATCH(VLOOKUP(Coin3!$A214,Correspondance!$D:$E,2,FALSE),Coin1!$A:$A,0),3)</f>
        <v>0</v>
      </c>
      <c r="D214">
        <f>INDEX(Coin1!$A:$D,MATCH(VLOOKUP(Coin3!$A214,Correspondance!$D:$E,2,FALSE),Coin1!$A:$A,0),4)</f>
        <v>32.176137809243642</v>
      </c>
    </row>
    <row r="215" spans="1:4" x14ac:dyDescent="0.35">
      <c r="A215">
        <f t="shared" si="3"/>
        <v>1214</v>
      </c>
      <c r="B215">
        <f>2*$I$1-INDEX(Coin1!$A:$D,MATCH(VLOOKUP(Coin3!$A215,Correspondance!$D:$E,2,FALSE),Coin1!$A:$A,0),2)</f>
        <v>69.425000000000011</v>
      </c>
      <c r="C215">
        <f>INDEX(Coin1!$A:$D,MATCH(VLOOKUP(Coin3!$A215,Correspondance!$D:$E,2,FALSE),Coin1!$A:$A,0),3)</f>
        <v>2.6930000000000001</v>
      </c>
      <c r="D215">
        <f>INDEX(Coin1!$A:$D,MATCH(VLOOKUP(Coin3!$A215,Correspondance!$D:$E,2,FALSE),Coin1!$A:$A,0),4)</f>
        <v>32.176137809243642</v>
      </c>
    </row>
    <row r="216" spans="1:4" x14ac:dyDescent="0.35">
      <c r="A216">
        <f t="shared" si="3"/>
        <v>1215</v>
      </c>
      <c r="B216">
        <f>2*$I$1-INDEX(Coin1!$A:$D,MATCH(VLOOKUP(Coin3!$A216,Correspondance!$D:$E,2,FALSE),Coin1!$A:$A,0),2)</f>
        <v>69.425000000000011</v>
      </c>
      <c r="C216">
        <f>INDEX(Coin1!$A:$D,MATCH(VLOOKUP(Coin3!$A216,Correspondance!$D:$E,2,FALSE),Coin1!$A:$A,0),3)</f>
        <v>5.3869999999999996</v>
      </c>
      <c r="D216">
        <f>INDEX(Coin1!$A:$D,MATCH(VLOOKUP(Coin3!$A216,Correspondance!$D:$E,2,FALSE),Coin1!$A:$A,0),4)</f>
        <v>32.176137809243642</v>
      </c>
    </row>
    <row r="217" spans="1:4" x14ac:dyDescent="0.35">
      <c r="A217">
        <f t="shared" si="3"/>
        <v>1216</v>
      </c>
      <c r="B217">
        <f>2*$I$1-INDEX(Coin1!$A:$D,MATCH(VLOOKUP(Coin3!$A217,Correspondance!$D:$E,2,FALSE),Coin1!$A:$A,0),2)</f>
        <v>57.778000000000006</v>
      </c>
      <c r="C217">
        <f>INDEX(Coin1!$A:$D,MATCH(VLOOKUP(Coin3!$A217,Correspondance!$D:$E,2,FALSE),Coin1!$A:$A,0),3)</f>
        <v>8.08</v>
      </c>
      <c r="D217">
        <f>INDEX(Coin1!$A:$D,MATCH(VLOOKUP(Coin3!$A217,Correspondance!$D:$E,2,FALSE),Coin1!$A:$A,0),4)</f>
        <v>32.176137809243642</v>
      </c>
    </row>
    <row r="218" spans="1:4" x14ac:dyDescent="0.35">
      <c r="A218">
        <f t="shared" si="3"/>
        <v>1217</v>
      </c>
      <c r="B218">
        <f>2*$I$1-INDEX(Coin1!$A:$D,MATCH(VLOOKUP(Coin3!$A218,Correspondance!$D:$E,2,FALSE),Coin1!$A:$A,0),2)</f>
        <v>64.667000000000002</v>
      </c>
      <c r="C218">
        <f>INDEX(Coin1!$A:$D,MATCH(VLOOKUP(Coin3!$A218,Correspondance!$D:$E,2,FALSE),Coin1!$A:$A,0),3)</f>
        <v>8.08</v>
      </c>
      <c r="D218">
        <f>INDEX(Coin1!$A:$D,MATCH(VLOOKUP(Coin3!$A218,Correspondance!$D:$E,2,FALSE),Coin1!$A:$A,0),4)</f>
        <v>32.176137809243642</v>
      </c>
    </row>
    <row r="219" spans="1:4" x14ac:dyDescent="0.35">
      <c r="A219">
        <f t="shared" si="3"/>
        <v>1218</v>
      </c>
      <c r="B219">
        <f>2*$I$1-INDEX(Coin1!$A:$D,MATCH(VLOOKUP(Coin3!$A219,Correspondance!$D:$E,2,FALSE),Coin1!$A:$A,0),2)</f>
        <v>69.425000000000011</v>
      </c>
      <c r="C219">
        <f>INDEX(Coin1!$A:$D,MATCH(VLOOKUP(Coin3!$A219,Correspondance!$D:$E,2,FALSE),Coin1!$A:$A,0),3)</f>
        <v>8.08</v>
      </c>
      <c r="D219">
        <f>INDEX(Coin1!$A:$D,MATCH(VLOOKUP(Coin3!$A219,Correspondance!$D:$E,2,FALSE),Coin1!$A:$A,0),4)</f>
        <v>32.176137809243642</v>
      </c>
    </row>
    <row r="220" spans="1:4" x14ac:dyDescent="0.35">
      <c r="A220">
        <f t="shared" si="3"/>
        <v>1219</v>
      </c>
      <c r="B220">
        <f>2*$I$1-INDEX(Coin1!$A:$D,MATCH(VLOOKUP(Coin3!$A220,Correspondance!$D:$E,2,FALSE),Coin1!$A:$A,0),2)</f>
        <v>69.425000000000011</v>
      </c>
      <c r="C220">
        <f>INDEX(Coin1!$A:$D,MATCH(VLOOKUP(Coin3!$A220,Correspondance!$D:$E,2,FALSE),Coin1!$A:$A,0),3)</f>
        <v>10.773</v>
      </c>
      <c r="D220">
        <f>INDEX(Coin1!$A:$D,MATCH(VLOOKUP(Coin3!$A220,Correspondance!$D:$E,2,FALSE),Coin1!$A:$A,0),4)</f>
        <v>32.176137809243642</v>
      </c>
    </row>
    <row r="221" spans="1:4" x14ac:dyDescent="0.35">
      <c r="A221">
        <f t="shared" si="3"/>
        <v>1220</v>
      </c>
      <c r="B221">
        <f>2*$I$1-INDEX(Coin1!$A:$D,MATCH(VLOOKUP(Coin3!$A221,Correspondance!$D:$E,2,FALSE),Coin1!$A:$A,0),2)</f>
        <v>69.425000000000011</v>
      </c>
      <c r="C221">
        <f>INDEX(Coin1!$A:$D,MATCH(VLOOKUP(Coin3!$A221,Correspondance!$D:$E,2,FALSE),Coin1!$A:$A,0),3)</f>
        <v>13.467000000000001</v>
      </c>
      <c r="D221">
        <f>INDEX(Coin1!$A:$D,MATCH(VLOOKUP(Coin3!$A221,Correspondance!$D:$E,2,FALSE),Coin1!$A:$A,0),4)</f>
        <v>32.176137809243642</v>
      </c>
    </row>
    <row r="222" spans="1:4" x14ac:dyDescent="0.35">
      <c r="A222">
        <f t="shared" si="3"/>
        <v>1221</v>
      </c>
      <c r="B222">
        <f>2*$I$1-INDEX(Coin1!$A:$D,MATCH(VLOOKUP(Coin3!$A222,Correspondance!$D:$E,2,FALSE),Coin1!$A:$A,0),2)</f>
        <v>57.778000000000006</v>
      </c>
      <c r="C222">
        <f>INDEX(Coin1!$A:$D,MATCH(VLOOKUP(Coin3!$A222,Correspondance!$D:$E,2,FALSE),Coin1!$A:$A,0),3)</f>
        <v>16.16</v>
      </c>
      <c r="D222">
        <f>INDEX(Coin1!$A:$D,MATCH(VLOOKUP(Coin3!$A222,Correspondance!$D:$E,2,FALSE),Coin1!$A:$A,0),4)</f>
        <v>32.176137809243642</v>
      </c>
    </row>
    <row r="223" spans="1:4" x14ac:dyDescent="0.35">
      <c r="A223">
        <f t="shared" si="3"/>
        <v>1222</v>
      </c>
      <c r="B223">
        <f>2*$I$1-INDEX(Coin1!$A:$D,MATCH(VLOOKUP(Coin3!$A223,Correspondance!$D:$E,2,FALSE),Coin1!$A:$A,0),2)</f>
        <v>60.607500000000002</v>
      </c>
      <c r="C223">
        <f>INDEX(Coin1!$A:$D,MATCH(VLOOKUP(Coin3!$A223,Correspondance!$D:$E,2,FALSE),Coin1!$A:$A,0),3)</f>
        <v>16.16</v>
      </c>
      <c r="D223">
        <f>INDEX(Coin1!$A:$D,MATCH(VLOOKUP(Coin3!$A223,Correspondance!$D:$E,2,FALSE),Coin1!$A:$A,0),4)</f>
        <v>32.176137809243642</v>
      </c>
    </row>
    <row r="224" spans="1:4" x14ac:dyDescent="0.35">
      <c r="A224">
        <f t="shared" si="3"/>
        <v>1223</v>
      </c>
      <c r="B224">
        <f>2*$I$1-INDEX(Coin1!$A:$D,MATCH(VLOOKUP(Coin3!$A224,Correspondance!$D:$E,2,FALSE),Coin1!$A:$A,0),2)</f>
        <v>61.837500000000006</v>
      </c>
      <c r="C224">
        <f>INDEX(Coin1!$A:$D,MATCH(VLOOKUP(Coin3!$A224,Correspondance!$D:$E,2,FALSE),Coin1!$A:$A,0),3)</f>
        <v>16.16</v>
      </c>
      <c r="D224">
        <f>INDEX(Coin1!$A:$D,MATCH(VLOOKUP(Coin3!$A224,Correspondance!$D:$E,2,FALSE),Coin1!$A:$A,0),4)</f>
        <v>32.176137809243642</v>
      </c>
    </row>
    <row r="225" spans="1:4" x14ac:dyDescent="0.35">
      <c r="A225">
        <f t="shared" si="3"/>
        <v>1224</v>
      </c>
      <c r="B225">
        <f>2*$I$1-INDEX(Coin1!$A:$D,MATCH(VLOOKUP(Coin3!$A225,Correspondance!$D:$E,2,FALSE),Coin1!$A:$A,0),2)</f>
        <v>64.667000000000002</v>
      </c>
      <c r="C225">
        <f>INDEX(Coin1!$A:$D,MATCH(VLOOKUP(Coin3!$A225,Correspondance!$D:$E,2,FALSE),Coin1!$A:$A,0),3)</f>
        <v>16.16</v>
      </c>
      <c r="D225">
        <f>INDEX(Coin1!$A:$D,MATCH(VLOOKUP(Coin3!$A225,Correspondance!$D:$E,2,FALSE),Coin1!$A:$A,0),4)</f>
        <v>32.176137809243642</v>
      </c>
    </row>
    <row r="226" spans="1:4" x14ac:dyDescent="0.35">
      <c r="A226">
        <f t="shared" si="3"/>
        <v>1225</v>
      </c>
      <c r="B226">
        <f>2*$I$1-INDEX(Coin1!$A:$D,MATCH(VLOOKUP(Coin3!$A226,Correspondance!$D:$E,2,FALSE),Coin1!$A:$A,0),2)</f>
        <v>69.425000000000011</v>
      </c>
      <c r="C226">
        <f>INDEX(Coin1!$A:$D,MATCH(VLOOKUP(Coin3!$A226,Correspondance!$D:$E,2,FALSE),Coin1!$A:$A,0),3)</f>
        <v>16.16</v>
      </c>
      <c r="D226">
        <f>INDEX(Coin1!$A:$D,MATCH(VLOOKUP(Coin3!$A226,Correspondance!$D:$E,2,FALSE),Coin1!$A:$A,0),4)</f>
        <v>32.176137809243642</v>
      </c>
    </row>
    <row r="227" spans="1:4" x14ac:dyDescent="0.35">
      <c r="A227">
        <f t="shared" si="3"/>
        <v>1226</v>
      </c>
      <c r="B227">
        <f>2*$I$1-INDEX(Coin1!$A:$D,MATCH(VLOOKUP(Coin3!$A227,Correspondance!$D:$E,2,FALSE),Coin1!$A:$A,0),2)</f>
        <v>53.805000000000007</v>
      </c>
      <c r="C227">
        <f>INDEX(Coin1!$A:$D,MATCH(VLOOKUP(Coin3!$A227,Correspondance!$D:$E,2,FALSE),Coin1!$A:$A,0),3)</f>
        <v>-0.35</v>
      </c>
      <c r="D227">
        <f>INDEX(Coin1!$A:$D,MATCH(VLOOKUP(Coin3!$A227,Correspondance!$D:$E,2,FALSE),Coin1!$A:$A,0),4)</f>
        <v>32.176137809243642</v>
      </c>
    </row>
    <row r="228" spans="1:4" x14ac:dyDescent="0.35">
      <c r="A228">
        <f t="shared" si="3"/>
        <v>1227</v>
      </c>
      <c r="B228">
        <f>2*$I$1-INDEX(Coin1!$A:$D,MATCH(VLOOKUP(Coin3!$A228,Correspondance!$D:$E,2,FALSE),Coin1!$A:$A,0),2)</f>
        <v>55.035000000000004</v>
      </c>
      <c r="C228">
        <f>INDEX(Coin1!$A:$D,MATCH(VLOOKUP(Coin3!$A228,Correspondance!$D:$E,2,FALSE),Coin1!$A:$A,0),3)</f>
        <v>-0.35</v>
      </c>
      <c r="D228">
        <f>INDEX(Coin1!$A:$D,MATCH(VLOOKUP(Coin3!$A228,Correspondance!$D:$E,2,FALSE),Coin1!$A:$A,0),4)</f>
        <v>32.176137809243642</v>
      </c>
    </row>
    <row r="229" spans="1:4" x14ac:dyDescent="0.35">
      <c r="A229">
        <f t="shared" si="3"/>
        <v>1228</v>
      </c>
      <c r="B229">
        <f>2*$I$1-INDEX(Coin1!$A:$D,MATCH(VLOOKUP(Coin3!$A229,Correspondance!$D:$E,2,FALSE),Coin1!$A:$A,0),2)</f>
        <v>57.777948729810781</v>
      </c>
      <c r="C229">
        <f>INDEX(Coin1!$A:$D,MATCH(VLOOKUP(Coin3!$A229,Correspondance!$D:$E,2,FALSE),Coin1!$A:$A,0),3)</f>
        <v>-0.35</v>
      </c>
      <c r="D229">
        <f>INDEX(Coin1!$A:$D,MATCH(VLOOKUP(Coin3!$A229,Correspondance!$D:$E,2,FALSE),Coin1!$A:$A,0),4)</f>
        <v>32.176137809243642</v>
      </c>
    </row>
    <row r="230" spans="1:4" x14ac:dyDescent="0.35">
      <c r="A230">
        <f t="shared" si="3"/>
        <v>1229</v>
      </c>
      <c r="B230">
        <f>2*$I$1-INDEX(Coin1!$A:$D,MATCH(VLOOKUP(Coin3!$A230,Correspondance!$D:$E,2,FALSE),Coin1!$A:$A,0),2)</f>
        <v>60.607500000000002</v>
      </c>
      <c r="C230">
        <f>INDEX(Coin1!$A:$D,MATCH(VLOOKUP(Coin3!$A230,Correspondance!$D:$E,2,FALSE),Coin1!$A:$A,0),3)</f>
        <v>-0.35</v>
      </c>
      <c r="D230">
        <f>INDEX(Coin1!$A:$D,MATCH(VLOOKUP(Coin3!$A230,Correspondance!$D:$E,2,FALSE),Coin1!$A:$A,0),4)</f>
        <v>32.176137809243642</v>
      </c>
    </row>
    <row r="231" spans="1:4" x14ac:dyDescent="0.35">
      <c r="A231">
        <f t="shared" si="3"/>
        <v>1230</v>
      </c>
      <c r="B231">
        <f>2*$I$1-INDEX(Coin1!$A:$D,MATCH(VLOOKUP(Coin3!$A231,Correspondance!$D:$E,2,FALSE),Coin1!$A:$A,0),2)</f>
        <v>61.837500000000006</v>
      </c>
      <c r="C231">
        <f>INDEX(Coin1!$A:$D,MATCH(VLOOKUP(Coin3!$A231,Correspondance!$D:$E,2,FALSE),Coin1!$A:$A,0),3)</f>
        <v>-0.35</v>
      </c>
      <c r="D231">
        <f>INDEX(Coin1!$A:$D,MATCH(VLOOKUP(Coin3!$A231,Correspondance!$D:$E,2,FALSE),Coin1!$A:$A,0),4)</f>
        <v>32.176137809243642</v>
      </c>
    </row>
    <row r="232" spans="1:4" x14ac:dyDescent="0.35">
      <c r="A232">
        <f t="shared" si="3"/>
        <v>1231</v>
      </c>
      <c r="B232">
        <f>2*$I$1-INDEX(Coin1!$A:$D,MATCH(VLOOKUP(Coin3!$A232,Correspondance!$D:$E,2,FALSE),Coin1!$A:$A,0),2)</f>
        <v>64.667051270189233</v>
      </c>
      <c r="C232">
        <f>INDEX(Coin1!$A:$D,MATCH(VLOOKUP(Coin3!$A232,Correspondance!$D:$E,2,FALSE),Coin1!$A:$A,0),3)</f>
        <v>-0.35</v>
      </c>
      <c r="D232">
        <f>INDEX(Coin1!$A:$D,MATCH(VLOOKUP(Coin3!$A232,Correspondance!$D:$E,2,FALSE),Coin1!$A:$A,0),4)</f>
        <v>32.176137809243642</v>
      </c>
    </row>
    <row r="233" spans="1:4" x14ac:dyDescent="0.35">
      <c r="A233">
        <f t="shared" si="3"/>
        <v>1232</v>
      </c>
      <c r="B233">
        <f>2*$I$1-INDEX(Coin1!$A:$D,MATCH(VLOOKUP(Coin3!$A233,Correspondance!$D:$E,2,FALSE),Coin1!$A:$A,0),2)</f>
        <v>69.425000000000011</v>
      </c>
      <c r="C233">
        <f>INDEX(Coin1!$A:$D,MATCH(VLOOKUP(Coin3!$A233,Correspondance!$D:$E,2,FALSE),Coin1!$A:$A,0),3)</f>
        <v>-0.35</v>
      </c>
      <c r="D233">
        <f>INDEX(Coin1!$A:$D,MATCH(VLOOKUP(Coin3!$A233,Correspondance!$D:$E,2,FALSE),Coin1!$A:$A,0),4)</f>
        <v>32.176137809243642</v>
      </c>
    </row>
    <row r="234" spans="1:4" x14ac:dyDescent="0.35">
      <c r="A234">
        <f t="shared" si="3"/>
        <v>1233</v>
      </c>
      <c r="B234">
        <f>2*$I$1-INDEX(Coin1!$A:$D,MATCH(VLOOKUP(Coin3!$A234,Correspondance!$D:$E,2,FALSE),Coin1!$A:$A,0),2)</f>
        <v>57.777948729810781</v>
      </c>
      <c r="C234">
        <f>INDEX(Coin1!$A:$D,MATCH(VLOOKUP(Coin3!$A234,Correspondance!$D:$E,2,FALSE),Coin1!$A:$A,0),3)</f>
        <v>0</v>
      </c>
      <c r="D234">
        <f>INDEX(Coin1!$A:$D,MATCH(VLOOKUP(Coin3!$A234,Correspondance!$D:$E,2,FALSE),Coin1!$A:$A,0),4)</f>
        <v>32.176137809243642</v>
      </c>
    </row>
    <row r="235" spans="1:4" x14ac:dyDescent="0.35">
      <c r="A235">
        <f t="shared" si="3"/>
        <v>1234</v>
      </c>
      <c r="B235">
        <f>2*$I$1-INDEX(Coin1!$A:$D,MATCH(VLOOKUP(Coin3!$A235,Correspondance!$D:$E,2,FALSE),Coin1!$A:$A,0),2)</f>
        <v>60.607500000000002</v>
      </c>
      <c r="C235">
        <f>INDEX(Coin1!$A:$D,MATCH(VLOOKUP(Coin3!$A235,Correspondance!$D:$E,2,FALSE),Coin1!$A:$A,0),3)</f>
        <v>0</v>
      </c>
      <c r="D235">
        <f>INDEX(Coin1!$A:$D,MATCH(VLOOKUP(Coin3!$A235,Correspondance!$D:$E,2,FALSE),Coin1!$A:$A,0),4)</f>
        <v>32.176137809243642</v>
      </c>
    </row>
    <row r="236" spans="1:4" x14ac:dyDescent="0.35">
      <c r="A236">
        <f t="shared" si="3"/>
        <v>1235</v>
      </c>
      <c r="B236">
        <f>2*$I$1-INDEX(Coin1!$A:$D,MATCH(VLOOKUP(Coin3!$A236,Correspondance!$D:$E,2,FALSE),Coin1!$A:$A,0),2)</f>
        <v>61.222500000000004</v>
      </c>
      <c r="C236">
        <f>INDEX(Coin1!$A:$D,MATCH(VLOOKUP(Coin3!$A236,Correspondance!$D:$E,2,FALSE),Coin1!$A:$A,0),3)</f>
        <v>0</v>
      </c>
      <c r="D236">
        <f>INDEX(Coin1!$A:$D,MATCH(VLOOKUP(Coin3!$A236,Correspondance!$D:$E,2,FALSE),Coin1!$A:$A,0),4)</f>
        <v>32.176137809243642</v>
      </c>
    </row>
    <row r="237" spans="1:4" x14ac:dyDescent="0.35">
      <c r="A237">
        <f t="shared" si="3"/>
        <v>1236</v>
      </c>
      <c r="B237">
        <f>2*$I$1-INDEX(Coin1!$A:$D,MATCH(VLOOKUP(Coin3!$A237,Correspondance!$D:$E,2,FALSE),Coin1!$A:$A,0),2)</f>
        <v>61.837500000000006</v>
      </c>
      <c r="C237">
        <f>INDEX(Coin1!$A:$D,MATCH(VLOOKUP(Coin3!$A237,Correspondance!$D:$E,2,FALSE),Coin1!$A:$A,0),3)</f>
        <v>0</v>
      </c>
      <c r="D237">
        <f>INDEX(Coin1!$A:$D,MATCH(VLOOKUP(Coin3!$A237,Correspondance!$D:$E,2,FALSE),Coin1!$A:$A,0),4)</f>
        <v>32.176137809243642</v>
      </c>
    </row>
    <row r="238" spans="1:4" x14ac:dyDescent="0.35">
      <c r="A238">
        <f t="shared" si="3"/>
        <v>1237</v>
      </c>
      <c r="B238">
        <f>2*$I$1-INDEX(Coin1!$A:$D,MATCH(VLOOKUP(Coin3!$A238,Correspondance!$D:$E,2,FALSE),Coin1!$A:$A,0),2)</f>
        <v>64.667051270189233</v>
      </c>
      <c r="C238">
        <f>INDEX(Coin1!$A:$D,MATCH(VLOOKUP(Coin3!$A238,Correspondance!$D:$E,2,FALSE),Coin1!$A:$A,0),3)</f>
        <v>0</v>
      </c>
      <c r="D238">
        <f>INDEX(Coin1!$A:$D,MATCH(VLOOKUP(Coin3!$A238,Correspondance!$D:$E,2,FALSE),Coin1!$A:$A,0),4)</f>
        <v>32.176137809243642</v>
      </c>
    </row>
    <row r="239" spans="1:4" x14ac:dyDescent="0.35">
      <c r="A239">
        <f t="shared" si="3"/>
        <v>1238</v>
      </c>
      <c r="B239">
        <f>2*$I$1-INDEX(Coin1!$A:$D,MATCH(VLOOKUP(Coin3!$A239,Correspondance!$D:$E,2,FALSE),Coin1!$A:$A,0),2)</f>
        <v>69.425000000000011</v>
      </c>
      <c r="C239">
        <f>INDEX(Coin1!$A:$D,MATCH(VLOOKUP(Coin3!$A239,Correspondance!$D:$E,2,FALSE),Coin1!$A:$A,0),3)</f>
        <v>0</v>
      </c>
      <c r="D239">
        <f>INDEX(Coin1!$A:$D,MATCH(VLOOKUP(Coin3!$A239,Correspondance!$D:$E,2,FALSE),Coin1!$A:$A,0),4)</f>
        <v>32.176137809243642</v>
      </c>
    </row>
    <row r="240" spans="1:4" x14ac:dyDescent="0.35">
      <c r="A240">
        <f t="shared" si="3"/>
        <v>1239</v>
      </c>
      <c r="B240">
        <f>2*$I$1-INDEX(Coin1!$A:$D,MATCH(VLOOKUP(Coin3!$A240,Correspondance!$D:$E,2,FALSE),Coin1!$A:$A,0),2)</f>
        <v>69.425000000000011</v>
      </c>
      <c r="C240">
        <f>INDEX(Coin1!$A:$D,MATCH(VLOOKUP(Coin3!$A240,Correspondance!$D:$E,2,FALSE),Coin1!$A:$A,0),3)</f>
        <v>2.6930000000000001</v>
      </c>
      <c r="D240">
        <f>INDEX(Coin1!$A:$D,MATCH(VLOOKUP(Coin3!$A240,Correspondance!$D:$E,2,FALSE),Coin1!$A:$A,0),4)</f>
        <v>32.176137809243642</v>
      </c>
    </row>
    <row r="241" spans="1:4" x14ac:dyDescent="0.35">
      <c r="A241">
        <f t="shared" si="3"/>
        <v>1240</v>
      </c>
      <c r="B241">
        <f>2*$I$1-INDEX(Coin1!$A:$D,MATCH(VLOOKUP(Coin3!$A241,Correspondance!$D:$E,2,FALSE),Coin1!$A:$A,0),2)</f>
        <v>61.222500000000004</v>
      </c>
      <c r="C241">
        <f>INDEX(Coin1!$A:$D,MATCH(VLOOKUP(Coin3!$A241,Correspondance!$D:$E,2,FALSE),Coin1!$A:$A,0),3)</f>
        <v>4.04</v>
      </c>
      <c r="D241">
        <f>INDEX(Coin1!$A:$D,MATCH(VLOOKUP(Coin3!$A241,Correspondance!$D:$E,2,FALSE),Coin1!$A:$A,0),4)</f>
        <v>32.176137809243642</v>
      </c>
    </row>
    <row r="242" spans="1:4" x14ac:dyDescent="0.35">
      <c r="A242">
        <f t="shared" si="3"/>
        <v>1241</v>
      </c>
      <c r="B242">
        <f>2*$I$1-INDEX(Coin1!$A:$D,MATCH(VLOOKUP(Coin3!$A242,Correspondance!$D:$E,2,FALSE),Coin1!$A:$A,0),2)</f>
        <v>69.425000000000011</v>
      </c>
      <c r="C242">
        <f>INDEX(Coin1!$A:$D,MATCH(VLOOKUP(Coin3!$A242,Correspondance!$D:$E,2,FALSE),Coin1!$A:$A,0),3)</f>
        <v>5.3869999999999996</v>
      </c>
      <c r="D242">
        <f>INDEX(Coin1!$A:$D,MATCH(VLOOKUP(Coin3!$A242,Correspondance!$D:$E,2,FALSE),Coin1!$A:$A,0),4)</f>
        <v>32.176137809243642</v>
      </c>
    </row>
    <row r="243" spans="1:4" x14ac:dyDescent="0.35">
      <c r="A243">
        <f t="shared" si="3"/>
        <v>1242</v>
      </c>
      <c r="B243">
        <f>2*$I$1-INDEX(Coin1!$A:$D,MATCH(VLOOKUP(Coin3!$A243,Correspondance!$D:$E,2,FALSE),Coin1!$A:$A,0),2)</f>
        <v>57.777948729810781</v>
      </c>
      <c r="C243">
        <f>INDEX(Coin1!$A:$D,MATCH(VLOOKUP(Coin3!$A243,Correspondance!$D:$E,2,FALSE),Coin1!$A:$A,0),3)</f>
        <v>8.08</v>
      </c>
      <c r="D243">
        <f>INDEX(Coin1!$A:$D,MATCH(VLOOKUP(Coin3!$A243,Correspondance!$D:$E,2,FALSE),Coin1!$A:$A,0),4)</f>
        <v>32.176137809243642</v>
      </c>
    </row>
    <row r="244" spans="1:4" x14ac:dyDescent="0.35">
      <c r="A244">
        <f t="shared" si="3"/>
        <v>1243</v>
      </c>
      <c r="B244">
        <f>2*$I$1-INDEX(Coin1!$A:$D,MATCH(VLOOKUP(Coin3!$A244,Correspondance!$D:$E,2,FALSE),Coin1!$A:$A,0),2)</f>
        <v>60.607500000000002</v>
      </c>
      <c r="C244">
        <f>INDEX(Coin1!$A:$D,MATCH(VLOOKUP(Coin3!$A244,Correspondance!$D:$E,2,FALSE),Coin1!$A:$A,0),3)</f>
        <v>8.08</v>
      </c>
      <c r="D244">
        <f>INDEX(Coin1!$A:$D,MATCH(VLOOKUP(Coin3!$A244,Correspondance!$D:$E,2,FALSE),Coin1!$A:$A,0),4)</f>
        <v>32.176137809243642</v>
      </c>
    </row>
    <row r="245" spans="1:4" x14ac:dyDescent="0.35">
      <c r="A245">
        <f t="shared" si="3"/>
        <v>1244</v>
      </c>
      <c r="B245">
        <f>2*$I$1-INDEX(Coin1!$A:$D,MATCH(VLOOKUP(Coin3!$A245,Correspondance!$D:$E,2,FALSE),Coin1!$A:$A,0),2)</f>
        <v>61.222500000000004</v>
      </c>
      <c r="C245">
        <f>INDEX(Coin1!$A:$D,MATCH(VLOOKUP(Coin3!$A245,Correspondance!$D:$E,2,FALSE),Coin1!$A:$A,0),3)</f>
        <v>8.08</v>
      </c>
      <c r="D245">
        <f>INDEX(Coin1!$A:$D,MATCH(VLOOKUP(Coin3!$A245,Correspondance!$D:$E,2,FALSE),Coin1!$A:$A,0),4)</f>
        <v>32.176137809243642</v>
      </c>
    </row>
    <row r="246" spans="1:4" x14ac:dyDescent="0.35">
      <c r="A246">
        <f t="shared" si="3"/>
        <v>1245</v>
      </c>
      <c r="B246">
        <f>2*$I$1-INDEX(Coin1!$A:$D,MATCH(VLOOKUP(Coin3!$A246,Correspondance!$D:$E,2,FALSE),Coin1!$A:$A,0),2)</f>
        <v>61.837500000000006</v>
      </c>
      <c r="C246">
        <f>INDEX(Coin1!$A:$D,MATCH(VLOOKUP(Coin3!$A246,Correspondance!$D:$E,2,FALSE),Coin1!$A:$A,0),3)</f>
        <v>8.08</v>
      </c>
      <c r="D246">
        <f>INDEX(Coin1!$A:$D,MATCH(VLOOKUP(Coin3!$A246,Correspondance!$D:$E,2,FALSE),Coin1!$A:$A,0),4)</f>
        <v>32.176137809243642</v>
      </c>
    </row>
    <row r="247" spans="1:4" x14ac:dyDescent="0.35">
      <c r="A247">
        <f t="shared" si="3"/>
        <v>1246</v>
      </c>
      <c r="B247">
        <f>2*$I$1-INDEX(Coin1!$A:$D,MATCH(VLOOKUP(Coin3!$A247,Correspondance!$D:$E,2,FALSE),Coin1!$A:$A,0),2)</f>
        <v>64.667051270189233</v>
      </c>
      <c r="C247">
        <f>INDEX(Coin1!$A:$D,MATCH(VLOOKUP(Coin3!$A247,Correspondance!$D:$E,2,FALSE),Coin1!$A:$A,0),3)</f>
        <v>8.08</v>
      </c>
      <c r="D247">
        <f>INDEX(Coin1!$A:$D,MATCH(VLOOKUP(Coin3!$A247,Correspondance!$D:$E,2,FALSE),Coin1!$A:$A,0),4)</f>
        <v>32.176137809243642</v>
      </c>
    </row>
    <row r="248" spans="1:4" x14ac:dyDescent="0.35">
      <c r="A248">
        <f t="shared" si="3"/>
        <v>1247</v>
      </c>
      <c r="B248">
        <f>2*$I$1-INDEX(Coin1!$A:$D,MATCH(VLOOKUP(Coin3!$A248,Correspondance!$D:$E,2,FALSE),Coin1!$A:$A,0),2)</f>
        <v>69.425000000000011</v>
      </c>
      <c r="C248">
        <f>INDEX(Coin1!$A:$D,MATCH(VLOOKUP(Coin3!$A248,Correspondance!$D:$E,2,FALSE),Coin1!$A:$A,0),3)</f>
        <v>8.08</v>
      </c>
      <c r="D248">
        <f>INDEX(Coin1!$A:$D,MATCH(VLOOKUP(Coin3!$A248,Correspondance!$D:$E,2,FALSE),Coin1!$A:$A,0),4)</f>
        <v>32.176137809243642</v>
      </c>
    </row>
    <row r="249" spans="1:4" x14ac:dyDescent="0.35">
      <c r="A249">
        <f t="shared" si="3"/>
        <v>1248</v>
      </c>
      <c r="B249">
        <f>2*$I$1-INDEX(Coin1!$A:$D,MATCH(VLOOKUP(Coin3!$A249,Correspondance!$D:$E,2,FALSE),Coin1!$A:$A,0),2)</f>
        <v>69.425000000000011</v>
      </c>
      <c r="C249">
        <f>INDEX(Coin1!$A:$D,MATCH(VLOOKUP(Coin3!$A249,Correspondance!$D:$E,2,FALSE),Coin1!$A:$A,0),3)</f>
        <v>10.773</v>
      </c>
      <c r="D249">
        <f>INDEX(Coin1!$A:$D,MATCH(VLOOKUP(Coin3!$A249,Correspondance!$D:$E,2,FALSE),Coin1!$A:$A,0),4)</f>
        <v>32.176137809243642</v>
      </c>
    </row>
    <row r="250" spans="1:4" x14ac:dyDescent="0.35">
      <c r="A250">
        <f t="shared" si="3"/>
        <v>1249</v>
      </c>
      <c r="B250">
        <f>2*$I$1-INDEX(Coin1!$A:$D,MATCH(VLOOKUP(Coin3!$A250,Correspondance!$D:$E,2,FALSE),Coin1!$A:$A,0),2)</f>
        <v>61.222500000000004</v>
      </c>
      <c r="C250">
        <f>INDEX(Coin1!$A:$D,MATCH(VLOOKUP(Coin3!$A250,Correspondance!$D:$E,2,FALSE),Coin1!$A:$A,0),3)</f>
        <v>12.12</v>
      </c>
      <c r="D250">
        <f>INDEX(Coin1!$A:$D,MATCH(VLOOKUP(Coin3!$A250,Correspondance!$D:$E,2,FALSE),Coin1!$A:$A,0),4)</f>
        <v>32.176137809243642</v>
      </c>
    </row>
    <row r="251" spans="1:4" x14ac:dyDescent="0.35">
      <c r="A251">
        <f t="shared" si="3"/>
        <v>1250</v>
      </c>
      <c r="B251">
        <f>2*$I$1-INDEX(Coin1!$A:$D,MATCH(VLOOKUP(Coin3!$A251,Correspondance!$D:$E,2,FALSE),Coin1!$A:$A,0),2)</f>
        <v>69.425000000000011</v>
      </c>
      <c r="C251">
        <f>INDEX(Coin1!$A:$D,MATCH(VLOOKUP(Coin3!$A251,Correspondance!$D:$E,2,FALSE),Coin1!$A:$A,0),3)</f>
        <v>13.467000000000001</v>
      </c>
      <c r="D251">
        <f>INDEX(Coin1!$A:$D,MATCH(VLOOKUP(Coin3!$A251,Correspondance!$D:$E,2,FALSE),Coin1!$A:$A,0),4)</f>
        <v>32.176137809243642</v>
      </c>
    </row>
    <row r="252" spans="1:4" x14ac:dyDescent="0.35">
      <c r="A252">
        <f t="shared" si="3"/>
        <v>1251</v>
      </c>
      <c r="B252">
        <f>2*$I$1-INDEX(Coin1!$A:$D,MATCH(VLOOKUP(Coin3!$A252,Correspondance!$D:$E,2,FALSE),Coin1!$A:$A,0),2)</f>
        <v>57.777948729810781</v>
      </c>
      <c r="C252">
        <f>INDEX(Coin1!$A:$D,MATCH(VLOOKUP(Coin3!$A252,Correspondance!$D:$E,2,FALSE),Coin1!$A:$A,0),3)</f>
        <v>16.16</v>
      </c>
      <c r="D252">
        <f>INDEX(Coin1!$A:$D,MATCH(VLOOKUP(Coin3!$A252,Correspondance!$D:$E,2,FALSE),Coin1!$A:$A,0),4)</f>
        <v>32.176137809243642</v>
      </c>
    </row>
    <row r="253" spans="1:4" x14ac:dyDescent="0.35">
      <c r="A253">
        <f t="shared" si="3"/>
        <v>1252</v>
      </c>
      <c r="B253">
        <f>2*$I$1-INDEX(Coin1!$A:$D,MATCH(VLOOKUP(Coin3!$A253,Correspondance!$D:$E,2,FALSE),Coin1!$A:$A,0),2)</f>
        <v>60.607500000000002</v>
      </c>
      <c r="C253">
        <f>INDEX(Coin1!$A:$D,MATCH(VLOOKUP(Coin3!$A253,Correspondance!$D:$E,2,FALSE),Coin1!$A:$A,0),3)</f>
        <v>16.16</v>
      </c>
      <c r="D253">
        <f>INDEX(Coin1!$A:$D,MATCH(VLOOKUP(Coin3!$A253,Correspondance!$D:$E,2,FALSE),Coin1!$A:$A,0),4)</f>
        <v>32.176137809243642</v>
      </c>
    </row>
    <row r="254" spans="1:4" x14ac:dyDescent="0.35">
      <c r="A254">
        <f t="shared" si="3"/>
        <v>1253</v>
      </c>
      <c r="B254">
        <f>2*$I$1-INDEX(Coin1!$A:$D,MATCH(VLOOKUP(Coin3!$A254,Correspondance!$D:$E,2,FALSE),Coin1!$A:$A,0),2)</f>
        <v>61.222500000000004</v>
      </c>
      <c r="C254">
        <f>INDEX(Coin1!$A:$D,MATCH(VLOOKUP(Coin3!$A254,Correspondance!$D:$E,2,FALSE),Coin1!$A:$A,0),3)</f>
        <v>16.16</v>
      </c>
      <c r="D254">
        <f>INDEX(Coin1!$A:$D,MATCH(VLOOKUP(Coin3!$A254,Correspondance!$D:$E,2,FALSE),Coin1!$A:$A,0),4)</f>
        <v>32.176137809243642</v>
      </c>
    </row>
    <row r="255" spans="1:4" x14ac:dyDescent="0.35">
      <c r="A255">
        <f t="shared" si="3"/>
        <v>1254</v>
      </c>
      <c r="B255">
        <f>2*$I$1-INDEX(Coin1!$A:$D,MATCH(VLOOKUP(Coin3!$A255,Correspondance!$D:$E,2,FALSE),Coin1!$A:$A,0),2)</f>
        <v>61.837500000000006</v>
      </c>
      <c r="C255">
        <f>INDEX(Coin1!$A:$D,MATCH(VLOOKUP(Coin3!$A255,Correspondance!$D:$E,2,FALSE),Coin1!$A:$A,0),3)</f>
        <v>16.16</v>
      </c>
      <c r="D255">
        <f>INDEX(Coin1!$A:$D,MATCH(VLOOKUP(Coin3!$A255,Correspondance!$D:$E,2,FALSE),Coin1!$A:$A,0),4)</f>
        <v>32.176137809243642</v>
      </c>
    </row>
    <row r="256" spans="1:4" x14ac:dyDescent="0.35">
      <c r="A256">
        <f t="shared" si="3"/>
        <v>1255</v>
      </c>
      <c r="B256">
        <f>2*$I$1-INDEX(Coin1!$A:$D,MATCH(VLOOKUP(Coin3!$A256,Correspondance!$D:$E,2,FALSE),Coin1!$A:$A,0),2)</f>
        <v>64.667051270189233</v>
      </c>
      <c r="C256">
        <f>INDEX(Coin1!$A:$D,MATCH(VLOOKUP(Coin3!$A256,Correspondance!$D:$E,2,FALSE),Coin1!$A:$A,0),3)</f>
        <v>16.16</v>
      </c>
      <c r="D256">
        <f>INDEX(Coin1!$A:$D,MATCH(VLOOKUP(Coin3!$A256,Correspondance!$D:$E,2,FALSE),Coin1!$A:$A,0),4)</f>
        <v>32.176137809243642</v>
      </c>
    </row>
    <row r="257" spans="1:4" x14ac:dyDescent="0.35">
      <c r="A257">
        <f t="shared" si="3"/>
        <v>1256</v>
      </c>
      <c r="B257">
        <f>2*$I$1-INDEX(Coin1!$A:$D,MATCH(VLOOKUP(Coin3!$A257,Correspondance!$D:$E,2,FALSE),Coin1!$A:$A,0),2)</f>
        <v>69.425000000000011</v>
      </c>
      <c r="C257">
        <f>INDEX(Coin1!$A:$D,MATCH(VLOOKUP(Coin3!$A257,Correspondance!$D:$E,2,FALSE),Coin1!$A:$A,0),3)</f>
        <v>16.16</v>
      </c>
      <c r="D257">
        <f>INDEX(Coin1!$A:$D,MATCH(VLOOKUP(Coin3!$A257,Correspondance!$D:$E,2,FALSE),Coin1!$A:$A,0),4)</f>
        <v>32.176137809243642</v>
      </c>
    </row>
    <row r="258" spans="1:4" x14ac:dyDescent="0.35">
      <c r="A258">
        <f t="shared" si="3"/>
        <v>1257</v>
      </c>
      <c r="B258">
        <f>2*$I$1-INDEX(Coin1!$A:$D,MATCH(VLOOKUP(Coin3!$A258,Correspondance!$D:$E,2,FALSE),Coin1!$A:$A,0),2)</f>
        <v>51.06205127018923</v>
      </c>
      <c r="C258">
        <f>INDEX(Coin1!$A:$D,MATCH(VLOOKUP(Coin3!$A258,Correspondance!$D:$E,2,FALSE),Coin1!$A:$A,0),3)</f>
        <v>-0.35</v>
      </c>
      <c r="D258">
        <f>INDEX(Coin1!$A:$D,MATCH(VLOOKUP(Coin3!$A258,Correspondance!$D:$E,2,FALSE),Coin1!$A:$A,0),4)</f>
        <v>35.084206713865463</v>
      </c>
    </row>
    <row r="259" spans="1:4" x14ac:dyDescent="0.35">
      <c r="A259">
        <f t="shared" si="3"/>
        <v>1258</v>
      </c>
      <c r="B259">
        <f>2*$I$1-INDEX(Coin1!$A:$D,MATCH(VLOOKUP(Coin3!$A259,Correspondance!$D:$E,2,FALSE),Coin1!$A:$A,0),2)</f>
        <v>57.777948729810781</v>
      </c>
      <c r="C259">
        <f>INDEX(Coin1!$A:$D,MATCH(VLOOKUP(Coin3!$A259,Correspondance!$D:$E,2,FALSE),Coin1!$A:$A,0),3)</f>
        <v>-0.35</v>
      </c>
      <c r="D259">
        <f>INDEX(Coin1!$A:$D,MATCH(VLOOKUP(Coin3!$A259,Correspondance!$D:$E,2,FALSE),Coin1!$A:$A,0),4)</f>
        <v>35.084206713865463</v>
      </c>
    </row>
    <row r="260" spans="1:4" x14ac:dyDescent="0.35">
      <c r="A260">
        <f t="shared" ref="A260:A320" si="4">A259+1</f>
        <v>1259</v>
      </c>
      <c r="B260">
        <f>2*$I$1-INDEX(Coin1!$A:$D,MATCH(VLOOKUP(Coin3!$A260,Correspondance!$D:$E,2,FALSE),Coin1!$A:$A,0),2)</f>
        <v>59.457000000000008</v>
      </c>
      <c r="C260">
        <f>INDEX(Coin1!$A:$D,MATCH(VLOOKUP(Coin3!$A260,Correspondance!$D:$E,2,FALSE),Coin1!$A:$A,0),3)</f>
        <v>-0.35</v>
      </c>
      <c r="D260">
        <f>INDEX(Coin1!$A:$D,MATCH(VLOOKUP(Coin3!$A260,Correspondance!$D:$E,2,FALSE),Coin1!$A:$A,0),4)</f>
        <v>35.084206713865463</v>
      </c>
    </row>
    <row r="261" spans="1:4" x14ac:dyDescent="0.35">
      <c r="A261">
        <f t="shared" si="4"/>
        <v>1260</v>
      </c>
      <c r="B261">
        <f>2*$I$1-INDEX(Coin1!$A:$D,MATCH(VLOOKUP(Coin3!$A261,Correspondance!$D:$E,2,FALSE),Coin1!$A:$A,0),2)</f>
        <v>62.988000000000007</v>
      </c>
      <c r="C261">
        <f>INDEX(Coin1!$A:$D,MATCH(VLOOKUP(Coin3!$A261,Correspondance!$D:$E,2,FALSE),Coin1!$A:$A,0),3)</f>
        <v>-0.35</v>
      </c>
      <c r="D261">
        <f>INDEX(Coin1!$A:$D,MATCH(VLOOKUP(Coin3!$A261,Correspondance!$D:$E,2,FALSE),Coin1!$A:$A,0),4)</f>
        <v>35.084206713865463</v>
      </c>
    </row>
    <row r="262" spans="1:4" x14ac:dyDescent="0.35">
      <c r="A262">
        <f t="shared" si="4"/>
        <v>1261</v>
      </c>
      <c r="B262">
        <f>2*$I$1-INDEX(Coin1!$A:$D,MATCH(VLOOKUP(Coin3!$A262,Correspondance!$D:$E,2,FALSE),Coin1!$A:$A,0),2)</f>
        <v>64.667051270189233</v>
      </c>
      <c r="C262">
        <f>INDEX(Coin1!$A:$D,MATCH(VLOOKUP(Coin3!$A262,Correspondance!$D:$E,2,FALSE),Coin1!$A:$A,0),3)</f>
        <v>-0.35</v>
      </c>
      <c r="D262">
        <f>INDEX(Coin1!$A:$D,MATCH(VLOOKUP(Coin3!$A262,Correspondance!$D:$E,2,FALSE),Coin1!$A:$A,0),4)</f>
        <v>35.084206713865463</v>
      </c>
    </row>
    <row r="263" spans="1:4" x14ac:dyDescent="0.35">
      <c r="A263">
        <f t="shared" si="4"/>
        <v>1262</v>
      </c>
      <c r="B263">
        <f>2*$I$1-INDEX(Coin1!$A:$D,MATCH(VLOOKUP(Coin3!$A263,Correspondance!$D:$E,2,FALSE),Coin1!$A:$A,0),2)</f>
        <v>69.425000000000011</v>
      </c>
      <c r="C263">
        <f>INDEX(Coin1!$A:$D,MATCH(VLOOKUP(Coin3!$A263,Correspondance!$D:$E,2,FALSE),Coin1!$A:$A,0),3)</f>
        <v>-0.35</v>
      </c>
      <c r="D263">
        <f>INDEX(Coin1!$A:$D,MATCH(VLOOKUP(Coin3!$A263,Correspondance!$D:$E,2,FALSE),Coin1!$A:$A,0),4)</f>
        <v>35.084206713865463</v>
      </c>
    </row>
    <row r="264" spans="1:4" x14ac:dyDescent="0.35">
      <c r="A264">
        <f t="shared" si="4"/>
        <v>1263</v>
      </c>
      <c r="B264">
        <f>2*$I$1-INDEX(Coin1!$A:$D,MATCH(VLOOKUP(Coin3!$A264,Correspondance!$D:$E,2,FALSE),Coin1!$A:$A,0),2)</f>
        <v>59.457000000000008</v>
      </c>
      <c r="C264">
        <f>INDEX(Coin1!$A:$D,MATCH(VLOOKUP(Coin3!$A264,Correspondance!$D:$E,2,FALSE),Coin1!$A:$A,0),3)</f>
        <v>0</v>
      </c>
      <c r="D264">
        <f>INDEX(Coin1!$A:$D,MATCH(VLOOKUP(Coin3!$A264,Correspondance!$D:$E,2,FALSE),Coin1!$A:$A,0),4)</f>
        <v>35.084206713865463</v>
      </c>
    </row>
    <row r="265" spans="1:4" x14ac:dyDescent="0.35">
      <c r="A265">
        <f t="shared" si="4"/>
        <v>1264</v>
      </c>
      <c r="B265">
        <f>2*$I$1-INDEX(Coin1!$A:$D,MATCH(VLOOKUP(Coin3!$A265,Correspondance!$D:$E,2,FALSE),Coin1!$A:$A,0),2)</f>
        <v>62.988000000000007</v>
      </c>
      <c r="C265">
        <f>INDEX(Coin1!$A:$D,MATCH(VLOOKUP(Coin3!$A265,Correspondance!$D:$E,2,FALSE),Coin1!$A:$A,0),3)</f>
        <v>0</v>
      </c>
      <c r="D265">
        <f>INDEX(Coin1!$A:$D,MATCH(VLOOKUP(Coin3!$A265,Correspondance!$D:$E,2,FALSE),Coin1!$A:$A,0),4)</f>
        <v>35.084206713865463</v>
      </c>
    </row>
    <row r="266" spans="1:4" x14ac:dyDescent="0.35">
      <c r="A266">
        <f t="shared" si="4"/>
        <v>1265</v>
      </c>
      <c r="B266">
        <f>2*$I$1-INDEX(Coin1!$A:$D,MATCH(VLOOKUP(Coin3!$A266,Correspondance!$D:$E,2,FALSE),Coin1!$A:$A,0),2)</f>
        <v>69.425000000000011</v>
      </c>
      <c r="C266">
        <f>INDEX(Coin1!$A:$D,MATCH(VLOOKUP(Coin3!$A266,Correspondance!$D:$E,2,FALSE),Coin1!$A:$A,0),3)</f>
        <v>0</v>
      </c>
      <c r="D266">
        <f>INDEX(Coin1!$A:$D,MATCH(VLOOKUP(Coin3!$A266,Correspondance!$D:$E,2,FALSE),Coin1!$A:$A,0),4)</f>
        <v>35.084206713865463</v>
      </c>
    </row>
    <row r="267" spans="1:4" x14ac:dyDescent="0.35">
      <c r="A267">
        <f t="shared" si="4"/>
        <v>1266</v>
      </c>
      <c r="B267">
        <f>2*$I$1-INDEX(Coin1!$A:$D,MATCH(VLOOKUP(Coin3!$A267,Correspondance!$D:$E,2,FALSE),Coin1!$A:$A,0),2)</f>
        <v>69.425000000000011</v>
      </c>
      <c r="C267">
        <f>INDEX(Coin1!$A:$D,MATCH(VLOOKUP(Coin3!$A267,Correspondance!$D:$E,2,FALSE),Coin1!$A:$A,0),3)</f>
        <v>2.6930000000000001</v>
      </c>
      <c r="D267">
        <f>INDEX(Coin1!$A:$D,MATCH(VLOOKUP(Coin3!$A267,Correspondance!$D:$E,2,FALSE),Coin1!$A:$A,0),4)</f>
        <v>35.084206713865463</v>
      </c>
    </row>
    <row r="268" spans="1:4" x14ac:dyDescent="0.35">
      <c r="A268">
        <f t="shared" si="4"/>
        <v>1267</v>
      </c>
      <c r="B268">
        <f>2*$I$1-INDEX(Coin1!$A:$D,MATCH(VLOOKUP(Coin3!$A268,Correspondance!$D:$E,2,FALSE),Coin1!$A:$A,0),2)</f>
        <v>69.425000000000011</v>
      </c>
      <c r="C268">
        <f>INDEX(Coin1!$A:$D,MATCH(VLOOKUP(Coin3!$A268,Correspondance!$D:$E,2,FALSE),Coin1!$A:$A,0),3)</f>
        <v>5.3869999999999996</v>
      </c>
      <c r="D268">
        <f>INDEX(Coin1!$A:$D,MATCH(VLOOKUP(Coin3!$A268,Correspondance!$D:$E,2,FALSE),Coin1!$A:$A,0),4)</f>
        <v>35.084206713865463</v>
      </c>
    </row>
    <row r="269" spans="1:4" x14ac:dyDescent="0.35">
      <c r="A269">
        <f t="shared" si="4"/>
        <v>1268</v>
      </c>
      <c r="B269">
        <f>2*$I$1-INDEX(Coin1!$A:$D,MATCH(VLOOKUP(Coin3!$A269,Correspondance!$D:$E,2,FALSE),Coin1!$A:$A,0),2)</f>
        <v>59.457000000000008</v>
      </c>
      <c r="C269">
        <f>INDEX(Coin1!$A:$D,MATCH(VLOOKUP(Coin3!$A269,Correspondance!$D:$E,2,FALSE),Coin1!$A:$A,0),3)</f>
        <v>8.08</v>
      </c>
      <c r="D269">
        <f>INDEX(Coin1!$A:$D,MATCH(VLOOKUP(Coin3!$A269,Correspondance!$D:$E,2,FALSE),Coin1!$A:$A,0),4)</f>
        <v>35.084206713865463</v>
      </c>
    </row>
    <row r="270" spans="1:4" x14ac:dyDescent="0.35">
      <c r="A270">
        <f t="shared" si="4"/>
        <v>1269</v>
      </c>
      <c r="B270">
        <f>2*$I$1-INDEX(Coin1!$A:$D,MATCH(VLOOKUP(Coin3!$A270,Correspondance!$D:$E,2,FALSE),Coin1!$A:$A,0),2)</f>
        <v>62.988000000000007</v>
      </c>
      <c r="C270">
        <f>INDEX(Coin1!$A:$D,MATCH(VLOOKUP(Coin3!$A270,Correspondance!$D:$E,2,FALSE),Coin1!$A:$A,0),3)</f>
        <v>8.08</v>
      </c>
      <c r="D270">
        <f>INDEX(Coin1!$A:$D,MATCH(VLOOKUP(Coin3!$A270,Correspondance!$D:$E,2,FALSE),Coin1!$A:$A,0),4)</f>
        <v>35.084206713865463</v>
      </c>
    </row>
    <row r="271" spans="1:4" x14ac:dyDescent="0.35">
      <c r="A271">
        <f t="shared" si="4"/>
        <v>1270</v>
      </c>
      <c r="B271">
        <f>2*$I$1-INDEX(Coin1!$A:$D,MATCH(VLOOKUP(Coin3!$A271,Correspondance!$D:$E,2,FALSE),Coin1!$A:$A,0),2)</f>
        <v>69.425000000000011</v>
      </c>
      <c r="C271">
        <f>INDEX(Coin1!$A:$D,MATCH(VLOOKUP(Coin3!$A271,Correspondance!$D:$E,2,FALSE),Coin1!$A:$A,0),3)</f>
        <v>8.08</v>
      </c>
      <c r="D271">
        <f>INDEX(Coin1!$A:$D,MATCH(VLOOKUP(Coin3!$A271,Correspondance!$D:$E,2,FALSE),Coin1!$A:$A,0),4)</f>
        <v>35.084206713865463</v>
      </c>
    </row>
    <row r="272" spans="1:4" x14ac:dyDescent="0.35">
      <c r="A272">
        <f t="shared" si="4"/>
        <v>1271</v>
      </c>
      <c r="B272">
        <f>2*$I$1-INDEX(Coin1!$A:$D,MATCH(VLOOKUP(Coin3!$A272,Correspondance!$D:$E,2,FALSE),Coin1!$A:$A,0),2)</f>
        <v>69.425000000000011</v>
      </c>
      <c r="C272">
        <f>INDEX(Coin1!$A:$D,MATCH(VLOOKUP(Coin3!$A272,Correspondance!$D:$E,2,FALSE),Coin1!$A:$A,0),3)</f>
        <v>10.773</v>
      </c>
      <c r="D272">
        <f>INDEX(Coin1!$A:$D,MATCH(VLOOKUP(Coin3!$A272,Correspondance!$D:$E,2,FALSE),Coin1!$A:$A,0),4)</f>
        <v>35.084206713865463</v>
      </c>
    </row>
    <row r="273" spans="1:4" x14ac:dyDescent="0.35">
      <c r="A273">
        <f t="shared" si="4"/>
        <v>1272</v>
      </c>
      <c r="B273">
        <f>2*$I$1-INDEX(Coin1!$A:$D,MATCH(VLOOKUP(Coin3!$A273,Correspondance!$D:$E,2,FALSE),Coin1!$A:$A,0),2)</f>
        <v>69.425000000000011</v>
      </c>
      <c r="C273">
        <f>INDEX(Coin1!$A:$D,MATCH(VLOOKUP(Coin3!$A273,Correspondance!$D:$E,2,FALSE),Coin1!$A:$A,0),3)</f>
        <v>13.467000000000001</v>
      </c>
      <c r="D273">
        <f>INDEX(Coin1!$A:$D,MATCH(VLOOKUP(Coin3!$A273,Correspondance!$D:$E,2,FALSE),Coin1!$A:$A,0),4)</f>
        <v>35.084206713865463</v>
      </c>
    </row>
    <row r="274" spans="1:4" x14ac:dyDescent="0.35">
      <c r="A274">
        <f t="shared" si="4"/>
        <v>1273</v>
      </c>
      <c r="B274">
        <f>2*$I$1-INDEX(Coin1!$A:$D,MATCH(VLOOKUP(Coin3!$A274,Correspondance!$D:$E,2,FALSE),Coin1!$A:$A,0),2)</f>
        <v>59.457000000000008</v>
      </c>
      <c r="C274">
        <f>INDEX(Coin1!$A:$D,MATCH(VLOOKUP(Coin3!$A274,Correspondance!$D:$E,2,FALSE),Coin1!$A:$A,0),3)</f>
        <v>16.16</v>
      </c>
      <c r="D274">
        <f>INDEX(Coin1!$A:$D,MATCH(VLOOKUP(Coin3!$A274,Correspondance!$D:$E,2,FALSE),Coin1!$A:$A,0),4)</f>
        <v>35.084206713865463</v>
      </c>
    </row>
    <row r="275" spans="1:4" x14ac:dyDescent="0.35">
      <c r="A275">
        <f t="shared" si="4"/>
        <v>1274</v>
      </c>
      <c r="B275">
        <f>2*$I$1-INDEX(Coin1!$A:$D,MATCH(VLOOKUP(Coin3!$A275,Correspondance!$D:$E,2,FALSE),Coin1!$A:$A,0),2)</f>
        <v>62.988000000000007</v>
      </c>
      <c r="C275">
        <f>INDEX(Coin1!$A:$D,MATCH(VLOOKUP(Coin3!$A275,Correspondance!$D:$E,2,FALSE),Coin1!$A:$A,0),3)</f>
        <v>16.16</v>
      </c>
      <c r="D275">
        <f>INDEX(Coin1!$A:$D,MATCH(VLOOKUP(Coin3!$A275,Correspondance!$D:$E,2,FALSE),Coin1!$A:$A,0),4)</f>
        <v>35.084206713865463</v>
      </c>
    </row>
    <row r="276" spans="1:4" x14ac:dyDescent="0.35">
      <c r="A276">
        <f t="shared" si="4"/>
        <v>1275</v>
      </c>
      <c r="B276">
        <f>2*$I$1-INDEX(Coin1!$A:$D,MATCH(VLOOKUP(Coin3!$A276,Correspondance!$D:$E,2,FALSE),Coin1!$A:$A,0),2)</f>
        <v>69.425000000000011</v>
      </c>
      <c r="C276">
        <f>INDEX(Coin1!$A:$D,MATCH(VLOOKUP(Coin3!$A276,Correspondance!$D:$E,2,FALSE),Coin1!$A:$A,0),3)</f>
        <v>16.16</v>
      </c>
      <c r="D276">
        <f>INDEX(Coin1!$A:$D,MATCH(VLOOKUP(Coin3!$A276,Correspondance!$D:$E,2,FALSE),Coin1!$A:$A,0),4)</f>
        <v>35.084206713865463</v>
      </c>
    </row>
    <row r="277" spans="1:4" x14ac:dyDescent="0.35">
      <c r="A277">
        <f t="shared" si="4"/>
        <v>1276</v>
      </c>
      <c r="B277">
        <f>2*$I$1-INDEX(Coin1!$A:$D,MATCH(VLOOKUP(Coin3!$A277,Correspondance!$D:$E,2,FALSE),Coin1!$A:$A,0),2)</f>
        <v>51.06205127018923</v>
      </c>
      <c r="C277">
        <f>INDEX(Coin1!$A:$D,MATCH(VLOOKUP(Coin3!$A277,Correspondance!$D:$E,2,FALSE),Coin1!$A:$A,0),3)</f>
        <v>-0.35</v>
      </c>
      <c r="D277">
        <f>INDEX(Coin1!$A:$D,MATCH(VLOOKUP(Coin3!$A277,Correspondance!$D:$E,2,FALSE),Coin1!$A:$A,0),4)</f>
        <v>37.992275618487284</v>
      </c>
    </row>
    <row r="278" spans="1:4" x14ac:dyDescent="0.35">
      <c r="A278">
        <f t="shared" si="4"/>
        <v>1277</v>
      </c>
      <c r="B278">
        <f>2*$I$1-INDEX(Coin1!$A:$D,MATCH(VLOOKUP(Coin3!$A278,Correspondance!$D:$E,2,FALSE),Coin1!$A:$A,0),2)</f>
        <v>57.777948729810781</v>
      </c>
      <c r="C278">
        <f>INDEX(Coin1!$A:$D,MATCH(VLOOKUP(Coin3!$A278,Correspondance!$D:$E,2,FALSE),Coin1!$A:$A,0),3)</f>
        <v>-0.35</v>
      </c>
      <c r="D278">
        <f>INDEX(Coin1!$A:$D,MATCH(VLOOKUP(Coin3!$A278,Correspondance!$D:$E,2,FALSE),Coin1!$A:$A,0),4)</f>
        <v>37.992275618487284</v>
      </c>
    </row>
    <row r="279" spans="1:4" x14ac:dyDescent="0.35">
      <c r="A279">
        <f t="shared" si="4"/>
        <v>1278</v>
      </c>
      <c r="B279">
        <f>2*$I$1-INDEX(Coin1!$A:$D,MATCH(VLOOKUP(Coin3!$A279,Correspondance!$D:$E,2,FALSE),Coin1!$A:$A,0),2)</f>
        <v>61.136000000000003</v>
      </c>
      <c r="C279">
        <f>INDEX(Coin1!$A:$D,MATCH(VLOOKUP(Coin3!$A279,Correspondance!$D:$E,2,FALSE),Coin1!$A:$A,0),3)</f>
        <v>-0.35</v>
      </c>
      <c r="D279">
        <f>INDEX(Coin1!$A:$D,MATCH(VLOOKUP(Coin3!$A279,Correspondance!$D:$E,2,FALSE),Coin1!$A:$A,0),4)</f>
        <v>37.992275618487284</v>
      </c>
    </row>
    <row r="280" spans="1:4" x14ac:dyDescent="0.35">
      <c r="A280">
        <f t="shared" si="4"/>
        <v>1279</v>
      </c>
      <c r="B280">
        <f>2*$I$1-INDEX(Coin1!$A:$D,MATCH(VLOOKUP(Coin3!$A280,Correspondance!$D:$E,2,FALSE),Coin1!$A:$A,0),2)</f>
        <v>61.309000000000005</v>
      </c>
      <c r="C280">
        <f>INDEX(Coin1!$A:$D,MATCH(VLOOKUP(Coin3!$A280,Correspondance!$D:$E,2,FALSE),Coin1!$A:$A,0),3)</f>
        <v>-0.35</v>
      </c>
      <c r="D280">
        <f>INDEX(Coin1!$A:$D,MATCH(VLOOKUP(Coin3!$A280,Correspondance!$D:$E,2,FALSE),Coin1!$A:$A,0),4)</f>
        <v>37.992275618487284</v>
      </c>
    </row>
    <row r="281" spans="1:4" x14ac:dyDescent="0.35">
      <c r="A281">
        <f t="shared" si="4"/>
        <v>1280</v>
      </c>
      <c r="B281">
        <f>2*$I$1-INDEX(Coin1!$A:$D,MATCH(VLOOKUP(Coin3!$A281,Correspondance!$D:$E,2,FALSE),Coin1!$A:$A,0),2)</f>
        <v>64.667051270189233</v>
      </c>
      <c r="C281">
        <f>INDEX(Coin1!$A:$D,MATCH(VLOOKUP(Coin3!$A281,Correspondance!$D:$E,2,FALSE),Coin1!$A:$A,0),3)</f>
        <v>-0.35</v>
      </c>
      <c r="D281">
        <f>INDEX(Coin1!$A:$D,MATCH(VLOOKUP(Coin3!$A281,Correspondance!$D:$E,2,FALSE),Coin1!$A:$A,0),4)</f>
        <v>37.992275618487284</v>
      </c>
    </row>
    <row r="282" spans="1:4" x14ac:dyDescent="0.35">
      <c r="A282">
        <f t="shared" si="4"/>
        <v>1281</v>
      </c>
      <c r="B282">
        <f>2*$I$1-INDEX(Coin1!$A:$D,MATCH(VLOOKUP(Coin3!$A282,Correspondance!$D:$E,2,FALSE),Coin1!$A:$A,0),2)</f>
        <v>69.425000000000011</v>
      </c>
      <c r="C282">
        <f>INDEX(Coin1!$A:$D,MATCH(VLOOKUP(Coin3!$A282,Correspondance!$D:$E,2,FALSE),Coin1!$A:$A,0),3)</f>
        <v>-0.35</v>
      </c>
      <c r="D282">
        <f>INDEX(Coin1!$A:$D,MATCH(VLOOKUP(Coin3!$A282,Correspondance!$D:$E,2,FALSE),Coin1!$A:$A,0),4)</f>
        <v>37.992275618487284</v>
      </c>
    </row>
    <row r="283" spans="1:4" x14ac:dyDescent="0.35">
      <c r="A283">
        <f t="shared" si="4"/>
        <v>1282</v>
      </c>
      <c r="B283">
        <f>2*$I$1-INDEX(Coin1!$A:$D,MATCH(VLOOKUP(Coin3!$A283,Correspondance!$D:$E,2,FALSE),Coin1!$A:$A,0),2)</f>
        <v>61.136000000000003</v>
      </c>
      <c r="C283">
        <f>INDEX(Coin1!$A:$D,MATCH(VLOOKUP(Coin3!$A283,Correspondance!$D:$E,2,FALSE),Coin1!$A:$A,0),3)</f>
        <v>0</v>
      </c>
      <c r="D283">
        <f>INDEX(Coin1!$A:$D,MATCH(VLOOKUP(Coin3!$A283,Correspondance!$D:$E,2,FALSE),Coin1!$A:$A,0),4)</f>
        <v>37.992275618487284</v>
      </c>
    </row>
    <row r="284" spans="1:4" x14ac:dyDescent="0.35">
      <c r="A284">
        <f t="shared" si="4"/>
        <v>1283</v>
      </c>
      <c r="B284">
        <f>2*$I$1-INDEX(Coin1!$A:$D,MATCH(VLOOKUP(Coin3!$A284,Correspondance!$D:$E,2,FALSE),Coin1!$A:$A,0),2)</f>
        <v>61.309000000000005</v>
      </c>
      <c r="C284">
        <f>INDEX(Coin1!$A:$D,MATCH(VLOOKUP(Coin3!$A284,Correspondance!$D:$E,2,FALSE),Coin1!$A:$A,0),3)</f>
        <v>0</v>
      </c>
      <c r="D284">
        <f>INDEX(Coin1!$A:$D,MATCH(VLOOKUP(Coin3!$A284,Correspondance!$D:$E,2,FALSE),Coin1!$A:$A,0),4)</f>
        <v>37.992275618487284</v>
      </c>
    </row>
    <row r="285" spans="1:4" x14ac:dyDescent="0.35">
      <c r="A285">
        <f t="shared" si="4"/>
        <v>1284</v>
      </c>
      <c r="B285">
        <f>2*$I$1-INDEX(Coin1!$A:$D,MATCH(VLOOKUP(Coin3!$A285,Correspondance!$D:$E,2,FALSE),Coin1!$A:$A,0),2)</f>
        <v>69.425000000000011</v>
      </c>
      <c r="C285">
        <f>INDEX(Coin1!$A:$D,MATCH(VLOOKUP(Coin3!$A285,Correspondance!$D:$E,2,FALSE),Coin1!$A:$A,0),3)</f>
        <v>0</v>
      </c>
      <c r="D285">
        <f>INDEX(Coin1!$A:$D,MATCH(VLOOKUP(Coin3!$A285,Correspondance!$D:$E,2,FALSE),Coin1!$A:$A,0),4)</f>
        <v>37.992275618487284</v>
      </c>
    </row>
    <row r="286" spans="1:4" x14ac:dyDescent="0.35">
      <c r="A286">
        <f t="shared" si="4"/>
        <v>1285</v>
      </c>
      <c r="B286">
        <f>2*$I$1-INDEX(Coin1!$A:$D,MATCH(VLOOKUP(Coin3!$A286,Correspondance!$D:$E,2,FALSE),Coin1!$A:$A,0),2)</f>
        <v>69.425000000000011</v>
      </c>
      <c r="C286">
        <f>INDEX(Coin1!$A:$D,MATCH(VLOOKUP(Coin3!$A286,Correspondance!$D:$E,2,FALSE),Coin1!$A:$A,0),3)</f>
        <v>2.6930000000000001</v>
      </c>
      <c r="D286">
        <f>INDEX(Coin1!$A:$D,MATCH(VLOOKUP(Coin3!$A286,Correspondance!$D:$E,2,FALSE),Coin1!$A:$A,0),4)</f>
        <v>37.992275618487284</v>
      </c>
    </row>
    <row r="287" spans="1:4" x14ac:dyDescent="0.35">
      <c r="A287">
        <f t="shared" si="4"/>
        <v>1286</v>
      </c>
      <c r="B287">
        <f>2*$I$1-INDEX(Coin1!$A:$D,MATCH(VLOOKUP(Coin3!$A287,Correspondance!$D:$E,2,FALSE),Coin1!$A:$A,0),2)</f>
        <v>69.425000000000011</v>
      </c>
      <c r="C287">
        <f>INDEX(Coin1!$A:$D,MATCH(VLOOKUP(Coin3!$A287,Correspondance!$D:$E,2,FALSE),Coin1!$A:$A,0),3)</f>
        <v>5.3869999999999996</v>
      </c>
      <c r="D287">
        <f>INDEX(Coin1!$A:$D,MATCH(VLOOKUP(Coin3!$A287,Correspondance!$D:$E,2,FALSE),Coin1!$A:$A,0),4)</f>
        <v>37.992275618487284</v>
      </c>
    </row>
    <row r="288" spans="1:4" x14ac:dyDescent="0.35">
      <c r="A288">
        <f t="shared" si="4"/>
        <v>1287</v>
      </c>
      <c r="B288">
        <f>2*$I$1-INDEX(Coin1!$A:$D,MATCH(VLOOKUP(Coin3!$A288,Correspondance!$D:$E,2,FALSE),Coin1!$A:$A,0),2)</f>
        <v>61.136000000000003</v>
      </c>
      <c r="C288">
        <f>INDEX(Coin1!$A:$D,MATCH(VLOOKUP(Coin3!$A288,Correspondance!$D:$E,2,FALSE),Coin1!$A:$A,0),3)</f>
        <v>8.08</v>
      </c>
      <c r="D288">
        <f>INDEX(Coin1!$A:$D,MATCH(VLOOKUP(Coin3!$A288,Correspondance!$D:$E,2,FALSE),Coin1!$A:$A,0),4)</f>
        <v>37.992275618487284</v>
      </c>
    </row>
    <row r="289" spans="1:4" x14ac:dyDescent="0.35">
      <c r="A289">
        <f t="shared" si="4"/>
        <v>1288</v>
      </c>
      <c r="B289">
        <f>2*$I$1-INDEX(Coin1!$A:$D,MATCH(VLOOKUP(Coin3!$A289,Correspondance!$D:$E,2,FALSE),Coin1!$A:$A,0),2)</f>
        <v>61.309000000000005</v>
      </c>
      <c r="C289">
        <f>INDEX(Coin1!$A:$D,MATCH(VLOOKUP(Coin3!$A289,Correspondance!$D:$E,2,FALSE),Coin1!$A:$A,0),3)</f>
        <v>8.08</v>
      </c>
      <c r="D289">
        <f>INDEX(Coin1!$A:$D,MATCH(VLOOKUP(Coin3!$A289,Correspondance!$D:$E,2,FALSE),Coin1!$A:$A,0),4)</f>
        <v>37.992275618487284</v>
      </c>
    </row>
    <row r="290" spans="1:4" x14ac:dyDescent="0.35">
      <c r="A290">
        <f t="shared" si="4"/>
        <v>1289</v>
      </c>
      <c r="B290">
        <f>2*$I$1-INDEX(Coin1!$A:$D,MATCH(VLOOKUP(Coin3!$A290,Correspondance!$D:$E,2,FALSE),Coin1!$A:$A,0),2)</f>
        <v>69.425000000000011</v>
      </c>
      <c r="C290">
        <f>INDEX(Coin1!$A:$D,MATCH(VLOOKUP(Coin3!$A290,Correspondance!$D:$E,2,FALSE),Coin1!$A:$A,0),3)</f>
        <v>8.08</v>
      </c>
      <c r="D290">
        <f>INDEX(Coin1!$A:$D,MATCH(VLOOKUP(Coin3!$A290,Correspondance!$D:$E,2,FALSE),Coin1!$A:$A,0),4)</f>
        <v>37.992275618487284</v>
      </c>
    </row>
    <row r="291" spans="1:4" x14ac:dyDescent="0.35">
      <c r="A291">
        <f t="shared" si="4"/>
        <v>1290</v>
      </c>
      <c r="B291">
        <f>2*$I$1-INDEX(Coin1!$A:$D,MATCH(VLOOKUP(Coin3!$A291,Correspondance!$D:$E,2,FALSE),Coin1!$A:$A,0),2)</f>
        <v>69.425000000000011</v>
      </c>
      <c r="C291">
        <f>INDEX(Coin1!$A:$D,MATCH(VLOOKUP(Coin3!$A291,Correspondance!$D:$E,2,FALSE),Coin1!$A:$A,0),3)</f>
        <v>10.773</v>
      </c>
      <c r="D291">
        <f>INDEX(Coin1!$A:$D,MATCH(VLOOKUP(Coin3!$A291,Correspondance!$D:$E,2,FALSE),Coin1!$A:$A,0),4)</f>
        <v>37.992275618487284</v>
      </c>
    </row>
    <row r="292" spans="1:4" x14ac:dyDescent="0.35">
      <c r="A292">
        <f t="shared" si="4"/>
        <v>1291</v>
      </c>
      <c r="B292">
        <f>2*$I$1-INDEX(Coin1!$A:$D,MATCH(VLOOKUP(Coin3!$A292,Correspondance!$D:$E,2,FALSE),Coin1!$A:$A,0),2)</f>
        <v>69.425000000000011</v>
      </c>
      <c r="C292">
        <f>INDEX(Coin1!$A:$D,MATCH(VLOOKUP(Coin3!$A292,Correspondance!$D:$E,2,FALSE),Coin1!$A:$A,0),3)</f>
        <v>13.467000000000001</v>
      </c>
      <c r="D292">
        <f>INDEX(Coin1!$A:$D,MATCH(VLOOKUP(Coin3!$A292,Correspondance!$D:$E,2,FALSE),Coin1!$A:$A,0),4)</f>
        <v>37.992275618487284</v>
      </c>
    </row>
    <row r="293" spans="1:4" x14ac:dyDescent="0.35">
      <c r="A293">
        <f t="shared" si="4"/>
        <v>1292</v>
      </c>
      <c r="B293">
        <f>2*$I$1-INDEX(Coin1!$A:$D,MATCH(VLOOKUP(Coin3!$A293,Correspondance!$D:$E,2,FALSE),Coin1!$A:$A,0),2)</f>
        <v>61.136000000000003</v>
      </c>
      <c r="C293">
        <f>INDEX(Coin1!$A:$D,MATCH(VLOOKUP(Coin3!$A293,Correspondance!$D:$E,2,FALSE),Coin1!$A:$A,0),3)</f>
        <v>16.16</v>
      </c>
      <c r="D293">
        <f>INDEX(Coin1!$A:$D,MATCH(VLOOKUP(Coin3!$A293,Correspondance!$D:$E,2,FALSE),Coin1!$A:$A,0),4)</f>
        <v>37.992275618487284</v>
      </c>
    </row>
    <row r="294" spans="1:4" x14ac:dyDescent="0.35">
      <c r="A294">
        <f t="shared" si="4"/>
        <v>1293</v>
      </c>
      <c r="B294">
        <f>2*$I$1-INDEX(Coin1!$A:$D,MATCH(VLOOKUP(Coin3!$A294,Correspondance!$D:$E,2,FALSE),Coin1!$A:$A,0),2)</f>
        <v>61.309000000000005</v>
      </c>
      <c r="C294">
        <f>INDEX(Coin1!$A:$D,MATCH(VLOOKUP(Coin3!$A294,Correspondance!$D:$E,2,FALSE),Coin1!$A:$A,0),3)</f>
        <v>16.16</v>
      </c>
      <c r="D294">
        <f>INDEX(Coin1!$A:$D,MATCH(VLOOKUP(Coin3!$A294,Correspondance!$D:$E,2,FALSE),Coin1!$A:$A,0),4)</f>
        <v>37.992275618487284</v>
      </c>
    </row>
    <row r="295" spans="1:4" x14ac:dyDescent="0.35">
      <c r="A295">
        <f t="shared" si="4"/>
        <v>1294</v>
      </c>
      <c r="B295">
        <f>2*$I$1-INDEX(Coin1!$A:$D,MATCH(VLOOKUP(Coin3!$A295,Correspondance!$D:$E,2,FALSE),Coin1!$A:$A,0),2)</f>
        <v>69.425000000000011</v>
      </c>
      <c r="C295">
        <f>INDEX(Coin1!$A:$D,MATCH(VLOOKUP(Coin3!$A295,Correspondance!$D:$E,2,FALSE),Coin1!$A:$A,0),3)</f>
        <v>16.16</v>
      </c>
      <c r="D295">
        <f>INDEX(Coin1!$A:$D,MATCH(VLOOKUP(Coin3!$A295,Correspondance!$D:$E,2,FALSE),Coin1!$A:$A,0),4)</f>
        <v>37.992275618487284</v>
      </c>
    </row>
    <row r="296" spans="1:4" x14ac:dyDescent="0.35">
      <c r="A296">
        <f t="shared" si="4"/>
        <v>1295</v>
      </c>
      <c r="B296">
        <f>2*$I$1-INDEX(Coin1!$A:$D,MATCH(VLOOKUP(Coin3!$A296,Correspondance!$D:$E,2,FALSE),Coin1!$A:$A,0),2)</f>
        <v>51.06205127018923</v>
      </c>
      <c r="C296">
        <f>INDEX(Coin1!$A:$D,MATCH(VLOOKUP(Coin3!$A296,Correspondance!$D:$E,2,FALSE),Coin1!$A:$A,0),3)</f>
        <v>-0.35</v>
      </c>
      <c r="D296">
        <f>INDEX(Coin1!$A:$D,MATCH(VLOOKUP(Coin3!$A296,Correspondance!$D:$E,2,FALSE),Coin1!$A:$A,0),4)</f>
        <v>37.992275618487284</v>
      </c>
    </row>
    <row r="297" spans="1:4" x14ac:dyDescent="0.35">
      <c r="A297">
        <f t="shared" si="4"/>
        <v>1296</v>
      </c>
      <c r="B297">
        <f>2*$I$1-INDEX(Coin1!$A:$D,MATCH(VLOOKUP(Coin3!$A297,Correspondance!$D:$E,2,FALSE),Coin1!$A:$A,0),2)</f>
        <v>57.777948729810781</v>
      </c>
      <c r="C297">
        <f>INDEX(Coin1!$A:$D,MATCH(VLOOKUP(Coin3!$A297,Correspondance!$D:$E,2,FALSE),Coin1!$A:$A,0),3)</f>
        <v>-0.35</v>
      </c>
      <c r="D297">
        <f>INDEX(Coin1!$A:$D,MATCH(VLOOKUP(Coin3!$A297,Correspondance!$D:$E,2,FALSE),Coin1!$A:$A,0),4)</f>
        <v>37.992275618487284</v>
      </c>
    </row>
    <row r="298" spans="1:4" x14ac:dyDescent="0.35">
      <c r="A298">
        <f t="shared" si="4"/>
        <v>1297</v>
      </c>
      <c r="B298">
        <f>2*$I$1-INDEX(Coin1!$A:$D,MATCH(VLOOKUP(Coin3!$A298,Correspondance!$D:$E,2,FALSE),Coin1!$A:$A,0),2)</f>
        <v>61.309000000000005</v>
      </c>
      <c r="C298">
        <f>INDEX(Coin1!$A:$D,MATCH(VLOOKUP(Coin3!$A298,Correspondance!$D:$E,2,FALSE),Coin1!$A:$A,0),3)</f>
        <v>-0.35</v>
      </c>
      <c r="D298">
        <f>INDEX(Coin1!$A:$D,MATCH(VLOOKUP(Coin3!$A298,Correspondance!$D:$E,2,FALSE),Coin1!$A:$A,0),4)</f>
        <v>37.992275618487284</v>
      </c>
    </row>
    <row r="299" spans="1:4" x14ac:dyDescent="0.35">
      <c r="A299">
        <f t="shared" si="4"/>
        <v>1298</v>
      </c>
      <c r="B299">
        <f>2*$I$1-INDEX(Coin1!$A:$D,MATCH(VLOOKUP(Coin3!$A299,Correspondance!$D:$E,2,FALSE),Coin1!$A:$A,0),2)</f>
        <v>64.667051270189233</v>
      </c>
      <c r="C299">
        <f>INDEX(Coin1!$A:$D,MATCH(VLOOKUP(Coin3!$A299,Correspondance!$D:$E,2,FALSE),Coin1!$A:$A,0),3)</f>
        <v>-0.35</v>
      </c>
      <c r="D299">
        <f>INDEX(Coin1!$A:$D,MATCH(VLOOKUP(Coin3!$A299,Correspondance!$D:$E,2,FALSE),Coin1!$A:$A,0),4)</f>
        <v>37.992275618487284</v>
      </c>
    </row>
    <row r="300" spans="1:4" x14ac:dyDescent="0.35">
      <c r="A300">
        <f t="shared" si="4"/>
        <v>1299</v>
      </c>
      <c r="B300">
        <f>2*$I$1-INDEX(Coin1!$A:$D,MATCH(VLOOKUP(Coin3!$A300,Correspondance!$D:$E,2,FALSE),Coin1!$A:$A,0),2)</f>
        <v>69.425000000000011</v>
      </c>
      <c r="C300">
        <f>INDEX(Coin1!$A:$D,MATCH(VLOOKUP(Coin3!$A300,Correspondance!$D:$E,2,FALSE),Coin1!$A:$A,0),3)</f>
        <v>-0.35</v>
      </c>
      <c r="D300">
        <f>INDEX(Coin1!$A:$D,MATCH(VLOOKUP(Coin3!$A300,Correspondance!$D:$E,2,FALSE),Coin1!$A:$A,0),4)</f>
        <v>37.992275618487284</v>
      </c>
    </row>
    <row r="301" spans="1:4" x14ac:dyDescent="0.35">
      <c r="A301">
        <f t="shared" si="4"/>
        <v>1300</v>
      </c>
      <c r="B301">
        <f>2*$I$1-INDEX(Coin1!$A:$D,MATCH(VLOOKUP(Coin3!$A301,Correspondance!$D:$E,2,FALSE),Coin1!$A:$A,0),2)</f>
        <v>61.222500000000004</v>
      </c>
      <c r="C301">
        <f>INDEX(Coin1!$A:$D,MATCH(VLOOKUP(Coin3!$A301,Correspondance!$D:$E,2,FALSE),Coin1!$A:$A,0),3)</f>
        <v>0</v>
      </c>
      <c r="D301">
        <f>INDEX(Coin1!$A:$D,MATCH(VLOOKUP(Coin3!$A301,Correspondance!$D:$E,2,FALSE),Coin1!$A:$A,0),4)</f>
        <v>37.992275618487284</v>
      </c>
    </row>
    <row r="302" spans="1:4" x14ac:dyDescent="0.35">
      <c r="A302">
        <f t="shared" si="4"/>
        <v>1301</v>
      </c>
      <c r="B302">
        <f>2*$I$1-INDEX(Coin1!$A:$D,MATCH(VLOOKUP(Coin3!$A302,Correspondance!$D:$E,2,FALSE),Coin1!$A:$A,0),2)</f>
        <v>69.425000000000011</v>
      </c>
      <c r="C302">
        <f>INDEX(Coin1!$A:$D,MATCH(VLOOKUP(Coin3!$A302,Correspondance!$D:$E,2,FALSE),Coin1!$A:$A,0),3)</f>
        <v>0</v>
      </c>
      <c r="D302">
        <f>INDEX(Coin1!$A:$D,MATCH(VLOOKUP(Coin3!$A302,Correspondance!$D:$E,2,FALSE),Coin1!$A:$A,0),4)</f>
        <v>37.992275618487284</v>
      </c>
    </row>
    <row r="303" spans="1:4" x14ac:dyDescent="0.35">
      <c r="A303">
        <f t="shared" si="4"/>
        <v>1302</v>
      </c>
      <c r="B303">
        <f>2*$I$1-INDEX(Coin1!$A:$D,MATCH(VLOOKUP(Coin3!$A303,Correspondance!$D:$E,2,FALSE),Coin1!$A:$A,0),2)</f>
        <v>61.222500000000004</v>
      </c>
      <c r="C303">
        <f>INDEX(Coin1!$A:$D,MATCH(VLOOKUP(Coin3!$A303,Correspondance!$D:$E,2,FALSE),Coin1!$A:$A,0),3)</f>
        <v>4.04</v>
      </c>
      <c r="D303">
        <f>INDEX(Coin1!$A:$D,MATCH(VLOOKUP(Coin3!$A303,Correspondance!$D:$E,2,FALSE),Coin1!$A:$A,0),4)</f>
        <v>37.992275618487284</v>
      </c>
    </row>
    <row r="304" spans="1:4" x14ac:dyDescent="0.35">
      <c r="A304">
        <f t="shared" si="4"/>
        <v>1303</v>
      </c>
      <c r="B304">
        <f>2*$I$1-INDEX(Coin1!$A:$D,MATCH(VLOOKUP(Coin3!$A304,Correspondance!$D:$E,2,FALSE),Coin1!$A:$A,0),2)</f>
        <v>61.222500000000004</v>
      </c>
      <c r="C304">
        <f>INDEX(Coin1!$A:$D,MATCH(VLOOKUP(Coin3!$A304,Correspondance!$D:$E,2,FALSE),Coin1!$A:$A,0),3)</f>
        <v>8.08</v>
      </c>
      <c r="D304">
        <f>INDEX(Coin1!$A:$D,MATCH(VLOOKUP(Coin3!$A304,Correspondance!$D:$E,2,FALSE),Coin1!$A:$A,0),4)</f>
        <v>37.992275618487284</v>
      </c>
    </row>
    <row r="305" spans="1:4" x14ac:dyDescent="0.35">
      <c r="A305">
        <f t="shared" si="4"/>
        <v>1304</v>
      </c>
      <c r="B305">
        <f>2*$I$1-INDEX(Coin1!$A:$D,MATCH(VLOOKUP(Coin3!$A305,Correspondance!$D:$E,2,FALSE),Coin1!$A:$A,0),2)</f>
        <v>61.222500000000004</v>
      </c>
      <c r="C305">
        <f>INDEX(Coin1!$A:$D,MATCH(VLOOKUP(Coin3!$A305,Correspondance!$D:$E,2,FALSE),Coin1!$A:$A,0),3)</f>
        <v>12.12</v>
      </c>
      <c r="D305">
        <f>INDEX(Coin1!$A:$D,MATCH(VLOOKUP(Coin3!$A305,Correspondance!$D:$E,2,FALSE),Coin1!$A:$A,0),4)</f>
        <v>37.992275618487284</v>
      </c>
    </row>
    <row r="306" spans="1:4" x14ac:dyDescent="0.35">
      <c r="A306">
        <f t="shared" si="4"/>
        <v>1305</v>
      </c>
      <c r="B306">
        <f>2*$I$1-INDEX(Coin1!$A:$D,MATCH(VLOOKUP(Coin3!$A306,Correspondance!$D:$E,2,FALSE),Coin1!$A:$A,0),2)</f>
        <v>61.222500000000004</v>
      </c>
      <c r="C306">
        <f>INDEX(Coin1!$A:$D,MATCH(VLOOKUP(Coin3!$A306,Correspondance!$D:$E,2,FALSE),Coin1!$A:$A,0),3)</f>
        <v>16.16</v>
      </c>
      <c r="D306">
        <f>INDEX(Coin1!$A:$D,MATCH(VLOOKUP(Coin3!$A306,Correspondance!$D:$E,2,FALSE),Coin1!$A:$A,0),4)</f>
        <v>37.992275618487284</v>
      </c>
    </row>
    <row r="307" spans="1:4" x14ac:dyDescent="0.35">
      <c r="A307">
        <f t="shared" si="4"/>
        <v>1306</v>
      </c>
      <c r="B307">
        <f>2*$I$1-INDEX(Coin1!$A:$D,MATCH(VLOOKUP(Coin3!$A307,Correspondance!$D:$E,2,FALSE),Coin1!$A:$A,0),2)</f>
        <v>69.425000000000011</v>
      </c>
      <c r="C307">
        <f>INDEX(Coin1!$A:$D,MATCH(VLOOKUP(Coin3!$A307,Correspondance!$D:$E,2,FALSE),Coin1!$A:$A,0),3)</f>
        <v>0</v>
      </c>
      <c r="D307">
        <f>INDEX(Coin1!$A:$D,MATCH(VLOOKUP(Coin3!$A307,Correspondance!$D:$E,2,FALSE),Coin1!$A:$A,0),4)</f>
        <v>38.14227561848729</v>
      </c>
    </row>
    <row r="308" spans="1:4" x14ac:dyDescent="0.35">
      <c r="A308">
        <f t="shared" si="4"/>
        <v>1307</v>
      </c>
      <c r="B308">
        <f>2*$I$1-INDEX(Coin1!$A:$D,MATCH(VLOOKUP(Coin3!$A308,Correspondance!$D:$E,2,FALSE),Coin1!$A:$A,0),2)</f>
        <v>69.425000000000011</v>
      </c>
      <c r="C308">
        <f>INDEX(Coin1!$A:$D,MATCH(VLOOKUP(Coin3!$A308,Correspondance!$D:$E,2,FALSE),Coin1!$A:$A,0),3)</f>
        <v>2.6930000000000001</v>
      </c>
      <c r="D308">
        <f>INDEX(Coin1!$A:$D,MATCH(VLOOKUP(Coin3!$A308,Correspondance!$D:$E,2,FALSE),Coin1!$A:$A,0),4)</f>
        <v>38.14227561848729</v>
      </c>
    </row>
    <row r="309" spans="1:4" x14ac:dyDescent="0.35">
      <c r="A309">
        <f t="shared" si="4"/>
        <v>1308</v>
      </c>
      <c r="B309">
        <f>2*$I$1-INDEX(Coin1!$A:$D,MATCH(VLOOKUP(Coin3!$A309,Correspondance!$D:$E,2,FALSE),Coin1!$A:$A,0),2)</f>
        <v>69.425000000000011</v>
      </c>
      <c r="C309">
        <f>INDEX(Coin1!$A:$D,MATCH(VLOOKUP(Coin3!$A309,Correspondance!$D:$E,2,FALSE),Coin1!$A:$A,0),3)</f>
        <v>5.3869999999999996</v>
      </c>
      <c r="D309">
        <f>INDEX(Coin1!$A:$D,MATCH(VLOOKUP(Coin3!$A309,Correspondance!$D:$E,2,FALSE),Coin1!$A:$A,0),4)</f>
        <v>38.14227561848729</v>
      </c>
    </row>
    <row r="310" spans="1:4" x14ac:dyDescent="0.35">
      <c r="A310">
        <f t="shared" si="4"/>
        <v>1309</v>
      </c>
      <c r="B310">
        <f>2*$I$1-INDEX(Coin1!$A:$D,MATCH(VLOOKUP(Coin3!$A310,Correspondance!$D:$E,2,FALSE),Coin1!$A:$A,0),2)</f>
        <v>69.425000000000011</v>
      </c>
      <c r="C310">
        <f>INDEX(Coin1!$A:$D,MATCH(VLOOKUP(Coin3!$A310,Correspondance!$D:$E,2,FALSE),Coin1!$A:$A,0),3)</f>
        <v>8.08</v>
      </c>
      <c r="D310">
        <f>INDEX(Coin1!$A:$D,MATCH(VLOOKUP(Coin3!$A310,Correspondance!$D:$E,2,FALSE),Coin1!$A:$A,0),4)</f>
        <v>38.14227561848729</v>
      </c>
    </row>
    <row r="311" spans="1:4" x14ac:dyDescent="0.35">
      <c r="A311">
        <f t="shared" si="4"/>
        <v>1310</v>
      </c>
      <c r="B311">
        <f>2*$I$1-INDEX(Coin1!$A:$D,MATCH(VLOOKUP(Coin3!$A311,Correspondance!$D:$E,2,FALSE),Coin1!$A:$A,0),2)</f>
        <v>69.425000000000011</v>
      </c>
      <c r="C311">
        <f>INDEX(Coin1!$A:$D,MATCH(VLOOKUP(Coin3!$A311,Correspondance!$D:$E,2,FALSE),Coin1!$A:$A,0),3)</f>
        <v>10.773</v>
      </c>
      <c r="D311">
        <f>INDEX(Coin1!$A:$D,MATCH(VLOOKUP(Coin3!$A311,Correspondance!$D:$E,2,FALSE),Coin1!$A:$A,0),4)</f>
        <v>38.14227561848729</v>
      </c>
    </row>
    <row r="312" spans="1:4" x14ac:dyDescent="0.35">
      <c r="A312">
        <f t="shared" si="4"/>
        <v>1311</v>
      </c>
      <c r="B312">
        <f>2*$I$1-INDEX(Coin1!$A:$D,MATCH(VLOOKUP(Coin3!$A312,Correspondance!$D:$E,2,FALSE),Coin1!$A:$A,0),2)</f>
        <v>69.425000000000011</v>
      </c>
      <c r="C312">
        <f>INDEX(Coin1!$A:$D,MATCH(VLOOKUP(Coin3!$A312,Correspondance!$D:$E,2,FALSE),Coin1!$A:$A,0),3)</f>
        <v>13.467000000000001</v>
      </c>
      <c r="D312">
        <f>INDEX(Coin1!$A:$D,MATCH(VLOOKUP(Coin3!$A312,Correspondance!$D:$E,2,FALSE),Coin1!$A:$A,0),4)</f>
        <v>38.14227561848729</v>
      </c>
    </row>
    <row r="313" spans="1:4" x14ac:dyDescent="0.35">
      <c r="A313">
        <f t="shared" si="4"/>
        <v>1312</v>
      </c>
      <c r="B313">
        <f>2*$I$1-INDEX(Coin1!$A:$D,MATCH(VLOOKUP(Coin3!$A313,Correspondance!$D:$E,2,FALSE),Coin1!$A:$A,0),2)</f>
        <v>69.425000000000011</v>
      </c>
      <c r="C313">
        <f>INDEX(Coin1!$A:$D,MATCH(VLOOKUP(Coin3!$A313,Correspondance!$D:$E,2,FALSE),Coin1!$A:$A,0),3)</f>
        <v>16.16</v>
      </c>
      <c r="D313">
        <f>INDEX(Coin1!$A:$D,MATCH(VLOOKUP(Coin3!$A313,Correspondance!$D:$E,2,FALSE),Coin1!$A:$A,0),4)</f>
        <v>38.14227561848729</v>
      </c>
    </row>
    <row r="314" spans="1:4" x14ac:dyDescent="0.35">
      <c r="A314">
        <f t="shared" si="4"/>
        <v>1313</v>
      </c>
      <c r="B314">
        <f>2*$I$1-INDEX(Coin1!$A:$D,MATCH(VLOOKUP(Coin3!$A314,Correspondance!$D:$E,2,FALSE),Coin1!$A:$A,0),2)</f>
        <v>61.222500000000004</v>
      </c>
      <c r="C314">
        <f>INDEX(Coin1!$A:$D,MATCH(VLOOKUP(Coin3!$A314,Correspondance!$D:$E,2,FALSE),Coin1!$A:$A,0),3)</f>
        <v>0</v>
      </c>
      <c r="D314">
        <f>INDEX(Coin1!$A:$D,MATCH(VLOOKUP(Coin3!$A314,Correspondance!$D:$E,2,FALSE),Coin1!$A:$A,0),4)</f>
        <v>38.292275618487288</v>
      </c>
    </row>
    <row r="315" spans="1:4" x14ac:dyDescent="0.35">
      <c r="A315">
        <f t="shared" si="4"/>
        <v>1314</v>
      </c>
      <c r="B315">
        <f>2*$I$1-INDEX(Coin1!$A:$D,MATCH(VLOOKUP(Coin3!$A315,Correspondance!$D:$E,2,FALSE),Coin1!$A:$A,0),2)</f>
        <v>61.222500000000004</v>
      </c>
      <c r="C315">
        <f>INDEX(Coin1!$A:$D,MATCH(VLOOKUP(Coin3!$A315,Correspondance!$D:$E,2,FALSE),Coin1!$A:$A,0),3)</f>
        <v>2.6930000000000001</v>
      </c>
      <c r="D315">
        <f>INDEX(Coin1!$A:$D,MATCH(VLOOKUP(Coin3!$A315,Correspondance!$D:$E,2,FALSE),Coin1!$A:$A,0),4)</f>
        <v>38.292275618487288</v>
      </c>
    </row>
    <row r="316" spans="1:4" x14ac:dyDescent="0.35">
      <c r="A316">
        <f t="shared" si="4"/>
        <v>1315</v>
      </c>
      <c r="B316">
        <f>2*$I$1-INDEX(Coin1!$A:$D,MATCH(VLOOKUP(Coin3!$A316,Correspondance!$D:$E,2,FALSE),Coin1!$A:$A,0),2)</f>
        <v>61.222500000000004</v>
      </c>
      <c r="C316">
        <f>INDEX(Coin1!$A:$D,MATCH(VLOOKUP(Coin3!$A316,Correspondance!$D:$E,2,FALSE),Coin1!$A:$A,0),3)</f>
        <v>5.3869999999999996</v>
      </c>
      <c r="D316">
        <f>INDEX(Coin1!$A:$D,MATCH(VLOOKUP(Coin3!$A316,Correspondance!$D:$E,2,FALSE),Coin1!$A:$A,0),4)</f>
        <v>38.292275618487288</v>
      </c>
    </row>
    <row r="317" spans="1:4" x14ac:dyDescent="0.35">
      <c r="A317">
        <f t="shared" si="4"/>
        <v>1316</v>
      </c>
      <c r="B317">
        <f>2*$I$1-INDEX(Coin1!$A:$D,MATCH(VLOOKUP(Coin3!$A317,Correspondance!$D:$E,2,FALSE),Coin1!$A:$A,0),2)</f>
        <v>61.222500000000004</v>
      </c>
      <c r="C317">
        <f>INDEX(Coin1!$A:$D,MATCH(VLOOKUP(Coin3!$A317,Correspondance!$D:$E,2,FALSE),Coin1!$A:$A,0),3)</f>
        <v>8.08</v>
      </c>
      <c r="D317">
        <f>INDEX(Coin1!$A:$D,MATCH(VLOOKUP(Coin3!$A317,Correspondance!$D:$E,2,FALSE),Coin1!$A:$A,0),4)</f>
        <v>38.292275618487288</v>
      </c>
    </row>
    <row r="318" spans="1:4" x14ac:dyDescent="0.35">
      <c r="A318">
        <f t="shared" si="4"/>
        <v>1317</v>
      </c>
      <c r="B318">
        <f>2*$I$1-INDEX(Coin1!$A:$D,MATCH(VLOOKUP(Coin3!$A318,Correspondance!$D:$E,2,FALSE),Coin1!$A:$A,0),2)</f>
        <v>61.222500000000004</v>
      </c>
      <c r="C318">
        <f>INDEX(Coin1!$A:$D,MATCH(VLOOKUP(Coin3!$A318,Correspondance!$D:$E,2,FALSE),Coin1!$A:$A,0),3)</f>
        <v>10.773</v>
      </c>
      <c r="D318">
        <f>INDEX(Coin1!$A:$D,MATCH(VLOOKUP(Coin3!$A318,Correspondance!$D:$E,2,FALSE),Coin1!$A:$A,0),4)</f>
        <v>38.292275618487288</v>
      </c>
    </row>
    <row r="319" spans="1:4" x14ac:dyDescent="0.35">
      <c r="A319">
        <f t="shared" si="4"/>
        <v>1318</v>
      </c>
      <c r="B319">
        <f>2*$I$1-INDEX(Coin1!$A:$D,MATCH(VLOOKUP(Coin3!$A319,Correspondance!$D:$E,2,FALSE),Coin1!$A:$A,0),2)</f>
        <v>61.222500000000004</v>
      </c>
      <c r="C319">
        <f>INDEX(Coin1!$A:$D,MATCH(VLOOKUP(Coin3!$A319,Correspondance!$D:$E,2,FALSE),Coin1!$A:$A,0),3)</f>
        <v>13.467000000000001</v>
      </c>
      <c r="D319">
        <f>INDEX(Coin1!$A:$D,MATCH(VLOOKUP(Coin3!$A319,Correspondance!$D:$E,2,FALSE),Coin1!$A:$A,0),4)</f>
        <v>38.292275618487288</v>
      </c>
    </row>
    <row r="320" spans="1:4" x14ac:dyDescent="0.35">
      <c r="A320">
        <f t="shared" si="4"/>
        <v>1319</v>
      </c>
      <c r="B320">
        <f>2*$I$1-INDEX(Coin1!$A:$D,MATCH(VLOOKUP(Coin3!$A320,Correspondance!$D:$E,2,FALSE),Coin1!$A:$A,0),2)</f>
        <v>61.222500000000004</v>
      </c>
      <c r="C320">
        <f>INDEX(Coin1!$A:$D,MATCH(VLOOKUP(Coin3!$A320,Correspondance!$D:$E,2,FALSE),Coin1!$A:$A,0),3)</f>
        <v>16.16</v>
      </c>
      <c r="D320">
        <f>INDEX(Coin1!$A:$D,MATCH(VLOOKUP(Coin3!$A320,Correspondance!$D:$E,2,FALSE),Coin1!$A:$A,0),4)</f>
        <v>38.292275618487288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321"/>
  <sheetViews>
    <sheetView workbookViewId="0">
      <selection activeCell="G27" sqref="G27"/>
    </sheetView>
  </sheetViews>
  <sheetFormatPr baseColWidth="10" defaultColWidth="8.7265625" defaultRowHeight="14.5" x14ac:dyDescent="0.35"/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H1" t="s">
        <v>52</v>
      </c>
      <c r="I1">
        <f>INITIALIZE!D26/2</f>
        <v>34.012500000000003</v>
      </c>
    </row>
    <row r="2" spans="1:9" x14ac:dyDescent="0.35">
      <c r="A2">
        <v>1501</v>
      </c>
      <c r="B2">
        <f>2*$I$1-INDEX(Coin2!$A:$D,MATCH(VLOOKUP(Coin4!$A2,Correspondance!$G:$H,2,FALSE),Coin2!$A:$A,0),2)</f>
        <v>54.42</v>
      </c>
      <c r="C2">
        <f>INDEX(Coin2!$A:$D,MATCH(VLOOKUP(Coin4!$A2,Correspondance!$G:$H,2,FALSE),Coin2!$A:$A,0),3)</f>
        <v>80.800000000000011</v>
      </c>
      <c r="D2">
        <f>INDEX(Coin2!$A:$D,MATCH(VLOOKUP(Coin4!$A2,Correspondance!$G:$H,2,FALSE),Coin2!$A:$A,0),4)</f>
        <v>0</v>
      </c>
      <c r="F2" t="s">
        <v>50</v>
      </c>
      <c r="H2" t="s">
        <v>51</v>
      </c>
      <c r="I2">
        <f>INITIALIZE!D25/2</f>
        <v>48.480000000000004</v>
      </c>
    </row>
    <row r="3" spans="1:9" x14ac:dyDescent="0.35">
      <c r="A3">
        <f>A2+1</f>
        <v>1502</v>
      </c>
      <c r="B3">
        <f>2*$I$1-INDEX(Coin2!$A:$D,MATCH(VLOOKUP(Coin4!$A3,Correspondance!$G:$H,2,FALSE),Coin2!$A:$A,0),2)</f>
        <v>68.025000000000006</v>
      </c>
      <c r="C3">
        <f>INDEX(Coin2!$A:$D,MATCH(VLOOKUP(Coin4!$A3,Correspondance!$G:$H,2,FALSE),Coin2!$A:$A,0),3)</f>
        <v>80.800000000000011</v>
      </c>
      <c r="D3">
        <f>INDEX(Coin2!$A:$D,MATCH(VLOOKUP(Coin4!$A3,Correspondance!$G:$H,2,FALSE),Coin2!$A:$A,0),4)</f>
        <v>0</v>
      </c>
    </row>
    <row r="4" spans="1:9" x14ac:dyDescent="0.35">
      <c r="A4">
        <f t="shared" ref="A4:A67" si="0">A3+1</f>
        <v>1503</v>
      </c>
      <c r="B4">
        <f>2*$I$1-INDEX(Coin2!$A:$D,MATCH(VLOOKUP(Coin4!$A4,Correspondance!$G:$H,2,FALSE),Coin2!$A:$A,0),2)</f>
        <v>54.42</v>
      </c>
      <c r="C4">
        <f>INDEX(Coin2!$A:$D,MATCH(VLOOKUP(Coin4!$A4,Correspondance!$G:$H,2,FALSE),Coin2!$A:$A,0),3)</f>
        <v>96.960000000000008</v>
      </c>
      <c r="D4">
        <f>INDEX(Coin2!$A:$D,MATCH(VLOOKUP(Coin4!$A4,Correspondance!$G:$H,2,FALSE),Coin2!$A:$A,0),4)</f>
        <v>0</v>
      </c>
    </row>
    <row r="5" spans="1:9" x14ac:dyDescent="0.35">
      <c r="A5">
        <f t="shared" si="0"/>
        <v>1504</v>
      </c>
      <c r="B5">
        <f>2*$I$1-INDEX(Coin2!$A:$D,MATCH(VLOOKUP(Coin4!$A5,Correspondance!$G:$H,2,FALSE),Coin2!$A:$A,0),2)</f>
        <v>68.025000000000006</v>
      </c>
      <c r="C5">
        <f>INDEX(Coin2!$A:$D,MATCH(VLOOKUP(Coin4!$A5,Correspondance!$G:$H,2,FALSE),Coin2!$A:$A,0),3)</f>
        <v>96.960000000000008</v>
      </c>
      <c r="D5">
        <f>INDEX(Coin2!$A:$D,MATCH(VLOOKUP(Coin4!$A5,Correspondance!$G:$H,2,FALSE),Coin2!$A:$A,0),4)</f>
        <v>0</v>
      </c>
    </row>
    <row r="6" spans="1:9" x14ac:dyDescent="0.35">
      <c r="A6">
        <f t="shared" si="0"/>
        <v>1505</v>
      </c>
      <c r="B6">
        <f>2*$I$1-INDEX(Coin2!$A:$D,MATCH(VLOOKUP(Coin4!$A6,Correspondance!$G:$H,2,FALSE),Coin2!$A:$A,0),2)</f>
        <v>54.42</v>
      </c>
      <c r="C6">
        <f>INDEX(Coin2!$A:$D,MATCH(VLOOKUP(Coin4!$A6,Correspondance!$G:$H,2,FALSE),Coin2!$A:$A,0),3)</f>
        <v>80.800000000000011</v>
      </c>
      <c r="D6">
        <f>INDEX(Coin2!$A:$D,MATCH(VLOOKUP(Coin4!$A6,Correspondance!$G:$H,2,FALSE),Coin2!$A:$A,0),4)</f>
        <v>8.85</v>
      </c>
    </row>
    <row r="7" spans="1:9" x14ac:dyDescent="0.35">
      <c r="A7">
        <f t="shared" si="0"/>
        <v>1506</v>
      </c>
      <c r="B7">
        <f>2*$I$1-INDEX(Coin2!$A:$D,MATCH(VLOOKUP(Coin4!$A7,Correspondance!$G:$H,2,FALSE),Coin2!$A:$A,0),2)</f>
        <v>61.222000000000008</v>
      </c>
      <c r="C7">
        <f>INDEX(Coin2!$A:$D,MATCH(VLOOKUP(Coin4!$A7,Correspondance!$G:$H,2,FALSE),Coin2!$A:$A,0),3)</f>
        <v>80.800000000000011</v>
      </c>
      <c r="D7">
        <f>INDEX(Coin2!$A:$D,MATCH(VLOOKUP(Coin4!$A7,Correspondance!$G:$H,2,FALSE),Coin2!$A:$A,0),4)</f>
        <v>8.85</v>
      </c>
    </row>
    <row r="8" spans="1:9" x14ac:dyDescent="0.35">
      <c r="A8">
        <f t="shared" si="0"/>
        <v>1507</v>
      </c>
      <c r="B8">
        <f>2*$I$1-INDEX(Coin2!$A:$D,MATCH(VLOOKUP(Coin4!$A8,Correspondance!$G:$H,2,FALSE),Coin2!$A:$A,0),2)</f>
        <v>68.025000000000006</v>
      </c>
      <c r="C8">
        <f>INDEX(Coin2!$A:$D,MATCH(VLOOKUP(Coin4!$A8,Correspondance!$G:$H,2,FALSE),Coin2!$A:$A,0),3)</f>
        <v>80.800000000000011</v>
      </c>
      <c r="D8">
        <f>INDEX(Coin2!$A:$D,MATCH(VLOOKUP(Coin4!$A8,Correspondance!$G:$H,2,FALSE),Coin2!$A:$A,0),4)</f>
        <v>8.85</v>
      </c>
    </row>
    <row r="9" spans="1:9" x14ac:dyDescent="0.35">
      <c r="A9">
        <f t="shared" si="0"/>
        <v>1508</v>
      </c>
      <c r="B9">
        <f>2*$I$1-INDEX(Coin2!$A:$D,MATCH(VLOOKUP(Coin4!$A9,Correspondance!$G:$H,2,FALSE),Coin2!$A:$A,0),2)</f>
        <v>54.42</v>
      </c>
      <c r="C9">
        <f>INDEX(Coin2!$A:$D,MATCH(VLOOKUP(Coin4!$A9,Correspondance!$G:$H,2,FALSE),Coin2!$A:$A,0),3)</f>
        <v>88.88000000000001</v>
      </c>
      <c r="D9">
        <f>INDEX(Coin2!$A:$D,MATCH(VLOOKUP(Coin4!$A9,Correspondance!$G:$H,2,FALSE),Coin2!$A:$A,0),4)</f>
        <v>8.85</v>
      </c>
    </row>
    <row r="10" spans="1:9" x14ac:dyDescent="0.35">
      <c r="A10">
        <f t="shared" si="0"/>
        <v>1509</v>
      </c>
      <c r="B10">
        <f>2*$I$1-INDEX(Coin2!$A:$D,MATCH(VLOOKUP(Coin4!$A10,Correspondance!$G:$H,2,FALSE),Coin2!$A:$A,0),2)</f>
        <v>68.025000000000006</v>
      </c>
      <c r="C10">
        <f>INDEX(Coin2!$A:$D,MATCH(VLOOKUP(Coin4!$A10,Correspondance!$G:$H,2,FALSE),Coin2!$A:$A,0),3)</f>
        <v>88.88000000000001</v>
      </c>
      <c r="D10">
        <f>INDEX(Coin2!$A:$D,MATCH(VLOOKUP(Coin4!$A10,Correspondance!$G:$H,2,FALSE),Coin2!$A:$A,0),4)</f>
        <v>8.85</v>
      </c>
    </row>
    <row r="11" spans="1:9" x14ac:dyDescent="0.35">
      <c r="A11">
        <f t="shared" si="0"/>
        <v>1510</v>
      </c>
      <c r="B11">
        <f>2*$I$1-INDEX(Coin2!$A:$D,MATCH(VLOOKUP(Coin4!$A11,Correspondance!$G:$H,2,FALSE),Coin2!$A:$A,0),2)</f>
        <v>54.42</v>
      </c>
      <c r="C11">
        <f>INDEX(Coin2!$A:$D,MATCH(VLOOKUP(Coin4!$A11,Correspondance!$G:$H,2,FALSE),Coin2!$A:$A,0),3)</f>
        <v>96.960000000000008</v>
      </c>
      <c r="D11">
        <f>INDEX(Coin2!$A:$D,MATCH(VLOOKUP(Coin4!$A11,Correspondance!$G:$H,2,FALSE),Coin2!$A:$A,0),4)</f>
        <v>8.85</v>
      </c>
    </row>
    <row r="12" spans="1:9" x14ac:dyDescent="0.35">
      <c r="A12">
        <f t="shared" si="0"/>
        <v>1511</v>
      </c>
      <c r="B12">
        <f>2*$I$1-INDEX(Coin2!$A:$D,MATCH(VLOOKUP(Coin4!$A12,Correspondance!$G:$H,2,FALSE),Coin2!$A:$A,0),2)</f>
        <v>61.222000000000008</v>
      </c>
      <c r="C12">
        <f>INDEX(Coin2!$A:$D,MATCH(VLOOKUP(Coin4!$A12,Correspondance!$G:$H,2,FALSE),Coin2!$A:$A,0),3)</f>
        <v>96.960000000000008</v>
      </c>
      <c r="D12">
        <f>INDEX(Coin2!$A:$D,MATCH(VLOOKUP(Coin4!$A12,Correspondance!$G:$H,2,FALSE),Coin2!$A:$A,0),4)</f>
        <v>8.85</v>
      </c>
    </row>
    <row r="13" spans="1:9" x14ac:dyDescent="0.35">
      <c r="A13">
        <f t="shared" si="0"/>
        <v>1512</v>
      </c>
      <c r="B13">
        <f>2*$I$1-INDEX(Coin2!$A:$D,MATCH(VLOOKUP(Coin4!$A13,Correspondance!$G:$H,2,FALSE),Coin2!$A:$A,0),2)</f>
        <v>68.025000000000006</v>
      </c>
      <c r="C13">
        <f>INDEX(Coin2!$A:$D,MATCH(VLOOKUP(Coin4!$A13,Correspondance!$G:$H,2,FALSE),Coin2!$A:$A,0),3)</f>
        <v>96.960000000000008</v>
      </c>
      <c r="D13">
        <f>INDEX(Coin2!$A:$D,MATCH(VLOOKUP(Coin4!$A13,Correspondance!$G:$H,2,FALSE),Coin2!$A:$A,0),4)</f>
        <v>8.85</v>
      </c>
    </row>
    <row r="14" spans="1:9" x14ac:dyDescent="0.35">
      <c r="A14">
        <f t="shared" si="0"/>
        <v>1513</v>
      </c>
      <c r="B14">
        <f>2*$I$1-INDEX(Coin2!$A:$D,MATCH(VLOOKUP(Coin4!$A14,Correspondance!$G:$H,2,FALSE),Coin2!$A:$A,0),2)</f>
        <v>54.42</v>
      </c>
      <c r="C14">
        <f>INDEX(Coin2!$A:$D,MATCH(VLOOKUP(Coin4!$A14,Correspondance!$G:$H,2,FALSE),Coin2!$A:$A,0),3)</f>
        <v>80.800000000000011</v>
      </c>
      <c r="D14">
        <f>INDEX(Coin2!$A:$D,MATCH(VLOOKUP(Coin4!$A14,Correspondance!$G:$H,2,FALSE),Coin2!$A:$A,0),4)</f>
        <v>17.7</v>
      </c>
    </row>
    <row r="15" spans="1:9" x14ac:dyDescent="0.35">
      <c r="A15">
        <f t="shared" si="0"/>
        <v>1514</v>
      </c>
      <c r="B15">
        <f>2*$I$1-INDEX(Coin2!$A:$D,MATCH(VLOOKUP(Coin4!$A15,Correspondance!$G:$H,2,FALSE),Coin2!$A:$A,0),2)</f>
        <v>61.222000000000008</v>
      </c>
      <c r="C15">
        <f>INDEX(Coin2!$A:$D,MATCH(VLOOKUP(Coin4!$A15,Correspondance!$G:$H,2,FALSE),Coin2!$A:$A,0),3)</f>
        <v>80.800000000000011</v>
      </c>
      <c r="D15">
        <f>INDEX(Coin2!$A:$D,MATCH(VLOOKUP(Coin4!$A15,Correspondance!$G:$H,2,FALSE),Coin2!$A:$A,0),4)</f>
        <v>17.7</v>
      </c>
    </row>
    <row r="16" spans="1:9" x14ac:dyDescent="0.35">
      <c r="A16">
        <f t="shared" si="0"/>
        <v>1515</v>
      </c>
      <c r="B16">
        <f>2*$I$1-INDEX(Coin2!$A:$D,MATCH(VLOOKUP(Coin4!$A16,Correspondance!$G:$H,2,FALSE),Coin2!$A:$A,0),2)</f>
        <v>68.025000000000006</v>
      </c>
      <c r="C16">
        <f>INDEX(Coin2!$A:$D,MATCH(VLOOKUP(Coin4!$A16,Correspondance!$G:$H,2,FALSE),Coin2!$A:$A,0),3)</f>
        <v>80.800000000000011</v>
      </c>
      <c r="D16">
        <f>INDEX(Coin2!$A:$D,MATCH(VLOOKUP(Coin4!$A16,Correspondance!$G:$H,2,FALSE),Coin2!$A:$A,0),4)</f>
        <v>17.7</v>
      </c>
    </row>
    <row r="17" spans="1:4" x14ac:dyDescent="0.35">
      <c r="A17">
        <f t="shared" si="0"/>
        <v>1516</v>
      </c>
      <c r="B17">
        <f>2*$I$1-INDEX(Coin2!$A:$D,MATCH(VLOOKUP(Coin4!$A17,Correspondance!$G:$H,2,FALSE),Coin2!$A:$A,0),2)</f>
        <v>54.42</v>
      </c>
      <c r="C17">
        <f>INDEX(Coin2!$A:$D,MATCH(VLOOKUP(Coin4!$A17,Correspondance!$G:$H,2,FALSE),Coin2!$A:$A,0),3)</f>
        <v>88.88000000000001</v>
      </c>
      <c r="D17">
        <f>INDEX(Coin2!$A:$D,MATCH(VLOOKUP(Coin4!$A17,Correspondance!$G:$H,2,FALSE),Coin2!$A:$A,0),4)</f>
        <v>17.7</v>
      </c>
    </row>
    <row r="18" spans="1:4" x14ac:dyDescent="0.35">
      <c r="A18">
        <f t="shared" si="0"/>
        <v>1517</v>
      </c>
      <c r="B18">
        <f>2*$I$1-INDEX(Coin2!$A:$D,MATCH(VLOOKUP(Coin4!$A18,Correspondance!$G:$H,2,FALSE),Coin2!$A:$A,0),2)</f>
        <v>68.025000000000006</v>
      </c>
      <c r="C18">
        <f>INDEX(Coin2!$A:$D,MATCH(VLOOKUP(Coin4!$A18,Correspondance!$G:$H,2,FALSE),Coin2!$A:$A,0),3)</f>
        <v>88.88000000000001</v>
      </c>
      <c r="D18">
        <f>INDEX(Coin2!$A:$D,MATCH(VLOOKUP(Coin4!$A18,Correspondance!$G:$H,2,FALSE),Coin2!$A:$A,0),4)</f>
        <v>17.7</v>
      </c>
    </row>
    <row r="19" spans="1:4" x14ac:dyDescent="0.35">
      <c r="A19">
        <f t="shared" si="0"/>
        <v>1518</v>
      </c>
      <c r="B19">
        <f>2*$I$1-INDEX(Coin2!$A:$D,MATCH(VLOOKUP(Coin4!$A19,Correspondance!$G:$H,2,FALSE),Coin2!$A:$A,0),2)</f>
        <v>54.42</v>
      </c>
      <c r="C19">
        <f>INDEX(Coin2!$A:$D,MATCH(VLOOKUP(Coin4!$A19,Correspondance!$G:$H,2,FALSE),Coin2!$A:$A,0),3)</f>
        <v>96.960000000000008</v>
      </c>
      <c r="D19">
        <f>INDEX(Coin2!$A:$D,MATCH(VLOOKUP(Coin4!$A19,Correspondance!$G:$H,2,FALSE),Coin2!$A:$A,0),4)</f>
        <v>17.7</v>
      </c>
    </row>
    <row r="20" spans="1:4" x14ac:dyDescent="0.35">
      <c r="A20">
        <f t="shared" si="0"/>
        <v>1519</v>
      </c>
      <c r="B20">
        <f>2*$I$1-INDEX(Coin2!$A:$D,MATCH(VLOOKUP(Coin4!$A20,Correspondance!$G:$H,2,FALSE),Coin2!$A:$A,0),2)</f>
        <v>61.222000000000008</v>
      </c>
      <c r="C20">
        <f>INDEX(Coin2!$A:$D,MATCH(VLOOKUP(Coin4!$A20,Correspondance!$G:$H,2,FALSE),Coin2!$A:$A,0),3)</f>
        <v>96.960000000000008</v>
      </c>
      <c r="D20">
        <f>INDEX(Coin2!$A:$D,MATCH(VLOOKUP(Coin4!$A20,Correspondance!$G:$H,2,FALSE),Coin2!$A:$A,0),4)</f>
        <v>17.7</v>
      </c>
    </row>
    <row r="21" spans="1:4" x14ac:dyDescent="0.35">
      <c r="A21">
        <f t="shared" si="0"/>
        <v>1520</v>
      </c>
      <c r="B21">
        <f>2*$I$1-INDEX(Coin2!$A:$D,MATCH(VLOOKUP(Coin4!$A21,Correspondance!$G:$H,2,FALSE),Coin2!$A:$A,0),2)</f>
        <v>68.025000000000006</v>
      </c>
      <c r="C21">
        <f>INDEX(Coin2!$A:$D,MATCH(VLOOKUP(Coin4!$A21,Correspondance!$G:$H,2,FALSE),Coin2!$A:$A,0),3)</f>
        <v>96.960000000000008</v>
      </c>
      <c r="D21">
        <f>INDEX(Coin2!$A:$D,MATCH(VLOOKUP(Coin4!$A21,Correspondance!$G:$H,2,FALSE),Coin2!$A:$A,0),4)</f>
        <v>17.7</v>
      </c>
    </row>
    <row r="22" spans="1:4" x14ac:dyDescent="0.35">
      <c r="A22">
        <f t="shared" si="0"/>
        <v>1521</v>
      </c>
      <c r="B22">
        <f>2*$I$1-INDEX(Coin2!$A:$D,MATCH(VLOOKUP(Coin4!$A22,Correspondance!$G:$H,2,FALSE),Coin2!$A:$A,0),2)</f>
        <v>54.42</v>
      </c>
      <c r="C22">
        <f>INDEX(Coin2!$A:$D,MATCH(VLOOKUP(Coin4!$A22,Correspondance!$G:$H,2,FALSE),Coin2!$A:$A,0),3)</f>
        <v>80.800000000000011</v>
      </c>
      <c r="D22">
        <f>INDEX(Coin2!$A:$D,MATCH(VLOOKUP(Coin4!$A22,Correspondance!$G:$H,2,FALSE),Coin2!$A:$A,0),4)</f>
        <v>24.96</v>
      </c>
    </row>
    <row r="23" spans="1:4" x14ac:dyDescent="0.35">
      <c r="A23">
        <f t="shared" si="0"/>
        <v>1522</v>
      </c>
      <c r="B23">
        <f>2*$I$1-INDEX(Coin2!$A:$D,MATCH(VLOOKUP(Coin4!$A23,Correspondance!$G:$H,2,FALSE),Coin2!$A:$A,0),2)</f>
        <v>68.025000000000006</v>
      </c>
      <c r="C23">
        <f>INDEX(Coin2!$A:$D,MATCH(VLOOKUP(Coin4!$A23,Correspondance!$G:$H,2,FALSE),Coin2!$A:$A,0),3)</f>
        <v>80.800000000000011</v>
      </c>
      <c r="D23">
        <f>INDEX(Coin2!$A:$D,MATCH(VLOOKUP(Coin4!$A23,Correspondance!$G:$H,2,FALSE),Coin2!$A:$A,0),4)</f>
        <v>24.96</v>
      </c>
    </row>
    <row r="24" spans="1:4" x14ac:dyDescent="0.35">
      <c r="A24">
        <f t="shared" si="0"/>
        <v>1523</v>
      </c>
      <c r="B24">
        <f>2*$I$1-INDEX(Coin2!$A:$D,MATCH(VLOOKUP(Coin4!$A24,Correspondance!$G:$H,2,FALSE),Coin2!$A:$A,0),2)</f>
        <v>54.42</v>
      </c>
      <c r="C24">
        <f>INDEX(Coin2!$A:$D,MATCH(VLOOKUP(Coin4!$A24,Correspondance!$G:$H,2,FALSE),Coin2!$A:$A,0),3)</f>
        <v>96.960000000000008</v>
      </c>
      <c r="D24">
        <f>INDEX(Coin2!$A:$D,MATCH(VLOOKUP(Coin4!$A24,Correspondance!$G:$H,2,FALSE),Coin2!$A:$A,0),4)</f>
        <v>24.96</v>
      </c>
    </row>
    <row r="25" spans="1:4" x14ac:dyDescent="0.35">
      <c r="A25">
        <f t="shared" si="0"/>
        <v>1524</v>
      </c>
      <c r="B25">
        <f>2*$I$1-INDEX(Coin2!$A:$D,MATCH(VLOOKUP(Coin4!$A25,Correspondance!$G:$H,2,FALSE),Coin2!$A:$A,0),2)</f>
        <v>68.025000000000006</v>
      </c>
      <c r="C25">
        <f>INDEX(Coin2!$A:$D,MATCH(VLOOKUP(Coin4!$A25,Correspondance!$G:$H,2,FALSE),Coin2!$A:$A,0),3)</f>
        <v>96.960000000000008</v>
      </c>
      <c r="D25">
        <f>INDEX(Coin2!$A:$D,MATCH(VLOOKUP(Coin4!$A25,Correspondance!$G:$H,2,FALSE),Coin2!$A:$A,0),4)</f>
        <v>24.96</v>
      </c>
    </row>
    <row r="26" spans="1:4" x14ac:dyDescent="0.35">
      <c r="A26">
        <f t="shared" si="0"/>
        <v>1525</v>
      </c>
      <c r="B26">
        <f>2*$I$1-INDEX(Coin2!$A:$D,MATCH(VLOOKUP(Coin4!$A26,Correspondance!$G:$H,2,FALSE),Coin2!$A:$A,0),2)</f>
        <v>54.42</v>
      </c>
      <c r="C26">
        <f>INDEX(Coin2!$A:$D,MATCH(VLOOKUP(Coin4!$A26,Correspondance!$G:$H,2,FALSE),Coin2!$A:$A,0),3)</f>
        <v>80.800000000000011</v>
      </c>
      <c r="D26">
        <f>INDEX(Coin2!$A:$D,MATCH(VLOOKUP(Coin4!$A26,Correspondance!$G:$H,2,FALSE),Coin2!$A:$A,0),4)</f>
        <v>26.36</v>
      </c>
    </row>
    <row r="27" spans="1:4" x14ac:dyDescent="0.35">
      <c r="A27">
        <f t="shared" si="0"/>
        <v>1526</v>
      </c>
      <c r="B27">
        <f>2*$I$1-INDEX(Coin2!$A:$D,MATCH(VLOOKUP(Coin4!$A27,Correspondance!$G:$H,2,FALSE),Coin2!$A:$A,0),2)</f>
        <v>56.474624462656628</v>
      </c>
      <c r="C27">
        <f>INDEX(Coin2!$A:$D,MATCH(VLOOKUP(Coin4!$A27,Correspondance!$G:$H,2,FALSE),Coin2!$A:$A,0),3)</f>
        <v>80.800000000000011</v>
      </c>
      <c r="D27">
        <f>INDEX(Coin2!$A:$D,MATCH(VLOOKUP(Coin4!$A27,Correspondance!$G:$H,2,FALSE),Coin2!$A:$A,0),4)</f>
        <v>26.36</v>
      </c>
    </row>
    <row r="28" spans="1:4" x14ac:dyDescent="0.35">
      <c r="A28">
        <f t="shared" si="0"/>
        <v>1527</v>
      </c>
      <c r="B28">
        <f>2*$I$1-INDEX(Coin2!$A:$D,MATCH(VLOOKUP(Coin4!$A28,Correspondance!$G:$H,2,FALSE),Coin2!$A:$A,0),2)</f>
        <v>58.529248925313254</v>
      </c>
      <c r="C28">
        <f>INDEX(Coin2!$A:$D,MATCH(VLOOKUP(Coin4!$A28,Correspondance!$G:$H,2,FALSE),Coin2!$A:$A,0),3)</f>
        <v>80.800000000000011</v>
      </c>
      <c r="D28">
        <f>INDEX(Coin2!$A:$D,MATCH(VLOOKUP(Coin4!$A28,Correspondance!$G:$H,2,FALSE),Coin2!$A:$A,0),4)</f>
        <v>26.36</v>
      </c>
    </row>
    <row r="29" spans="1:4" x14ac:dyDescent="0.35">
      <c r="A29">
        <f t="shared" si="0"/>
        <v>1528</v>
      </c>
      <c r="B29">
        <f>2*$I$1-INDEX(Coin2!$A:$D,MATCH(VLOOKUP(Coin4!$A29,Correspondance!$G:$H,2,FALSE),Coin2!$A:$A,0),2)</f>
        <v>60.583873387969874</v>
      </c>
      <c r="C29">
        <f>INDEX(Coin2!$A:$D,MATCH(VLOOKUP(Coin4!$A29,Correspondance!$G:$H,2,FALSE),Coin2!$A:$A,0),3)</f>
        <v>80.800000000000011</v>
      </c>
      <c r="D29">
        <f>INDEX(Coin2!$A:$D,MATCH(VLOOKUP(Coin4!$A29,Correspondance!$G:$H,2,FALSE),Coin2!$A:$A,0),4)</f>
        <v>26.36</v>
      </c>
    </row>
    <row r="30" spans="1:4" x14ac:dyDescent="0.35">
      <c r="A30">
        <f t="shared" si="0"/>
        <v>1529</v>
      </c>
      <c r="B30">
        <f>2*$I$1-INDEX(Coin2!$A:$D,MATCH(VLOOKUP(Coin4!$A30,Correspondance!$G:$H,2,FALSE),Coin2!$A:$A,0),2)</f>
        <v>60.372500000000002</v>
      </c>
      <c r="C30">
        <f>INDEX(Coin2!$A:$D,MATCH(VLOOKUP(Coin4!$A30,Correspondance!$G:$H,2,FALSE),Coin2!$A:$A,0),3)</f>
        <v>80.800000000000011</v>
      </c>
      <c r="D30">
        <f>INDEX(Coin2!$A:$D,MATCH(VLOOKUP(Coin4!$A30,Correspondance!$G:$H,2,FALSE),Coin2!$A:$A,0),4)</f>
        <v>26.36</v>
      </c>
    </row>
    <row r="31" spans="1:4" x14ac:dyDescent="0.35">
      <c r="A31">
        <f t="shared" si="0"/>
        <v>1530</v>
      </c>
      <c r="B31">
        <f>2*$I$1-INDEX(Coin2!$A:$D,MATCH(VLOOKUP(Coin4!$A31,Correspondance!$G:$H,2,FALSE),Coin2!$A:$A,0),2)</f>
        <v>60.607500000000002</v>
      </c>
      <c r="C31">
        <f>INDEX(Coin2!$A:$D,MATCH(VLOOKUP(Coin4!$A31,Correspondance!$G:$H,2,FALSE),Coin2!$A:$A,0),3)</f>
        <v>80.800000000000011</v>
      </c>
      <c r="D31">
        <f>INDEX(Coin2!$A:$D,MATCH(VLOOKUP(Coin4!$A31,Correspondance!$G:$H,2,FALSE),Coin2!$A:$A,0),4)</f>
        <v>26.36</v>
      </c>
    </row>
    <row r="32" spans="1:4" x14ac:dyDescent="0.35">
      <c r="A32">
        <f t="shared" si="0"/>
        <v>1531</v>
      </c>
      <c r="B32">
        <f>2*$I$1-INDEX(Coin2!$A:$D,MATCH(VLOOKUP(Coin4!$A32,Correspondance!$G:$H,2,FALSE),Coin2!$A:$A,0),2)</f>
        <v>61.222500000000004</v>
      </c>
      <c r="C32">
        <f>INDEX(Coin2!$A:$D,MATCH(VLOOKUP(Coin4!$A32,Correspondance!$G:$H,2,FALSE),Coin2!$A:$A,0),3)</f>
        <v>80.800000000000011</v>
      </c>
      <c r="D32">
        <f>INDEX(Coin2!$A:$D,MATCH(VLOOKUP(Coin4!$A32,Correspondance!$G:$H,2,FALSE),Coin2!$A:$A,0),4)</f>
        <v>26.36</v>
      </c>
    </row>
    <row r="33" spans="1:4" x14ac:dyDescent="0.35">
      <c r="A33">
        <f t="shared" si="0"/>
        <v>1532</v>
      </c>
      <c r="B33">
        <f>2*$I$1-INDEX(Coin2!$A:$D,MATCH(VLOOKUP(Coin4!$A33,Correspondance!$G:$H,2,FALSE),Coin2!$A:$A,0),2)</f>
        <v>61.837500000000006</v>
      </c>
      <c r="C33">
        <f>INDEX(Coin2!$A:$D,MATCH(VLOOKUP(Coin4!$A33,Correspondance!$G:$H,2,FALSE),Coin2!$A:$A,0),3)</f>
        <v>80.800000000000011</v>
      </c>
      <c r="D33">
        <f>INDEX(Coin2!$A:$D,MATCH(VLOOKUP(Coin4!$A33,Correspondance!$G:$H,2,FALSE),Coin2!$A:$A,0),4)</f>
        <v>26.36</v>
      </c>
    </row>
    <row r="34" spans="1:4" x14ac:dyDescent="0.35">
      <c r="A34">
        <f t="shared" si="0"/>
        <v>1533</v>
      </c>
      <c r="B34">
        <f>2*$I$1-INDEX(Coin2!$A:$D,MATCH(VLOOKUP(Coin4!$A34,Correspondance!$G:$H,2,FALSE),Coin2!$A:$A,0),2)</f>
        <v>62.072500000000005</v>
      </c>
      <c r="C34">
        <f>INDEX(Coin2!$A:$D,MATCH(VLOOKUP(Coin4!$A34,Correspondance!$G:$H,2,FALSE),Coin2!$A:$A,0),3)</f>
        <v>80.800000000000011</v>
      </c>
      <c r="D34">
        <f>INDEX(Coin2!$A:$D,MATCH(VLOOKUP(Coin4!$A34,Correspondance!$G:$H,2,FALSE),Coin2!$A:$A,0),4)</f>
        <v>26.36</v>
      </c>
    </row>
    <row r="35" spans="1:4" x14ac:dyDescent="0.35">
      <c r="A35">
        <f t="shared" si="0"/>
        <v>1534</v>
      </c>
      <c r="B35">
        <f>2*$I$1-INDEX(Coin2!$A:$D,MATCH(VLOOKUP(Coin4!$A35,Correspondance!$G:$H,2,FALSE),Coin2!$A:$A,0),2)</f>
        <v>61.861126612030134</v>
      </c>
      <c r="C35">
        <f>INDEX(Coin2!$A:$D,MATCH(VLOOKUP(Coin4!$A35,Correspondance!$G:$H,2,FALSE),Coin2!$A:$A,0),3)</f>
        <v>80.800000000000011</v>
      </c>
      <c r="D35">
        <f>INDEX(Coin2!$A:$D,MATCH(VLOOKUP(Coin4!$A35,Correspondance!$G:$H,2,FALSE),Coin2!$A:$A,0),4)</f>
        <v>26.36</v>
      </c>
    </row>
    <row r="36" spans="1:4" x14ac:dyDescent="0.35">
      <c r="A36">
        <f t="shared" si="0"/>
        <v>1535</v>
      </c>
      <c r="B36">
        <f>2*$I$1-INDEX(Coin2!$A:$D,MATCH(VLOOKUP(Coin4!$A36,Correspondance!$G:$H,2,FALSE),Coin2!$A:$A,0),2)</f>
        <v>63.91575107468676</v>
      </c>
      <c r="C36">
        <f>INDEX(Coin2!$A:$D,MATCH(VLOOKUP(Coin4!$A36,Correspondance!$G:$H,2,FALSE),Coin2!$A:$A,0),3)</f>
        <v>80.800000000000011</v>
      </c>
      <c r="D36">
        <f>INDEX(Coin2!$A:$D,MATCH(VLOOKUP(Coin4!$A36,Correspondance!$G:$H,2,FALSE),Coin2!$A:$A,0),4)</f>
        <v>26.36</v>
      </c>
    </row>
    <row r="37" spans="1:4" x14ac:dyDescent="0.35">
      <c r="A37">
        <f t="shared" si="0"/>
        <v>1536</v>
      </c>
      <c r="B37">
        <f>2*$I$1-INDEX(Coin2!$A:$D,MATCH(VLOOKUP(Coin4!$A37,Correspondance!$G:$H,2,FALSE),Coin2!$A:$A,0),2)</f>
        <v>65.970375537343386</v>
      </c>
      <c r="C37">
        <f>INDEX(Coin2!$A:$D,MATCH(VLOOKUP(Coin4!$A37,Correspondance!$G:$H,2,FALSE),Coin2!$A:$A,0),3)</f>
        <v>80.800000000000011</v>
      </c>
      <c r="D37">
        <f>INDEX(Coin2!$A:$D,MATCH(VLOOKUP(Coin4!$A37,Correspondance!$G:$H,2,FALSE),Coin2!$A:$A,0),4)</f>
        <v>26.36</v>
      </c>
    </row>
    <row r="38" spans="1:4" x14ac:dyDescent="0.35">
      <c r="A38">
        <f t="shared" si="0"/>
        <v>1537</v>
      </c>
      <c r="B38">
        <f>2*$I$1-INDEX(Coin2!$A:$D,MATCH(VLOOKUP(Coin4!$A38,Correspondance!$G:$H,2,FALSE),Coin2!$A:$A,0),2)</f>
        <v>68.025000000000006</v>
      </c>
      <c r="C38">
        <f>INDEX(Coin2!$A:$D,MATCH(VLOOKUP(Coin4!$A38,Correspondance!$G:$H,2,FALSE),Coin2!$A:$A,0),3)</f>
        <v>80.800000000000011</v>
      </c>
      <c r="D38">
        <f>INDEX(Coin2!$A:$D,MATCH(VLOOKUP(Coin4!$A38,Correspondance!$G:$H,2,FALSE),Coin2!$A:$A,0),4)</f>
        <v>26.36</v>
      </c>
    </row>
    <row r="39" spans="1:4" x14ac:dyDescent="0.35">
      <c r="A39">
        <f t="shared" si="0"/>
        <v>1538</v>
      </c>
      <c r="B39">
        <f>2*$I$1-INDEX(Coin2!$A:$D,MATCH(VLOOKUP(Coin4!$A39,Correspondance!$G:$H,2,FALSE),Coin2!$A:$A,0),2)</f>
        <v>69.425000000000011</v>
      </c>
      <c r="C39">
        <f>INDEX(Coin2!$A:$D,MATCH(VLOOKUP(Coin4!$A39,Correspondance!$G:$H,2,FALSE),Coin2!$A:$A,0),3)</f>
        <v>80.800000000000011</v>
      </c>
      <c r="D39">
        <f>INDEX(Coin2!$A:$D,MATCH(VLOOKUP(Coin4!$A39,Correspondance!$G:$H,2,FALSE),Coin2!$A:$A,0),4)</f>
        <v>26.36</v>
      </c>
    </row>
    <row r="40" spans="1:4" x14ac:dyDescent="0.35">
      <c r="A40">
        <f t="shared" si="0"/>
        <v>1539</v>
      </c>
      <c r="B40">
        <f>2*$I$1-INDEX(Coin2!$A:$D,MATCH(VLOOKUP(Coin4!$A40,Correspondance!$G:$H,2,FALSE),Coin2!$A:$A,0),2)</f>
        <v>58.668873387969874</v>
      </c>
      <c r="C40">
        <f>INDEX(Coin2!$A:$D,MATCH(VLOOKUP(Coin4!$A40,Correspondance!$G:$H,2,FALSE),Coin2!$A:$A,0),3)</f>
        <v>82.715000000000003</v>
      </c>
      <c r="D40">
        <f>INDEX(Coin2!$A:$D,MATCH(VLOOKUP(Coin4!$A40,Correspondance!$G:$H,2,FALSE),Coin2!$A:$A,0),4)</f>
        <v>26.36</v>
      </c>
    </row>
    <row r="41" spans="1:4" x14ac:dyDescent="0.35">
      <c r="A41">
        <f t="shared" si="0"/>
        <v>1540</v>
      </c>
      <c r="B41">
        <f>2*$I$1-INDEX(Coin2!$A:$D,MATCH(VLOOKUP(Coin4!$A41,Correspondance!$G:$H,2,FALSE),Coin2!$A:$A,0),2)</f>
        <v>61.222500000000004</v>
      </c>
      <c r="C41">
        <f>INDEX(Coin2!$A:$D,MATCH(VLOOKUP(Coin4!$A41,Correspondance!$G:$H,2,FALSE),Coin2!$A:$A,0),3)</f>
        <v>82.715000000000003</v>
      </c>
      <c r="D41">
        <f>INDEX(Coin2!$A:$D,MATCH(VLOOKUP(Coin4!$A41,Correspondance!$G:$H,2,FALSE),Coin2!$A:$A,0),4)</f>
        <v>26.36</v>
      </c>
    </row>
    <row r="42" spans="1:4" x14ac:dyDescent="0.35">
      <c r="A42">
        <f t="shared" si="0"/>
        <v>1541</v>
      </c>
      <c r="B42">
        <f>2*$I$1-INDEX(Coin2!$A:$D,MATCH(VLOOKUP(Coin4!$A42,Correspondance!$G:$H,2,FALSE),Coin2!$A:$A,0),2)</f>
        <v>63.77612661203014</v>
      </c>
      <c r="C42">
        <f>INDEX(Coin2!$A:$D,MATCH(VLOOKUP(Coin4!$A42,Correspondance!$G:$H,2,FALSE),Coin2!$A:$A,0),3)</f>
        <v>82.715000000000003</v>
      </c>
      <c r="D42">
        <f>INDEX(Coin2!$A:$D,MATCH(VLOOKUP(Coin4!$A42,Correspondance!$G:$H,2,FALSE),Coin2!$A:$A,0),4)</f>
        <v>26.36</v>
      </c>
    </row>
    <row r="43" spans="1:4" x14ac:dyDescent="0.35">
      <c r="A43">
        <f t="shared" si="0"/>
        <v>1542</v>
      </c>
      <c r="B43">
        <f>2*$I$1-INDEX(Coin2!$A:$D,MATCH(VLOOKUP(Coin4!$A43,Correspondance!$G:$H,2,FALSE),Coin2!$A:$A,0),2)</f>
        <v>61.222500000000004</v>
      </c>
      <c r="C43">
        <f>INDEX(Coin2!$A:$D,MATCH(VLOOKUP(Coin4!$A43,Correspondance!$G:$H,2,FALSE),Coin2!$A:$A,0),3)</f>
        <v>83.03</v>
      </c>
      <c r="D43">
        <f>INDEX(Coin2!$A:$D,MATCH(VLOOKUP(Coin4!$A43,Correspondance!$G:$H,2,FALSE),Coin2!$A:$A,0),4)</f>
        <v>26.36</v>
      </c>
    </row>
    <row r="44" spans="1:4" x14ac:dyDescent="0.35">
      <c r="A44">
        <f t="shared" si="0"/>
        <v>1543</v>
      </c>
      <c r="B44">
        <f>2*$I$1-INDEX(Coin2!$A:$D,MATCH(VLOOKUP(Coin4!$A44,Correspondance!$G:$H,2,FALSE),Coin2!$A:$A,0),2)</f>
        <v>54.42</v>
      </c>
      <c r="C44">
        <f>INDEX(Coin2!$A:$D,MATCH(VLOOKUP(Coin4!$A44,Correspondance!$G:$H,2,FALSE),Coin2!$A:$A,0),3)</f>
        <v>82.854624462656631</v>
      </c>
      <c r="D44">
        <f>INDEX(Coin2!$A:$D,MATCH(VLOOKUP(Coin4!$A44,Correspondance!$G:$H,2,FALSE),Coin2!$A:$A,0),4)</f>
        <v>26.36</v>
      </c>
    </row>
    <row r="45" spans="1:4" x14ac:dyDescent="0.35">
      <c r="A45">
        <f t="shared" si="0"/>
        <v>1544</v>
      </c>
      <c r="B45">
        <f>2*$I$1-INDEX(Coin2!$A:$D,MATCH(VLOOKUP(Coin4!$A45,Correspondance!$G:$H,2,FALSE),Coin2!$A:$A,0),2)</f>
        <v>68.025000000000006</v>
      </c>
      <c r="C45">
        <f>INDEX(Coin2!$A:$D,MATCH(VLOOKUP(Coin4!$A45,Correspondance!$G:$H,2,FALSE),Coin2!$A:$A,0),3)</f>
        <v>82.854624462656631</v>
      </c>
      <c r="D45">
        <f>INDEX(Coin2!$A:$D,MATCH(VLOOKUP(Coin4!$A45,Correspondance!$G:$H,2,FALSE),Coin2!$A:$A,0),4)</f>
        <v>26.36</v>
      </c>
    </row>
    <row r="46" spans="1:4" x14ac:dyDescent="0.35">
      <c r="A46">
        <f t="shared" si="0"/>
        <v>1545</v>
      </c>
      <c r="B46">
        <f>2*$I$1-INDEX(Coin2!$A:$D,MATCH(VLOOKUP(Coin4!$A46,Correspondance!$G:$H,2,FALSE),Coin2!$A:$A,0),2)</f>
        <v>55.83550000000001</v>
      </c>
      <c r="C46">
        <f>INDEX(Coin2!$A:$D,MATCH(VLOOKUP(Coin4!$A46,Correspondance!$G:$H,2,FALSE),Coin2!$A:$A,0),3)</f>
        <v>83.493000000000009</v>
      </c>
      <c r="D46">
        <f>INDEX(Coin2!$A:$D,MATCH(VLOOKUP(Coin4!$A46,Correspondance!$G:$H,2,FALSE),Coin2!$A:$A,0),4)</f>
        <v>26.36</v>
      </c>
    </row>
    <row r="47" spans="1:4" x14ac:dyDescent="0.35">
      <c r="A47">
        <f t="shared" si="0"/>
        <v>1546</v>
      </c>
      <c r="B47">
        <f>2*$I$1-INDEX(Coin2!$A:$D,MATCH(VLOOKUP(Coin4!$A47,Correspondance!$G:$H,2,FALSE),Coin2!$A:$A,0),2)</f>
        <v>66.609500000000011</v>
      </c>
      <c r="C47">
        <f>INDEX(Coin2!$A:$D,MATCH(VLOOKUP(Coin4!$A47,Correspondance!$G:$H,2,FALSE),Coin2!$A:$A,0),3)</f>
        <v>83.493000000000009</v>
      </c>
      <c r="D47">
        <f>INDEX(Coin2!$A:$D,MATCH(VLOOKUP(Coin4!$A47,Correspondance!$G:$H,2,FALSE),Coin2!$A:$A,0),4)</f>
        <v>26.36</v>
      </c>
    </row>
    <row r="48" spans="1:4" x14ac:dyDescent="0.35">
      <c r="A48">
        <f t="shared" si="0"/>
        <v>1547</v>
      </c>
      <c r="B48">
        <f>2*$I$1-INDEX(Coin2!$A:$D,MATCH(VLOOKUP(Coin4!$A48,Correspondance!$G:$H,2,FALSE),Coin2!$A:$A,0),2)</f>
        <v>68.025000000000006</v>
      </c>
      <c r="C48">
        <f>INDEX(Coin2!$A:$D,MATCH(VLOOKUP(Coin4!$A48,Correspondance!$G:$H,2,FALSE),Coin2!$A:$A,0),3)</f>
        <v>83.493000000000009</v>
      </c>
      <c r="D48">
        <f>INDEX(Coin2!$A:$D,MATCH(VLOOKUP(Coin4!$A48,Correspondance!$G:$H,2,FALSE),Coin2!$A:$A,0),4)</f>
        <v>26.36</v>
      </c>
    </row>
    <row r="49" spans="1:4" x14ac:dyDescent="0.35">
      <c r="A49">
        <f t="shared" si="0"/>
        <v>1548</v>
      </c>
      <c r="B49">
        <f>2*$I$1-INDEX(Coin2!$A:$D,MATCH(VLOOKUP(Coin4!$A49,Correspondance!$G:$H,2,FALSE),Coin2!$A:$A,0),2)</f>
        <v>69.425000000000011</v>
      </c>
      <c r="C49">
        <f>INDEX(Coin2!$A:$D,MATCH(VLOOKUP(Coin4!$A49,Correspondance!$G:$H,2,FALSE),Coin2!$A:$A,0),3)</f>
        <v>83.493000000000009</v>
      </c>
      <c r="D49">
        <f>INDEX(Coin2!$A:$D,MATCH(VLOOKUP(Coin4!$A49,Correspondance!$G:$H,2,FALSE),Coin2!$A:$A,0),4)</f>
        <v>26.36</v>
      </c>
    </row>
    <row r="50" spans="1:4" x14ac:dyDescent="0.35">
      <c r="A50">
        <f t="shared" si="0"/>
        <v>1549</v>
      </c>
      <c r="B50">
        <f>2*$I$1-INDEX(Coin2!$A:$D,MATCH(VLOOKUP(Coin4!$A50,Correspondance!$G:$H,2,FALSE),Coin2!$A:$A,0),2)</f>
        <v>56.863500000000002</v>
      </c>
      <c r="C50">
        <f>INDEX(Coin2!$A:$D,MATCH(VLOOKUP(Coin4!$A50,Correspondance!$G:$H,2,FALSE),Coin2!$A:$A,0),3)</f>
        <v>84.521000000000015</v>
      </c>
      <c r="D50">
        <f>INDEX(Coin2!$A:$D,MATCH(VLOOKUP(Coin4!$A50,Correspondance!$G:$H,2,FALSE),Coin2!$A:$A,0),4)</f>
        <v>26.36</v>
      </c>
    </row>
    <row r="51" spans="1:4" x14ac:dyDescent="0.35">
      <c r="A51">
        <f t="shared" si="0"/>
        <v>1550</v>
      </c>
      <c r="B51">
        <f>2*$I$1-INDEX(Coin2!$A:$D,MATCH(VLOOKUP(Coin4!$A51,Correspondance!$G:$H,2,FALSE),Coin2!$A:$A,0),2)</f>
        <v>65.581500000000005</v>
      </c>
      <c r="C51">
        <f>INDEX(Coin2!$A:$D,MATCH(VLOOKUP(Coin4!$A51,Correspondance!$G:$H,2,FALSE),Coin2!$A:$A,0),3)</f>
        <v>84.521000000000015</v>
      </c>
      <c r="D51">
        <f>INDEX(Coin2!$A:$D,MATCH(VLOOKUP(Coin4!$A51,Correspondance!$G:$H,2,FALSE),Coin2!$A:$A,0),4)</f>
        <v>26.36</v>
      </c>
    </row>
    <row r="52" spans="1:4" x14ac:dyDescent="0.35">
      <c r="A52">
        <f t="shared" si="0"/>
        <v>1551</v>
      </c>
      <c r="B52">
        <f>2*$I$1-INDEX(Coin2!$A:$D,MATCH(VLOOKUP(Coin4!$A52,Correspondance!$G:$H,2,FALSE),Coin2!$A:$A,0),2)</f>
        <v>57.08550000000001</v>
      </c>
      <c r="C52">
        <f>INDEX(Coin2!$A:$D,MATCH(VLOOKUP(Coin4!$A52,Correspondance!$G:$H,2,FALSE),Coin2!$A:$A,0),3)</f>
        <v>84.743000000000009</v>
      </c>
      <c r="D52">
        <f>INDEX(Coin2!$A:$D,MATCH(VLOOKUP(Coin4!$A52,Correspondance!$G:$H,2,FALSE),Coin2!$A:$A,0),4)</f>
        <v>26.36</v>
      </c>
    </row>
    <row r="53" spans="1:4" x14ac:dyDescent="0.35">
      <c r="A53">
        <f t="shared" si="0"/>
        <v>1552</v>
      </c>
      <c r="B53">
        <f>2*$I$1-INDEX(Coin2!$A:$D,MATCH(VLOOKUP(Coin4!$A53,Correspondance!$G:$H,2,FALSE),Coin2!$A:$A,0),2)</f>
        <v>65.359500000000011</v>
      </c>
      <c r="C53">
        <f>INDEX(Coin2!$A:$D,MATCH(VLOOKUP(Coin4!$A53,Correspondance!$G:$H,2,FALSE),Coin2!$A:$A,0),3)</f>
        <v>84.743000000000009</v>
      </c>
      <c r="D53">
        <f>INDEX(Coin2!$A:$D,MATCH(VLOOKUP(Coin4!$A53,Correspondance!$G:$H,2,FALSE),Coin2!$A:$A,0),4)</f>
        <v>26.36</v>
      </c>
    </row>
    <row r="54" spans="1:4" x14ac:dyDescent="0.35">
      <c r="A54">
        <f t="shared" si="0"/>
        <v>1553</v>
      </c>
      <c r="B54">
        <f>2*$I$1-INDEX(Coin2!$A:$D,MATCH(VLOOKUP(Coin4!$A54,Correspondance!$G:$H,2,FALSE),Coin2!$A:$A,0),2)</f>
        <v>54.42</v>
      </c>
      <c r="C54">
        <f>INDEX(Coin2!$A:$D,MATCH(VLOOKUP(Coin4!$A54,Correspondance!$G:$H,2,FALSE),Coin2!$A:$A,0),3)</f>
        <v>84.90924892531325</v>
      </c>
      <c r="D54">
        <f>INDEX(Coin2!$A:$D,MATCH(VLOOKUP(Coin4!$A54,Correspondance!$G:$H,2,FALSE),Coin2!$A:$A,0),4)</f>
        <v>26.36</v>
      </c>
    </row>
    <row r="55" spans="1:4" x14ac:dyDescent="0.35">
      <c r="A55">
        <f t="shared" si="0"/>
        <v>1554</v>
      </c>
      <c r="B55">
        <f>2*$I$1-INDEX(Coin2!$A:$D,MATCH(VLOOKUP(Coin4!$A55,Correspondance!$G:$H,2,FALSE),Coin2!$A:$A,0),2)</f>
        <v>68.025000000000006</v>
      </c>
      <c r="C55">
        <f>INDEX(Coin2!$A:$D,MATCH(VLOOKUP(Coin4!$A55,Correspondance!$G:$H,2,FALSE),Coin2!$A:$A,0),3)</f>
        <v>84.90924892531325</v>
      </c>
      <c r="D55">
        <f>INDEX(Coin2!$A:$D,MATCH(VLOOKUP(Coin4!$A55,Correspondance!$G:$H,2,FALSE),Coin2!$A:$A,0),4)</f>
        <v>26.36</v>
      </c>
    </row>
    <row r="56" spans="1:4" x14ac:dyDescent="0.35">
      <c r="A56">
        <f t="shared" si="0"/>
        <v>1555</v>
      </c>
      <c r="B56">
        <f>2*$I$1-INDEX(Coin2!$A:$D,MATCH(VLOOKUP(Coin4!$A56,Correspondance!$G:$H,2,FALSE),Coin2!$A:$A,0),2)</f>
        <v>55.057500000000005</v>
      </c>
      <c r="C56">
        <f>INDEX(Coin2!$A:$D,MATCH(VLOOKUP(Coin4!$A56,Correspondance!$G:$H,2,FALSE),Coin2!$A:$A,0),3)</f>
        <v>86.32637338796988</v>
      </c>
      <c r="D56">
        <f>INDEX(Coin2!$A:$D,MATCH(VLOOKUP(Coin4!$A56,Correspondance!$G:$H,2,FALSE),Coin2!$A:$A,0),4)</f>
        <v>26.36</v>
      </c>
    </row>
    <row r="57" spans="1:4" x14ac:dyDescent="0.35">
      <c r="A57">
        <f t="shared" si="0"/>
        <v>1556</v>
      </c>
      <c r="B57">
        <f>2*$I$1-INDEX(Coin2!$A:$D,MATCH(VLOOKUP(Coin4!$A57,Correspondance!$G:$H,2,FALSE),Coin2!$A:$A,0),2)</f>
        <v>67.387500000000003</v>
      </c>
      <c r="C57">
        <f>INDEX(Coin2!$A:$D,MATCH(VLOOKUP(Coin4!$A57,Correspondance!$G:$H,2,FALSE),Coin2!$A:$A,0),3)</f>
        <v>86.32637338796988</v>
      </c>
      <c r="D57">
        <f>INDEX(Coin2!$A:$D,MATCH(VLOOKUP(Coin4!$A57,Correspondance!$G:$H,2,FALSE),Coin2!$A:$A,0),4)</f>
        <v>26.36</v>
      </c>
    </row>
    <row r="58" spans="1:4" x14ac:dyDescent="0.35">
      <c r="A58">
        <f t="shared" si="0"/>
        <v>1557</v>
      </c>
      <c r="B58">
        <f>2*$I$1-INDEX(Coin2!$A:$D,MATCH(VLOOKUP(Coin4!$A58,Correspondance!$G:$H,2,FALSE),Coin2!$A:$A,0),2)</f>
        <v>68.025000000000006</v>
      </c>
      <c r="C58">
        <f>INDEX(Coin2!$A:$D,MATCH(VLOOKUP(Coin4!$A58,Correspondance!$G:$H,2,FALSE),Coin2!$A:$A,0),3)</f>
        <v>86.187000000000012</v>
      </c>
      <c r="D58">
        <f>INDEX(Coin2!$A:$D,MATCH(VLOOKUP(Coin4!$A58,Correspondance!$G:$H,2,FALSE),Coin2!$A:$A,0),4)</f>
        <v>26.36</v>
      </c>
    </row>
    <row r="59" spans="1:4" x14ac:dyDescent="0.35">
      <c r="A59">
        <f t="shared" si="0"/>
        <v>1558</v>
      </c>
      <c r="B59">
        <f>2*$I$1-INDEX(Coin2!$A:$D,MATCH(VLOOKUP(Coin4!$A59,Correspondance!$G:$H,2,FALSE),Coin2!$A:$A,0),2)</f>
        <v>69.425000000000011</v>
      </c>
      <c r="C59">
        <f>INDEX(Coin2!$A:$D,MATCH(VLOOKUP(Coin4!$A59,Correspondance!$G:$H,2,FALSE),Coin2!$A:$A,0),3)</f>
        <v>86.187000000000012</v>
      </c>
      <c r="D59">
        <f>INDEX(Coin2!$A:$D,MATCH(VLOOKUP(Coin4!$A59,Correspondance!$G:$H,2,FALSE),Coin2!$A:$A,0),4)</f>
        <v>26.36</v>
      </c>
    </row>
    <row r="60" spans="1:4" x14ac:dyDescent="0.35">
      <c r="A60">
        <f t="shared" si="0"/>
        <v>1559</v>
      </c>
      <c r="B60">
        <f>2*$I$1-INDEX(Coin2!$A:$D,MATCH(VLOOKUP(Coin4!$A60,Correspondance!$G:$H,2,FALSE),Coin2!$A:$A,0),2)</f>
        <v>54.42</v>
      </c>
      <c r="C60">
        <f>INDEX(Coin2!$A:$D,MATCH(VLOOKUP(Coin4!$A60,Correspondance!$G:$H,2,FALSE),Coin2!$A:$A,0),3)</f>
        <v>86.963873387969869</v>
      </c>
      <c r="D60">
        <f>INDEX(Coin2!$A:$D,MATCH(VLOOKUP(Coin4!$A60,Correspondance!$G:$H,2,FALSE),Coin2!$A:$A,0),4)</f>
        <v>26.36</v>
      </c>
    </row>
    <row r="61" spans="1:4" x14ac:dyDescent="0.35">
      <c r="A61">
        <f t="shared" si="0"/>
        <v>1560</v>
      </c>
      <c r="B61">
        <f>2*$I$1-INDEX(Coin2!$A:$D,MATCH(VLOOKUP(Coin4!$A61,Correspondance!$G:$H,2,FALSE),Coin2!$A:$A,0),2)</f>
        <v>68.025000000000006</v>
      </c>
      <c r="C61">
        <f>INDEX(Coin2!$A:$D,MATCH(VLOOKUP(Coin4!$A61,Correspondance!$G:$H,2,FALSE),Coin2!$A:$A,0),3)</f>
        <v>86.963873387969869</v>
      </c>
      <c r="D61">
        <f>INDEX(Coin2!$A:$D,MATCH(VLOOKUP(Coin4!$A61,Correspondance!$G:$H,2,FALSE),Coin2!$A:$A,0),4)</f>
        <v>26.36</v>
      </c>
    </row>
    <row r="62" spans="1:4" x14ac:dyDescent="0.35">
      <c r="A62">
        <f t="shared" si="0"/>
        <v>1561</v>
      </c>
      <c r="B62">
        <f>2*$I$1-INDEX(Coin2!$A:$D,MATCH(VLOOKUP(Coin4!$A62,Correspondance!$G:$H,2,FALSE),Coin2!$A:$A,0),2)</f>
        <v>54.42</v>
      </c>
      <c r="C62">
        <f>INDEX(Coin2!$A:$D,MATCH(VLOOKUP(Coin4!$A62,Correspondance!$G:$H,2,FALSE),Coin2!$A:$A,0),3)</f>
        <v>88.88000000000001</v>
      </c>
      <c r="D62">
        <f>INDEX(Coin2!$A:$D,MATCH(VLOOKUP(Coin4!$A62,Correspondance!$G:$H,2,FALSE),Coin2!$A:$A,0),4)</f>
        <v>26.36</v>
      </c>
    </row>
    <row r="63" spans="1:4" x14ac:dyDescent="0.35">
      <c r="A63">
        <f t="shared" si="0"/>
        <v>1562</v>
      </c>
      <c r="B63">
        <f>2*$I$1-INDEX(Coin2!$A:$D,MATCH(VLOOKUP(Coin4!$A63,Correspondance!$G:$H,2,FALSE),Coin2!$A:$A,0),2)</f>
        <v>55.057500000000005</v>
      </c>
      <c r="C63">
        <f>INDEX(Coin2!$A:$D,MATCH(VLOOKUP(Coin4!$A63,Correspondance!$G:$H,2,FALSE),Coin2!$A:$A,0),3)</f>
        <v>88.88000000000001</v>
      </c>
      <c r="D63">
        <f>INDEX(Coin2!$A:$D,MATCH(VLOOKUP(Coin4!$A63,Correspondance!$G:$H,2,FALSE),Coin2!$A:$A,0),4)</f>
        <v>26.36</v>
      </c>
    </row>
    <row r="64" spans="1:4" x14ac:dyDescent="0.35">
      <c r="A64">
        <f t="shared" si="0"/>
        <v>1563</v>
      </c>
      <c r="B64">
        <f>2*$I$1-INDEX(Coin2!$A:$D,MATCH(VLOOKUP(Coin4!$A64,Correspondance!$G:$H,2,FALSE),Coin2!$A:$A,0),2)</f>
        <v>55.372500000000002</v>
      </c>
      <c r="C64">
        <f>INDEX(Coin2!$A:$D,MATCH(VLOOKUP(Coin4!$A64,Correspondance!$G:$H,2,FALSE),Coin2!$A:$A,0),3)</f>
        <v>88.88000000000001</v>
      </c>
      <c r="D64">
        <f>INDEX(Coin2!$A:$D,MATCH(VLOOKUP(Coin4!$A64,Correspondance!$G:$H,2,FALSE),Coin2!$A:$A,0),4)</f>
        <v>26.36</v>
      </c>
    </row>
    <row r="65" spans="1:4" x14ac:dyDescent="0.35">
      <c r="A65">
        <f t="shared" si="0"/>
        <v>1564</v>
      </c>
      <c r="B65">
        <f>2*$I$1-INDEX(Coin2!$A:$D,MATCH(VLOOKUP(Coin4!$A65,Correspondance!$G:$H,2,FALSE),Coin2!$A:$A,0),2)</f>
        <v>67.072500000000005</v>
      </c>
      <c r="C65">
        <f>INDEX(Coin2!$A:$D,MATCH(VLOOKUP(Coin4!$A65,Correspondance!$G:$H,2,FALSE),Coin2!$A:$A,0),3)</f>
        <v>88.88000000000001</v>
      </c>
      <c r="D65">
        <f>INDEX(Coin2!$A:$D,MATCH(VLOOKUP(Coin4!$A65,Correspondance!$G:$H,2,FALSE),Coin2!$A:$A,0),4)</f>
        <v>26.36</v>
      </c>
    </row>
    <row r="66" spans="1:4" x14ac:dyDescent="0.35">
      <c r="A66">
        <f t="shared" si="0"/>
        <v>1565</v>
      </c>
      <c r="B66">
        <f>2*$I$1-INDEX(Coin2!$A:$D,MATCH(VLOOKUP(Coin4!$A66,Correspondance!$G:$H,2,FALSE),Coin2!$A:$A,0),2)</f>
        <v>67.387500000000003</v>
      </c>
      <c r="C66">
        <f>INDEX(Coin2!$A:$D,MATCH(VLOOKUP(Coin4!$A66,Correspondance!$G:$H,2,FALSE),Coin2!$A:$A,0),3)</f>
        <v>88.88000000000001</v>
      </c>
      <c r="D66">
        <f>INDEX(Coin2!$A:$D,MATCH(VLOOKUP(Coin4!$A66,Correspondance!$G:$H,2,FALSE),Coin2!$A:$A,0),4)</f>
        <v>26.36</v>
      </c>
    </row>
    <row r="67" spans="1:4" x14ac:dyDescent="0.35">
      <c r="A67">
        <f t="shared" si="0"/>
        <v>1566</v>
      </c>
      <c r="B67">
        <f>2*$I$1-INDEX(Coin2!$A:$D,MATCH(VLOOKUP(Coin4!$A67,Correspondance!$G:$H,2,FALSE),Coin2!$A:$A,0),2)</f>
        <v>68.025000000000006</v>
      </c>
      <c r="C67">
        <f>INDEX(Coin2!$A:$D,MATCH(VLOOKUP(Coin4!$A67,Correspondance!$G:$H,2,FALSE),Coin2!$A:$A,0),3)</f>
        <v>88.88000000000001</v>
      </c>
      <c r="D67">
        <f>INDEX(Coin2!$A:$D,MATCH(VLOOKUP(Coin4!$A67,Correspondance!$G:$H,2,FALSE),Coin2!$A:$A,0),4)</f>
        <v>26.36</v>
      </c>
    </row>
    <row r="68" spans="1:4" x14ac:dyDescent="0.35">
      <c r="A68">
        <f t="shared" ref="A68:A131" si="1">A67+1</f>
        <v>1567</v>
      </c>
      <c r="B68">
        <f>2*$I$1-INDEX(Coin2!$A:$D,MATCH(VLOOKUP(Coin4!$A68,Correspondance!$G:$H,2,FALSE),Coin2!$A:$A,0),2)</f>
        <v>69.425000000000011</v>
      </c>
      <c r="C68">
        <f>INDEX(Coin2!$A:$D,MATCH(VLOOKUP(Coin4!$A68,Correspondance!$G:$H,2,FALSE),Coin2!$A:$A,0),3)</f>
        <v>88.88000000000001</v>
      </c>
      <c r="D68">
        <f>INDEX(Coin2!$A:$D,MATCH(VLOOKUP(Coin4!$A68,Correspondance!$G:$H,2,FALSE),Coin2!$A:$A,0),4)</f>
        <v>26.36</v>
      </c>
    </row>
    <row r="69" spans="1:4" x14ac:dyDescent="0.35">
      <c r="A69">
        <f t="shared" si="1"/>
        <v>1568</v>
      </c>
      <c r="B69">
        <f>2*$I$1-INDEX(Coin2!$A:$D,MATCH(VLOOKUP(Coin4!$A69,Correspondance!$G:$H,2,FALSE),Coin2!$A:$A,0),2)</f>
        <v>54.42</v>
      </c>
      <c r="C69">
        <f>INDEX(Coin2!$A:$D,MATCH(VLOOKUP(Coin4!$A69,Correspondance!$G:$H,2,FALSE),Coin2!$A:$A,0),3)</f>
        <v>90.796126612030136</v>
      </c>
      <c r="D69">
        <f>INDEX(Coin2!$A:$D,MATCH(VLOOKUP(Coin4!$A69,Correspondance!$G:$H,2,FALSE),Coin2!$A:$A,0),4)</f>
        <v>26.36</v>
      </c>
    </row>
    <row r="70" spans="1:4" x14ac:dyDescent="0.35">
      <c r="A70">
        <f t="shared" si="1"/>
        <v>1569</v>
      </c>
      <c r="B70">
        <f>2*$I$1-INDEX(Coin2!$A:$D,MATCH(VLOOKUP(Coin4!$A70,Correspondance!$G:$H,2,FALSE),Coin2!$A:$A,0),2)</f>
        <v>68.025000000000006</v>
      </c>
      <c r="C70">
        <f>INDEX(Coin2!$A:$D,MATCH(VLOOKUP(Coin4!$A70,Correspondance!$G:$H,2,FALSE),Coin2!$A:$A,0),3)</f>
        <v>90.796126612030136</v>
      </c>
      <c r="D70">
        <f>INDEX(Coin2!$A:$D,MATCH(VLOOKUP(Coin4!$A70,Correspondance!$G:$H,2,FALSE),Coin2!$A:$A,0),4)</f>
        <v>26.36</v>
      </c>
    </row>
    <row r="71" spans="1:4" x14ac:dyDescent="0.35">
      <c r="A71">
        <f t="shared" si="1"/>
        <v>1570</v>
      </c>
      <c r="B71">
        <f>2*$I$1-INDEX(Coin2!$A:$D,MATCH(VLOOKUP(Coin4!$A71,Correspondance!$G:$H,2,FALSE),Coin2!$A:$A,0),2)</f>
        <v>68.025000000000006</v>
      </c>
      <c r="C71">
        <f>INDEX(Coin2!$A:$D,MATCH(VLOOKUP(Coin4!$A71,Correspondance!$G:$H,2,FALSE),Coin2!$A:$A,0),3)</f>
        <v>91.573000000000008</v>
      </c>
      <c r="D71">
        <f>INDEX(Coin2!$A:$D,MATCH(VLOOKUP(Coin4!$A71,Correspondance!$G:$H,2,FALSE),Coin2!$A:$A,0),4)</f>
        <v>26.36</v>
      </c>
    </row>
    <row r="72" spans="1:4" x14ac:dyDescent="0.35">
      <c r="A72">
        <f t="shared" si="1"/>
        <v>1571</v>
      </c>
      <c r="B72">
        <f>2*$I$1-INDEX(Coin2!$A:$D,MATCH(VLOOKUP(Coin4!$A72,Correspondance!$G:$H,2,FALSE),Coin2!$A:$A,0),2)</f>
        <v>69.425000000000011</v>
      </c>
      <c r="C72">
        <f>INDEX(Coin2!$A:$D,MATCH(VLOOKUP(Coin4!$A72,Correspondance!$G:$H,2,FALSE),Coin2!$A:$A,0),3)</f>
        <v>91.573000000000008</v>
      </c>
      <c r="D72">
        <f>INDEX(Coin2!$A:$D,MATCH(VLOOKUP(Coin4!$A72,Correspondance!$G:$H,2,FALSE),Coin2!$A:$A,0),4)</f>
        <v>26.36</v>
      </c>
    </row>
    <row r="73" spans="1:4" x14ac:dyDescent="0.35">
      <c r="A73">
        <f t="shared" si="1"/>
        <v>1572</v>
      </c>
      <c r="B73">
        <f>2*$I$1-INDEX(Coin2!$A:$D,MATCH(VLOOKUP(Coin4!$A73,Correspondance!$G:$H,2,FALSE),Coin2!$A:$A,0),2)</f>
        <v>55.057500000000005</v>
      </c>
      <c r="C73">
        <f>INDEX(Coin2!$A:$D,MATCH(VLOOKUP(Coin4!$A73,Correspondance!$G:$H,2,FALSE),Coin2!$A:$A,0),3)</f>
        <v>91.433626612030139</v>
      </c>
      <c r="D73">
        <f>INDEX(Coin2!$A:$D,MATCH(VLOOKUP(Coin4!$A73,Correspondance!$G:$H,2,FALSE),Coin2!$A:$A,0),4)</f>
        <v>26.36</v>
      </c>
    </row>
    <row r="74" spans="1:4" x14ac:dyDescent="0.35">
      <c r="A74">
        <f t="shared" si="1"/>
        <v>1573</v>
      </c>
      <c r="B74">
        <f>2*$I$1-INDEX(Coin2!$A:$D,MATCH(VLOOKUP(Coin4!$A74,Correspondance!$G:$H,2,FALSE),Coin2!$A:$A,0),2)</f>
        <v>67.387500000000003</v>
      </c>
      <c r="C74">
        <f>INDEX(Coin2!$A:$D,MATCH(VLOOKUP(Coin4!$A74,Correspondance!$G:$H,2,FALSE),Coin2!$A:$A,0),3)</f>
        <v>91.433626612030139</v>
      </c>
      <c r="D74">
        <f>INDEX(Coin2!$A:$D,MATCH(VLOOKUP(Coin4!$A74,Correspondance!$G:$H,2,FALSE),Coin2!$A:$A,0),4)</f>
        <v>26.36</v>
      </c>
    </row>
    <row r="75" spans="1:4" x14ac:dyDescent="0.35">
      <c r="A75">
        <f t="shared" si="1"/>
        <v>1574</v>
      </c>
      <c r="B75">
        <f>2*$I$1-INDEX(Coin2!$A:$D,MATCH(VLOOKUP(Coin4!$A75,Correspondance!$G:$H,2,FALSE),Coin2!$A:$A,0),2)</f>
        <v>54.42</v>
      </c>
      <c r="C75">
        <f>INDEX(Coin2!$A:$D,MATCH(VLOOKUP(Coin4!$A75,Correspondance!$G:$H,2,FALSE),Coin2!$A:$A,0),3)</f>
        <v>92.850751074686755</v>
      </c>
      <c r="D75">
        <f>INDEX(Coin2!$A:$D,MATCH(VLOOKUP(Coin4!$A75,Correspondance!$G:$H,2,FALSE),Coin2!$A:$A,0),4)</f>
        <v>26.36</v>
      </c>
    </row>
    <row r="76" spans="1:4" x14ac:dyDescent="0.35">
      <c r="A76">
        <f t="shared" si="1"/>
        <v>1575</v>
      </c>
      <c r="B76">
        <f>2*$I$1-INDEX(Coin2!$A:$D,MATCH(VLOOKUP(Coin4!$A76,Correspondance!$G:$H,2,FALSE),Coin2!$A:$A,0),2)</f>
        <v>68.025000000000006</v>
      </c>
      <c r="C76">
        <f>INDEX(Coin2!$A:$D,MATCH(VLOOKUP(Coin4!$A76,Correspondance!$G:$H,2,FALSE),Coin2!$A:$A,0),3)</f>
        <v>92.850751074686755</v>
      </c>
      <c r="D76">
        <f>INDEX(Coin2!$A:$D,MATCH(VLOOKUP(Coin4!$A76,Correspondance!$G:$H,2,FALSE),Coin2!$A:$A,0),4)</f>
        <v>26.36</v>
      </c>
    </row>
    <row r="77" spans="1:4" x14ac:dyDescent="0.35">
      <c r="A77">
        <f t="shared" si="1"/>
        <v>1576</v>
      </c>
      <c r="B77">
        <f>2*$I$1-INDEX(Coin2!$A:$D,MATCH(VLOOKUP(Coin4!$A77,Correspondance!$G:$H,2,FALSE),Coin2!$A:$A,0),2)</f>
        <v>57.08550000000001</v>
      </c>
      <c r="C77">
        <f>INDEX(Coin2!$A:$D,MATCH(VLOOKUP(Coin4!$A77,Correspondance!$G:$H,2,FALSE),Coin2!$A:$A,0),3)</f>
        <v>93.01700000000001</v>
      </c>
      <c r="D77">
        <f>INDEX(Coin2!$A:$D,MATCH(VLOOKUP(Coin4!$A77,Correspondance!$G:$H,2,FALSE),Coin2!$A:$A,0),4)</f>
        <v>26.36</v>
      </c>
    </row>
    <row r="78" spans="1:4" x14ac:dyDescent="0.35">
      <c r="A78">
        <f t="shared" si="1"/>
        <v>1577</v>
      </c>
      <c r="B78">
        <f>2*$I$1-INDEX(Coin2!$A:$D,MATCH(VLOOKUP(Coin4!$A78,Correspondance!$G:$H,2,FALSE),Coin2!$A:$A,0),2)</f>
        <v>65.359500000000011</v>
      </c>
      <c r="C78">
        <f>INDEX(Coin2!$A:$D,MATCH(VLOOKUP(Coin4!$A78,Correspondance!$G:$H,2,FALSE),Coin2!$A:$A,0),3)</f>
        <v>93.01700000000001</v>
      </c>
      <c r="D78">
        <f>INDEX(Coin2!$A:$D,MATCH(VLOOKUP(Coin4!$A78,Correspondance!$G:$H,2,FALSE),Coin2!$A:$A,0),4)</f>
        <v>26.36</v>
      </c>
    </row>
    <row r="79" spans="1:4" x14ac:dyDescent="0.35">
      <c r="A79">
        <f t="shared" si="1"/>
        <v>1578</v>
      </c>
      <c r="B79">
        <f>2*$I$1-INDEX(Coin2!$A:$D,MATCH(VLOOKUP(Coin4!$A79,Correspondance!$G:$H,2,FALSE),Coin2!$A:$A,0),2)</f>
        <v>56.863500000000002</v>
      </c>
      <c r="C79">
        <f>INDEX(Coin2!$A:$D,MATCH(VLOOKUP(Coin4!$A79,Correspondance!$G:$H,2,FALSE),Coin2!$A:$A,0),3)</f>
        <v>93.239000000000004</v>
      </c>
      <c r="D79">
        <f>INDEX(Coin2!$A:$D,MATCH(VLOOKUP(Coin4!$A79,Correspondance!$G:$H,2,FALSE),Coin2!$A:$A,0),4)</f>
        <v>26.36</v>
      </c>
    </row>
    <row r="80" spans="1:4" x14ac:dyDescent="0.35">
      <c r="A80">
        <f t="shared" si="1"/>
        <v>1579</v>
      </c>
      <c r="B80">
        <f>2*$I$1-INDEX(Coin2!$A:$D,MATCH(VLOOKUP(Coin4!$A80,Correspondance!$G:$H,2,FALSE),Coin2!$A:$A,0),2)</f>
        <v>65.581500000000005</v>
      </c>
      <c r="C80">
        <f>INDEX(Coin2!$A:$D,MATCH(VLOOKUP(Coin4!$A80,Correspondance!$G:$H,2,FALSE),Coin2!$A:$A,0),3)</f>
        <v>93.239000000000004</v>
      </c>
      <c r="D80">
        <f>INDEX(Coin2!$A:$D,MATCH(VLOOKUP(Coin4!$A80,Correspondance!$G:$H,2,FALSE),Coin2!$A:$A,0),4)</f>
        <v>26.36</v>
      </c>
    </row>
    <row r="81" spans="1:4" x14ac:dyDescent="0.35">
      <c r="A81">
        <f t="shared" si="1"/>
        <v>1580</v>
      </c>
      <c r="B81">
        <f>2*$I$1-INDEX(Coin2!$A:$D,MATCH(VLOOKUP(Coin4!$A81,Correspondance!$G:$H,2,FALSE),Coin2!$A:$A,0),2)</f>
        <v>68.025000000000006</v>
      </c>
      <c r="C81">
        <f>INDEX(Coin2!$A:$D,MATCH(VLOOKUP(Coin4!$A81,Correspondance!$G:$H,2,FALSE),Coin2!$A:$A,0),3)</f>
        <v>94.26700000000001</v>
      </c>
      <c r="D81">
        <f>INDEX(Coin2!$A:$D,MATCH(VLOOKUP(Coin4!$A81,Correspondance!$G:$H,2,FALSE),Coin2!$A:$A,0),4)</f>
        <v>26.36</v>
      </c>
    </row>
    <row r="82" spans="1:4" x14ac:dyDescent="0.35">
      <c r="A82">
        <f t="shared" si="1"/>
        <v>1581</v>
      </c>
      <c r="B82">
        <f>2*$I$1-INDEX(Coin2!$A:$D,MATCH(VLOOKUP(Coin4!$A82,Correspondance!$G:$H,2,FALSE),Coin2!$A:$A,0),2)</f>
        <v>69.425000000000011</v>
      </c>
      <c r="C82">
        <f>INDEX(Coin2!$A:$D,MATCH(VLOOKUP(Coin4!$A82,Correspondance!$G:$H,2,FALSE),Coin2!$A:$A,0),3)</f>
        <v>94.26700000000001</v>
      </c>
      <c r="D82">
        <f>INDEX(Coin2!$A:$D,MATCH(VLOOKUP(Coin4!$A82,Correspondance!$G:$H,2,FALSE),Coin2!$A:$A,0),4)</f>
        <v>26.36</v>
      </c>
    </row>
    <row r="83" spans="1:4" x14ac:dyDescent="0.35">
      <c r="A83">
        <f t="shared" si="1"/>
        <v>1582</v>
      </c>
      <c r="B83">
        <f>2*$I$1-INDEX(Coin2!$A:$D,MATCH(VLOOKUP(Coin4!$A83,Correspondance!$G:$H,2,FALSE),Coin2!$A:$A,0),2)</f>
        <v>55.83550000000001</v>
      </c>
      <c r="C83">
        <f>INDEX(Coin2!$A:$D,MATCH(VLOOKUP(Coin4!$A83,Correspondance!$G:$H,2,FALSE),Coin2!$A:$A,0),3)</f>
        <v>94.26700000000001</v>
      </c>
      <c r="D83">
        <f>INDEX(Coin2!$A:$D,MATCH(VLOOKUP(Coin4!$A83,Correspondance!$G:$H,2,FALSE),Coin2!$A:$A,0),4)</f>
        <v>26.36</v>
      </c>
    </row>
    <row r="84" spans="1:4" x14ac:dyDescent="0.35">
      <c r="A84">
        <f t="shared" si="1"/>
        <v>1583</v>
      </c>
      <c r="B84">
        <f>2*$I$1-INDEX(Coin2!$A:$D,MATCH(VLOOKUP(Coin4!$A84,Correspondance!$G:$H,2,FALSE),Coin2!$A:$A,0),2)</f>
        <v>66.609500000000011</v>
      </c>
      <c r="C84">
        <f>INDEX(Coin2!$A:$D,MATCH(VLOOKUP(Coin4!$A84,Correspondance!$G:$H,2,FALSE),Coin2!$A:$A,0),3)</f>
        <v>94.26700000000001</v>
      </c>
      <c r="D84">
        <f>INDEX(Coin2!$A:$D,MATCH(VLOOKUP(Coin4!$A84,Correspondance!$G:$H,2,FALSE),Coin2!$A:$A,0),4)</f>
        <v>26.36</v>
      </c>
    </row>
    <row r="85" spans="1:4" x14ac:dyDescent="0.35">
      <c r="A85">
        <f t="shared" si="1"/>
        <v>1584</v>
      </c>
      <c r="B85">
        <f>2*$I$1-INDEX(Coin2!$A:$D,MATCH(VLOOKUP(Coin4!$A85,Correspondance!$G:$H,2,FALSE),Coin2!$A:$A,0),2)</f>
        <v>54.42</v>
      </c>
      <c r="C85">
        <f>INDEX(Coin2!$A:$D,MATCH(VLOOKUP(Coin4!$A85,Correspondance!$G:$H,2,FALSE),Coin2!$A:$A,0),3)</f>
        <v>94.905375537343389</v>
      </c>
      <c r="D85">
        <f>INDEX(Coin2!$A:$D,MATCH(VLOOKUP(Coin4!$A85,Correspondance!$G:$H,2,FALSE),Coin2!$A:$A,0),4)</f>
        <v>26.36</v>
      </c>
    </row>
    <row r="86" spans="1:4" x14ac:dyDescent="0.35">
      <c r="A86">
        <f t="shared" si="1"/>
        <v>1585</v>
      </c>
      <c r="B86">
        <f>2*$I$1-INDEX(Coin2!$A:$D,MATCH(VLOOKUP(Coin4!$A86,Correspondance!$G:$H,2,FALSE),Coin2!$A:$A,0),2)</f>
        <v>68.025000000000006</v>
      </c>
      <c r="C86">
        <f>INDEX(Coin2!$A:$D,MATCH(VLOOKUP(Coin4!$A86,Correspondance!$G:$H,2,FALSE),Coin2!$A:$A,0),3)</f>
        <v>94.905375537343389</v>
      </c>
      <c r="D86">
        <f>INDEX(Coin2!$A:$D,MATCH(VLOOKUP(Coin4!$A86,Correspondance!$G:$H,2,FALSE),Coin2!$A:$A,0),4)</f>
        <v>26.36</v>
      </c>
    </row>
    <row r="87" spans="1:4" x14ac:dyDescent="0.35">
      <c r="A87">
        <f t="shared" si="1"/>
        <v>1586</v>
      </c>
      <c r="B87">
        <f>2*$I$1-INDEX(Coin2!$A:$D,MATCH(VLOOKUP(Coin4!$A87,Correspondance!$G:$H,2,FALSE),Coin2!$A:$A,0),2)</f>
        <v>61.222500000000004</v>
      </c>
      <c r="C87">
        <f>INDEX(Coin2!$A:$D,MATCH(VLOOKUP(Coin4!$A87,Correspondance!$G:$H,2,FALSE),Coin2!$A:$A,0),3)</f>
        <v>94.73</v>
      </c>
      <c r="D87">
        <f>INDEX(Coin2!$A:$D,MATCH(VLOOKUP(Coin4!$A87,Correspondance!$G:$H,2,FALSE),Coin2!$A:$A,0),4)</f>
        <v>26.36</v>
      </c>
    </row>
    <row r="88" spans="1:4" x14ac:dyDescent="0.35">
      <c r="A88">
        <f t="shared" si="1"/>
        <v>1587</v>
      </c>
      <c r="B88">
        <f>2*$I$1-INDEX(Coin2!$A:$D,MATCH(VLOOKUP(Coin4!$A88,Correspondance!$G:$H,2,FALSE),Coin2!$A:$A,0),2)</f>
        <v>58.668873387969874</v>
      </c>
      <c r="C88">
        <f>INDEX(Coin2!$A:$D,MATCH(VLOOKUP(Coin4!$A88,Correspondance!$G:$H,2,FALSE),Coin2!$A:$A,0),3)</f>
        <v>95.045000000000002</v>
      </c>
      <c r="D88">
        <f>INDEX(Coin2!$A:$D,MATCH(VLOOKUP(Coin4!$A88,Correspondance!$G:$H,2,FALSE),Coin2!$A:$A,0),4)</f>
        <v>26.36</v>
      </c>
    </row>
    <row r="89" spans="1:4" x14ac:dyDescent="0.35">
      <c r="A89">
        <f t="shared" si="1"/>
        <v>1588</v>
      </c>
      <c r="B89">
        <f>2*$I$1-INDEX(Coin2!$A:$D,MATCH(VLOOKUP(Coin4!$A89,Correspondance!$G:$H,2,FALSE),Coin2!$A:$A,0),2)</f>
        <v>61.222500000000004</v>
      </c>
      <c r="C89">
        <f>INDEX(Coin2!$A:$D,MATCH(VLOOKUP(Coin4!$A89,Correspondance!$G:$H,2,FALSE),Coin2!$A:$A,0),3)</f>
        <v>95.045000000000002</v>
      </c>
      <c r="D89">
        <f>INDEX(Coin2!$A:$D,MATCH(VLOOKUP(Coin4!$A89,Correspondance!$G:$H,2,FALSE),Coin2!$A:$A,0),4)</f>
        <v>26.36</v>
      </c>
    </row>
    <row r="90" spans="1:4" x14ac:dyDescent="0.35">
      <c r="A90">
        <f t="shared" si="1"/>
        <v>1589</v>
      </c>
      <c r="B90">
        <f>2*$I$1-INDEX(Coin2!$A:$D,MATCH(VLOOKUP(Coin4!$A90,Correspondance!$G:$H,2,FALSE),Coin2!$A:$A,0),2)</f>
        <v>63.77612661203014</v>
      </c>
      <c r="C90">
        <f>INDEX(Coin2!$A:$D,MATCH(VLOOKUP(Coin4!$A90,Correspondance!$G:$H,2,FALSE),Coin2!$A:$A,0),3)</f>
        <v>95.045000000000002</v>
      </c>
      <c r="D90">
        <f>INDEX(Coin2!$A:$D,MATCH(VLOOKUP(Coin4!$A90,Correspondance!$G:$H,2,FALSE),Coin2!$A:$A,0),4)</f>
        <v>26.36</v>
      </c>
    </row>
    <row r="91" spans="1:4" x14ac:dyDescent="0.35">
      <c r="A91">
        <f t="shared" si="1"/>
        <v>1590</v>
      </c>
      <c r="B91">
        <f>2*$I$1-INDEX(Coin2!$A:$D,MATCH(VLOOKUP(Coin4!$A91,Correspondance!$G:$H,2,FALSE),Coin2!$A:$A,0),2)</f>
        <v>54.42</v>
      </c>
      <c r="C91">
        <f>INDEX(Coin2!$A:$D,MATCH(VLOOKUP(Coin4!$A91,Correspondance!$G:$H,2,FALSE),Coin2!$A:$A,0),3)</f>
        <v>96.960000000000008</v>
      </c>
      <c r="D91">
        <f>INDEX(Coin2!$A:$D,MATCH(VLOOKUP(Coin4!$A91,Correspondance!$G:$H,2,FALSE),Coin2!$A:$A,0),4)</f>
        <v>26.36</v>
      </c>
    </row>
    <row r="92" spans="1:4" x14ac:dyDescent="0.35">
      <c r="A92">
        <f t="shared" si="1"/>
        <v>1591</v>
      </c>
      <c r="B92">
        <f>2*$I$1-INDEX(Coin2!$A:$D,MATCH(VLOOKUP(Coin4!$A92,Correspondance!$G:$H,2,FALSE),Coin2!$A:$A,0),2)</f>
        <v>55.540000000000006</v>
      </c>
      <c r="C92">
        <f>INDEX(Coin2!$A:$D,MATCH(VLOOKUP(Coin4!$A92,Correspondance!$G:$H,2,FALSE),Coin2!$A:$A,0),3)</f>
        <v>96.960000000000008</v>
      </c>
      <c r="D92">
        <f>INDEX(Coin2!$A:$D,MATCH(VLOOKUP(Coin4!$A92,Correspondance!$G:$H,2,FALSE),Coin2!$A:$A,0),4)</f>
        <v>26.36</v>
      </c>
    </row>
    <row r="93" spans="1:4" x14ac:dyDescent="0.35">
      <c r="A93">
        <f t="shared" si="1"/>
        <v>1592</v>
      </c>
      <c r="B93">
        <f>2*$I$1-INDEX(Coin2!$A:$D,MATCH(VLOOKUP(Coin4!$A93,Correspondance!$G:$H,2,FALSE),Coin2!$A:$A,0),2)</f>
        <v>56.474624462656628</v>
      </c>
      <c r="C93">
        <f>INDEX(Coin2!$A:$D,MATCH(VLOOKUP(Coin4!$A93,Correspondance!$G:$H,2,FALSE),Coin2!$A:$A,0),3)</f>
        <v>96.960000000000008</v>
      </c>
      <c r="D93">
        <f>INDEX(Coin2!$A:$D,MATCH(VLOOKUP(Coin4!$A93,Correspondance!$G:$H,2,FALSE),Coin2!$A:$A,0),4)</f>
        <v>26.36</v>
      </c>
    </row>
    <row r="94" spans="1:4" x14ac:dyDescent="0.35">
      <c r="A94">
        <f t="shared" si="1"/>
        <v>1593</v>
      </c>
      <c r="B94">
        <f>2*$I$1-INDEX(Coin2!$A:$D,MATCH(VLOOKUP(Coin4!$A94,Correspondance!$G:$H,2,FALSE),Coin2!$A:$A,0),2)</f>
        <v>56.657948729810784</v>
      </c>
      <c r="C94">
        <f>INDEX(Coin2!$A:$D,MATCH(VLOOKUP(Coin4!$A94,Correspondance!$G:$H,2,FALSE),Coin2!$A:$A,0),3)</f>
        <v>96.960000000000008</v>
      </c>
      <c r="D94">
        <f>INDEX(Coin2!$A:$D,MATCH(VLOOKUP(Coin4!$A94,Correspondance!$G:$H,2,FALSE),Coin2!$A:$A,0),4)</f>
        <v>26.36</v>
      </c>
    </row>
    <row r="95" spans="1:4" x14ac:dyDescent="0.35">
      <c r="A95">
        <f t="shared" si="1"/>
        <v>1594</v>
      </c>
      <c r="B95">
        <f>2*$I$1-INDEX(Coin2!$A:$D,MATCH(VLOOKUP(Coin4!$A95,Correspondance!$G:$H,2,FALSE),Coin2!$A:$A,0),2)</f>
        <v>57.777948729810781</v>
      </c>
      <c r="C95">
        <f>INDEX(Coin2!$A:$D,MATCH(VLOOKUP(Coin4!$A95,Correspondance!$G:$H,2,FALSE),Coin2!$A:$A,0),3)</f>
        <v>96.960000000000008</v>
      </c>
      <c r="D95">
        <f>INDEX(Coin2!$A:$D,MATCH(VLOOKUP(Coin4!$A95,Correspondance!$G:$H,2,FALSE),Coin2!$A:$A,0),4)</f>
        <v>26.36</v>
      </c>
    </row>
    <row r="96" spans="1:4" x14ac:dyDescent="0.35">
      <c r="A96">
        <f t="shared" si="1"/>
        <v>1595</v>
      </c>
      <c r="B96">
        <f>2*$I$1-INDEX(Coin2!$A:$D,MATCH(VLOOKUP(Coin4!$A96,Correspondance!$G:$H,2,FALSE),Coin2!$A:$A,0),2)</f>
        <v>58.529248925313254</v>
      </c>
      <c r="C96">
        <f>INDEX(Coin2!$A:$D,MATCH(VLOOKUP(Coin4!$A96,Correspondance!$G:$H,2,FALSE),Coin2!$A:$A,0),3)</f>
        <v>96.960000000000008</v>
      </c>
      <c r="D96">
        <f>INDEX(Coin2!$A:$D,MATCH(VLOOKUP(Coin4!$A96,Correspondance!$G:$H,2,FALSE),Coin2!$A:$A,0),4)</f>
        <v>26.36</v>
      </c>
    </row>
    <row r="97" spans="1:4" x14ac:dyDescent="0.35">
      <c r="A97">
        <f t="shared" si="1"/>
        <v>1596</v>
      </c>
      <c r="B97">
        <f>2*$I$1-INDEX(Coin2!$A:$D,MATCH(VLOOKUP(Coin4!$A97,Correspondance!$G:$H,2,FALSE),Coin2!$A:$A,0),2)</f>
        <v>58.717948729810786</v>
      </c>
      <c r="C97">
        <f>INDEX(Coin2!$A:$D,MATCH(VLOOKUP(Coin4!$A97,Correspondance!$G:$H,2,FALSE),Coin2!$A:$A,0),3)</f>
        <v>96.960000000000008</v>
      </c>
      <c r="D97">
        <f>INDEX(Coin2!$A:$D,MATCH(VLOOKUP(Coin4!$A97,Correspondance!$G:$H,2,FALSE),Coin2!$A:$A,0),4)</f>
        <v>26.36</v>
      </c>
    </row>
    <row r="98" spans="1:4" x14ac:dyDescent="0.35">
      <c r="A98">
        <f t="shared" si="1"/>
        <v>1597</v>
      </c>
      <c r="B98">
        <f>2*$I$1-INDEX(Coin2!$A:$D,MATCH(VLOOKUP(Coin4!$A98,Correspondance!$G:$H,2,FALSE),Coin2!$A:$A,0),2)</f>
        <v>59.667500000000004</v>
      </c>
      <c r="C98">
        <f>INDEX(Coin2!$A:$D,MATCH(VLOOKUP(Coin4!$A98,Correspondance!$G:$H,2,FALSE),Coin2!$A:$A,0),3)</f>
        <v>96.960000000000008</v>
      </c>
      <c r="D98">
        <f>INDEX(Coin2!$A:$D,MATCH(VLOOKUP(Coin4!$A98,Correspondance!$G:$H,2,FALSE),Coin2!$A:$A,0),4)</f>
        <v>26.36</v>
      </c>
    </row>
    <row r="99" spans="1:4" x14ac:dyDescent="0.35">
      <c r="A99">
        <f t="shared" si="1"/>
        <v>1598</v>
      </c>
      <c r="B99">
        <f>2*$I$1-INDEX(Coin2!$A:$D,MATCH(VLOOKUP(Coin4!$A99,Correspondance!$G:$H,2,FALSE),Coin2!$A:$A,0),2)</f>
        <v>60.583873387969874</v>
      </c>
      <c r="C99">
        <f>INDEX(Coin2!$A:$D,MATCH(VLOOKUP(Coin4!$A99,Correspondance!$G:$H,2,FALSE),Coin2!$A:$A,0),3)</f>
        <v>96.960000000000008</v>
      </c>
      <c r="D99">
        <f>INDEX(Coin2!$A:$D,MATCH(VLOOKUP(Coin4!$A99,Correspondance!$G:$H,2,FALSE),Coin2!$A:$A,0),4)</f>
        <v>26.36</v>
      </c>
    </row>
    <row r="100" spans="1:4" x14ac:dyDescent="0.35">
      <c r="A100">
        <f t="shared" si="1"/>
        <v>1599</v>
      </c>
      <c r="B100">
        <f>2*$I$1-INDEX(Coin2!$A:$D,MATCH(VLOOKUP(Coin4!$A100,Correspondance!$G:$H,2,FALSE),Coin2!$A:$A,0),2)</f>
        <v>60.372500000000002</v>
      </c>
      <c r="C100">
        <f>INDEX(Coin2!$A:$D,MATCH(VLOOKUP(Coin4!$A100,Correspondance!$G:$H,2,FALSE),Coin2!$A:$A,0),3)</f>
        <v>96.960000000000008</v>
      </c>
      <c r="D100">
        <f>INDEX(Coin2!$A:$D,MATCH(VLOOKUP(Coin4!$A100,Correspondance!$G:$H,2,FALSE),Coin2!$A:$A,0),4)</f>
        <v>26.36</v>
      </c>
    </row>
    <row r="101" spans="1:4" x14ac:dyDescent="0.35">
      <c r="A101">
        <f t="shared" si="1"/>
        <v>1600</v>
      </c>
      <c r="B101">
        <f>2*$I$1-INDEX(Coin2!$A:$D,MATCH(VLOOKUP(Coin4!$A101,Correspondance!$G:$H,2,FALSE),Coin2!$A:$A,0),2)</f>
        <v>60.607500000000002</v>
      </c>
      <c r="C101">
        <f>INDEX(Coin2!$A:$D,MATCH(VLOOKUP(Coin4!$A101,Correspondance!$G:$H,2,FALSE),Coin2!$A:$A,0),3)</f>
        <v>96.960000000000008</v>
      </c>
      <c r="D101">
        <f>INDEX(Coin2!$A:$D,MATCH(VLOOKUP(Coin4!$A101,Correspondance!$G:$H,2,FALSE),Coin2!$A:$A,0),4)</f>
        <v>26.36</v>
      </c>
    </row>
    <row r="102" spans="1:4" x14ac:dyDescent="0.35">
      <c r="A102">
        <f t="shared" si="1"/>
        <v>1601</v>
      </c>
      <c r="B102">
        <f>2*$I$1-INDEX(Coin2!$A:$D,MATCH(VLOOKUP(Coin4!$A102,Correspondance!$G:$H,2,FALSE),Coin2!$A:$A,0),2)</f>
        <v>61.222500000000004</v>
      </c>
      <c r="C102">
        <f>INDEX(Coin2!$A:$D,MATCH(VLOOKUP(Coin4!$A102,Correspondance!$G:$H,2,FALSE),Coin2!$A:$A,0),3)</f>
        <v>96.960000000000008</v>
      </c>
      <c r="D102">
        <f>INDEX(Coin2!$A:$D,MATCH(VLOOKUP(Coin4!$A102,Correspondance!$G:$H,2,FALSE),Coin2!$A:$A,0),4)</f>
        <v>26.36</v>
      </c>
    </row>
    <row r="103" spans="1:4" x14ac:dyDescent="0.35">
      <c r="A103">
        <f t="shared" si="1"/>
        <v>1602</v>
      </c>
      <c r="B103">
        <f>2*$I$1-INDEX(Coin2!$A:$D,MATCH(VLOOKUP(Coin4!$A103,Correspondance!$G:$H,2,FALSE),Coin2!$A:$A,0),2)</f>
        <v>61.837500000000006</v>
      </c>
      <c r="C103">
        <f>INDEX(Coin2!$A:$D,MATCH(VLOOKUP(Coin4!$A103,Correspondance!$G:$H,2,FALSE),Coin2!$A:$A,0),3)</f>
        <v>96.960000000000008</v>
      </c>
      <c r="D103">
        <f>INDEX(Coin2!$A:$D,MATCH(VLOOKUP(Coin4!$A103,Correspondance!$G:$H,2,FALSE),Coin2!$A:$A,0),4)</f>
        <v>26.36</v>
      </c>
    </row>
    <row r="104" spans="1:4" x14ac:dyDescent="0.35">
      <c r="A104">
        <f t="shared" si="1"/>
        <v>1603</v>
      </c>
      <c r="B104">
        <f>2*$I$1-INDEX(Coin2!$A:$D,MATCH(VLOOKUP(Coin4!$A104,Correspondance!$G:$H,2,FALSE),Coin2!$A:$A,0),2)</f>
        <v>62.072500000000005</v>
      </c>
      <c r="C104">
        <f>INDEX(Coin2!$A:$D,MATCH(VLOOKUP(Coin4!$A104,Correspondance!$G:$H,2,FALSE),Coin2!$A:$A,0),3)</f>
        <v>96.960000000000008</v>
      </c>
      <c r="D104">
        <f>INDEX(Coin2!$A:$D,MATCH(VLOOKUP(Coin4!$A104,Correspondance!$G:$H,2,FALSE),Coin2!$A:$A,0),4)</f>
        <v>26.36</v>
      </c>
    </row>
    <row r="105" spans="1:4" x14ac:dyDescent="0.35">
      <c r="A105">
        <f t="shared" si="1"/>
        <v>1604</v>
      </c>
      <c r="B105">
        <f>2*$I$1-INDEX(Coin2!$A:$D,MATCH(VLOOKUP(Coin4!$A105,Correspondance!$G:$H,2,FALSE),Coin2!$A:$A,0),2)</f>
        <v>61.861126612030134</v>
      </c>
      <c r="C105">
        <f>INDEX(Coin2!$A:$D,MATCH(VLOOKUP(Coin4!$A105,Correspondance!$G:$H,2,FALSE),Coin2!$A:$A,0),3)</f>
        <v>96.960000000000008</v>
      </c>
      <c r="D105">
        <f>INDEX(Coin2!$A:$D,MATCH(VLOOKUP(Coin4!$A105,Correspondance!$G:$H,2,FALSE),Coin2!$A:$A,0),4)</f>
        <v>26.36</v>
      </c>
    </row>
    <row r="106" spans="1:4" x14ac:dyDescent="0.35">
      <c r="A106">
        <f t="shared" si="1"/>
        <v>1605</v>
      </c>
      <c r="B106">
        <f>2*$I$1-INDEX(Coin2!$A:$D,MATCH(VLOOKUP(Coin4!$A106,Correspondance!$G:$H,2,FALSE),Coin2!$A:$A,0),2)</f>
        <v>62.777500000000003</v>
      </c>
      <c r="C106">
        <f>INDEX(Coin2!$A:$D,MATCH(VLOOKUP(Coin4!$A106,Correspondance!$G:$H,2,FALSE),Coin2!$A:$A,0),3)</f>
        <v>96.960000000000008</v>
      </c>
      <c r="D106">
        <f>INDEX(Coin2!$A:$D,MATCH(VLOOKUP(Coin4!$A106,Correspondance!$G:$H,2,FALSE),Coin2!$A:$A,0),4)</f>
        <v>26.36</v>
      </c>
    </row>
    <row r="107" spans="1:4" x14ac:dyDescent="0.35">
      <c r="A107">
        <f t="shared" si="1"/>
        <v>1606</v>
      </c>
      <c r="B107">
        <f>2*$I$1-INDEX(Coin2!$A:$D,MATCH(VLOOKUP(Coin4!$A107,Correspondance!$G:$H,2,FALSE),Coin2!$A:$A,0),2)</f>
        <v>63.727051270189229</v>
      </c>
      <c r="C107">
        <f>INDEX(Coin2!$A:$D,MATCH(VLOOKUP(Coin4!$A107,Correspondance!$G:$H,2,FALSE),Coin2!$A:$A,0),3)</f>
        <v>96.960000000000008</v>
      </c>
      <c r="D107">
        <f>INDEX(Coin2!$A:$D,MATCH(VLOOKUP(Coin4!$A107,Correspondance!$G:$H,2,FALSE),Coin2!$A:$A,0),4)</f>
        <v>26.36</v>
      </c>
    </row>
    <row r="108" spans="1:4" x14ac:dyDescent="0.35">
      <c r="A108">
        <f t="shared" si="1"/>
        <v>1607</v>
      </c>
      <c r="B108">
        <f>2*$I$1-INDEX(Coin2!$A:$D,MATCH(VLOOKUP(Coin4!$A108,Correspondance!$G:$H,2,FALSE),Coin2!$A:$A,0),2)</f>
        <v>63.91575107468676</v>
      </c>
      <c r="C108">
        <f>INDEX(Coin2!$A:$D,MATCH(VLOOKUP(Coin4!$A108,Correspondance!$G:$H,2,FALSE),Coin2!$A:$A,0),3)</f>
        <v>96.960000000000008</v>
      </c>
      <c r="D108">
        <f>INDEX(Coin2!$A:$D,MATCH(VLOOKUP(Coin4!$A108,Correspondance!$G:$H,2,FALSE),Coin2!$A:$A,0),4)</f>
        <v>26.36</v>
      </c>
    </row>
    <row r="109" spans="1:4" x14ac:dyDescent="0.35">
      <c r="A109">
        <f t="shared" si="1"/>
        <v>1608</v>
      </c>
      <c r="B109">
        <f>2*$I$1-INDEX(Coin2!$A:$D,MATCH(VLOOKUP(Coin4!$A109,Correspondance!$G:$H,2,FALSE),Coin2!$A:$A,0),2)</f>
        <v>64.667051270189233</v>
      </c>
      <c r="C109">
        <f>INDEX(Coin2!$A:$D,MATCH(VLOOKUP(Coin4!$A109,Correspondance!$G:$H,2,FALSE),Coin2!$A:$A,0),3)</f>
        <v>96.960000000000008</v>
      </c>
      <c r="D109">
        <f>INDEX(Coin2!$A:$D,MATCH(VLOOKUP(Coin4!$A109,Correspondance!$G:$H,2,FALSE),Coin2!$A:$A,0),4)</f>
        <v>26.36</v>
      </c>
    </row>
    <row r="110" spans="1:4" x14ac:dyDescent="0.35">
      <c r="A110">
        <f t="shared" si="1"/>
        <v>1609</v>
      </c>
      <c r="B110">
        <f>2*$I$1-INDEX(Coin2!$A:$D,MATCH(VLOOKUP(Coin4!$A110,Correspondance!$G:$H,2,FALSE),Coin2!$A:$A,0),2)</f>
        <v>65.787051270189224</v>
      </c>
      <c r="C110">
        <f>INDEX(Coin2!$A:$D,MATCH(VLOOKUP(Coin4!$A110,Correspondance!$G:$H,2,FALSE),Coin2!$A:$A,0),3)</f>
        <v>96.960000000000008</v>
      </c>
      <c r="D110">
        <f>INDEX(Coin2!$A:$D,MATCH(VLOOKUP(Coin4!$A110,Correspondance!$G:$H,2,FALSE),Coin2!$A:$A,0),4)</f>
        <v>26.36</v>
      </c>
    </row>
    <row r="111" spans="1:4" x14ac:dyDescent="0.35">
      <c r="A111">
        <f t="shared" si="1"/>
        <v>1610</v>
      </c>
      <c r="B111">
        <f>2*$I$1-INDEX(Coin2!$A:$D,MATCH(VLOOKUP(Coin4!$A111,Correspondance!$G:$H,2,FALSE),Coin2!$A:$A,0),2)</f>
        <v>65.970375537343386</v>
      </c>
      <c r="C111">
        <f>INDEX(Coin2!$A:$D,MATCH(VLOOKUP(Coin4!$A111,Correspondance!$G:$H,2,FALSE),Coin2!$A:$A,0),3)</f>
        <v>96.960000000000008</v>
      </c>
      <c r="D111">
        <f>INDEX(Coin2!$A:$D,MATCH(VLOOKUP(Coin4!$A111,Correspondance!$G:$H,2,FALSE),Coin2!$A:$A,0),4)</f>
        <v>26.36</v>
      </c>
    </row>
    <row r="112" spans="1:4" x14ac:dyDescent="0.35">
      <c r="A112">
        <f t="shared" si="1"/>
        <v>1611</v>
      </c>
      <c r="B112">
        <f>2*$I$1-INDEX(Coin2!$A:$D,MATCH(VLOOKUP(Coin4!$A112,Correspondance!$G:$H,2,FALSE),Coin2!$A:$A,0),2)</f>
        <v>66.905000000000001</v>
      </c>
      <c r="C112">
        <f>INDEX(Coin2!$A:$D,MATCH(VLOOKUP(Coin4!$A112,Correspondance!$G:$H,2,FALSE),Coin2!$A:$A,0),3)</f>
        <v>96.960000000000008</v>
      </c>
      <c r="D112">
        <f>INDEX(Coin2!$A:$D,MATCH(VLOOKUP(Coin4!$A112,Correspondance!$G:$H,2,FALSE),Coin2!$A:$A,0),4)</f>
        <v>26.36</v>
      </c>
    </row>
    <row r="113" spans="1:4" x14ac:dyDescent="0.35">
      <c r="A113">
        <f t="shared" si="1"/>
        <v>1612</v>
      </c>
      <c r="B113">
        <f>2*$I$1-INDEX(Coin2!$A:$D,MATCH(VLOOKUP(Coin4!$A113,Correspondance!$G:$H,2,FALSE),Coin2!$A:$A,0),2)</f>
        <v>68.025000000000006</v>
      </c>
      <c r="C113">
        <f>INDEX(Coin2!$A:$D,MATCH(VLOOKUP(Coin4!$A113,Correspondance!$G:$H,2,FALSE),Coin2!$A:$A,0),3)</f>
        <v>96.960000000000008</v>
      </c>
      <c r="D113">
        <f>INDEX(Coin2!$A:$D,MATCH(VLOOKUP(Coin4!$A113,Correspondance!$G:$H,2,FALSE),Coin2!$A:$A,0),4)</f>
        <v>26.36</v>
      </c>
    </row>
    <row r="114" spans="1:4" x14ac:dyDescent="0.35">
      <c r="A114">
        <f t="shared" si="1"/>
        <v>1613</v>
      </c>
      <c r="B114">
        <f>2*$I$1-INDEX(Coin2!$A:$D,MATCH(VLOOKUP(Coin4!$A114,Correspondance!$G:$H,2,FALSE),Coin2!$A:$A,0),2)</f>
        <v>69.425000000000011</v>
      </c>
      <c r="C114">
        <f>INDEX(Coin2!$A:$D,MATCH(VLOOKUP(Coin4!$A114,Correspondance!$G:$H,2,FALSE),Coin2!$A:$A,0),3)</f>
        <v>96.960000000000008</v>
      </c>
      <c r="D114">
        <f>INDEX(Coin2!$A:$D,MATCH(VLOOKUP(Coin4!$A114,Correspondance!$G:$H,2,FALSE),Coin2!$A:$A,0),4)</f>
        <v>26.36</v>
      </c>
    </row>
    <row r="115" spans="1:4" x14ac:dyDescent="0.35">
      <c r="A115">
        <f t="shared" si="1"/>
        <v>1614</v>
      </c>
      <c r="B115">
        <f>2*$I$1-INDEX(Coin2!$A:$D,MATCH(VLOOKUP(Coin4!$A115,Correspondance!$G:$H,2,FALSE),Coin2!$A:$A,0),2)</f>
        <v>57.777948729810781</v>
      </c>
      <c r="C115">
        <f>INDEX(Coin2!$A:$D,MATCH(VLOOKUP(Coin4!$A115,Correspondance!$G:$H,2,FALSE),Coin2!$A:$A,0),3)</f>
        <v>97.31</v>
      </c>
      <c r="D115">
        <f>INDEX(Coin2!$A:$D,MATCH(VLOOKUP(Coin4!$A115,Correspondance!$G:$H,2,FALSE),Coin2!$A:$A,0),4)</f>
        <v>26.36</v>
      </c>
    </row>
    <row r="116" spans="1:4" x14ac:dyDescent="0.35">
      <c r="A116">
        <f t="shared" si="1"/>
        <v>1615</v>
      </c>
      <c r="B116">
        <f>2*$I$1-INDEX(Coin2!$A:$D,MATCH(VLOOKUP(Coin4!$A116,Correspondance!$G:$H,2,FALSE),Coin2!$A:$A,0),2)</f>
        <v>60.607500000000002</v>
      </c>
      <c r="C116">
        <f>INDEX(Coin2!$A:$D,MATCH(VLOOKUP(Coin4!$A116,Correspondance!$G:$H,2,FALSE),Coin2!$A:$A,0),3)</f>
        <v>97.31</v>
      </c>
      <c r="D116">
        <f>INDEX(Coin2!$A:$D,MATCH(VLOOKUP(Coin4!$A116,Correspondance!$G:$H,2,FALSE),Coin2!$A:$A,0),4)</f>
        <v>26.36</v>
      </c>
    </row>
    <row r="117" spans="1:4" x14ac:dyDescent="0.35">
      <c r="A117">
        <f t="shared" si="1"/>
        <v>1616</v>
      </c>
      <c r="B117">
        <f>2*$I$1-INDEX(Coin2!$A:$D,MATCH(VLOOKUP(Coin4!$A117,Correspondance!$G:$H,2,FALSE),Coin2!$A:$A,0),2)</f>
        <v>61.837500000000006</v>
      </c>
      <c r="C117">
        <f>INDEX(Coin2!$A:$D,MATCH(VLOOKUP(Coin4!$A117,Correspondance!$G:$H,2,FALSE),Coin2!$A:$A,0),3)</f>
        <v>97.31</v>
      </c>
      <c r="D117">
        <f>INDEX(Coin2!$A:$D,MATCH(VLOOKUP(Coin4!$A117,Correspondance!$G:$H,2,FALSE),Coin2!$A:$A,0),4)</f>
        <v>26.36</v>
      </c>
    </row>
    <row r="118" spans="1:4" x14ac:dyDescent="0.35">
      <c r="A118">
        <f t="shared" si="1"/>
        <v>1617</v>
      </c>
      <c r="B118">
        <f>2*$I$1-INDEX(Coin2!$A:$D,MATCH(VLOOKUP(Coin4!$A118,Correspondance!$G:$H,2,FALSE),Coin2!$A:$A,0),2)</f>
        <v>64.667051270189233</v>
      </c>
      <c r="C118">
        <f>INDEX(Coin2!$A:$D,MATCH(VLOOKUP(Coin4!$A118,Correspondance!$G:$H,2,FALSE),Coin2!$A:$A,0),3)</f>
        <v>97.31</v>
      </c>
      <c r="D118">
        <f>INDEX(Coin2!$A:$D,MATCH(VLOOKUP(Coin4!$A118,Correspondance!$G:$H,2,FALSE),Coin2!$A:$A,0),4)</f>
        <v>26.36</v>
      </c>
    </row>
    <row r="119" spans="1:4" x14ac:dyDescent="0.35">
      <c r="A119">
        <f t="shared" si="1"/>
        <v>1618</v>
      </c>
      <c r="B119">
        <f>2*$I$1-INDEX(Coin2!$A:$D,MATCH(VLOOKUP(Coin4!$A119,Correspondance!$G:$H,2,FALSE),Coin2!$A:$A,0),2)</f>
        <v>68.025000000000006</v>
      </c>
      <c r="C119">
        <f>INDEX(Coin2!$A:$D,MATCH(VLOOKUP(Coin4!$A119,Correspondance!$G:$H,2,FALSE),Coin2!$A:$A,0),3)</f>
        <v>97.31</v>
      </c>
      <c r="D119">
        <f>INDEX(Coin2!$A:$D,MATCH(VLOOKUP(Coin4!$A119,Correspondance!$G:$H,2,FALSE),Coin2!$A:$A,0),4)</f>
        <v>26.36</v>
      </c>
    </row>
    <row r="120" spans="1:4" x14ac:dyDescent="0.35">
      <c r="A120">
        <f t="shared" si="1"/>
        <v>1619</v>
      </c>
      <c r="B120">
        <f>2*$I$1-INDEX(Coin2!$A:$D,MATCH(VLOOKUP(Coin4!$A120,Correspondance!$G:$H,2,FALSE),Coin2!$A:$A,0),2)</f>
        <v>69.425000000000011</v>
      </c>
      <c r="C120">
        <f>INDEX(Coin2!$A:$D,MATCH(VLOOKUP(Coin4!$A120,Correspondance!$G:$H,2,FALSE),Coin2!$A:$A,0),3)</f>
        <v>97.31</v>
      </c>
      <c r="D120">
        <f>INDEX(Coin2!$A:$D,MATCH(VLOOKUP(Coin4!$A120,Correspondance!$G:$H,2,FALSE),Coin2!$A:$A,0),4)</f>
        <v>26.36</v>
      </c>
    </row>
    <row r="121" spans="1:4" x14ac:dyDescent="0.35">
      <c r="A121">
        <f t="shared" si="1"/>
        <v>1620</v>
      </c>
      <c r="B121">
        <f>2*$I$1-INDEX(Coin2!$A:$D,MATCH(VLOOKUP(Coin4!$A121,Correspondance!$G:$H,2,FALSE),Coin2!$A:$A,0),2)</f>
        <v>54.42</v>
      </c>
      <c r="C121">
        <f>INDEX(Coin2!$A:$D,MATCH(VLOOKUP(Coin4!$A121,Correspondance!$G:$H,2,FALSE),Coin2!$A:$A,0),3)</f>
        <v>98.56</v>
      </c>
      <c r="D121">
        <f>INDEX(Coin2!$A:$D,MATCH(VLOOKUP(Coin4!$A121,Correspondance!$G:$H,2,FALSE),Coin2!$A:$A,0),4)</f>
        <v>26.36</v>
      </c>
    </row>
    <row r="122" spans="1:4" x14ac:dyDescent="0.35">
      <c r="A122">
        <f t="shared" si="1"/>
        <v>1621</v>
      </c>
      <c r="B122">
        <f>2*$I$1-INDEX(Coin2!$A:$D,MATCH(VLOOKUP(Coin4!$A122,Correspondance!$G:$H,2,FALSE),Coin2!$A:$A,0),2)</f>
        <v>55.540000000000006</v>
      </c>
      <c r="C122">
        <f>INDEX(Coin2!$A:$D,MATCH(VLOOKUP(Coin4!$A122,Correspondance!$G:$H,2,FALSE),Coin2!$A:$A,0),3)</f>
        <v>98.56</v>
      </c>
      <c r="D122">
        <f>INDEX(Coin2!$A:$D,MATCH(VLOOKUP(Coin4!$A122,Correspondance!$G:$H,2,FALSE),Coin2!$A:$A,0),4)</f>
        <v>26.36</v>
      </c>
    </row>
    <row r="123" spans="1:4" x14ac:dyDescent="0.35">
      <c r="A123">
        <f t="shared" si="1"/>
        <v>1622</v>
      </c>
      <c r="B123">
        <f>2*$I$1-INDEX(Coin2!$A:$D,MATCH(VLOOKUP(Coin4!$A123,Correspondance!$G:$H,2,FALSE),Coin2!$A:$A,0),2)</f>
        <v>56.657948729810784</v>
      </c>
      <c r="C123">
        <f>INDEX(Coin2!$A:$D,MATCH(VLOOKUP(Coin4!$A123,Correspondance!$G:$H,2,FALSE),Coin2!$A:$A,0),3)</f>
        <v>98.56</v>
      </c>
      <c r="D123">
        <f>INDEX(Coin2!$A:$D,MATCH(VLOOKUP(Coin4!$A123,Correspondance!$G:$H,2,FALSE),Coin2!$A:$A,0),4)</f>
        <v>26.36</v>
      </c>
    </row>
    <row r="124" spans="1:4" x14ac:dyDescent="0.35">
      <c r="A124">
        <f t="shared" si="1"/>
        <v>1623</v>
      </c>
      <c r="B124">
        <f>2*$I$1-INDEX(Coin2!$A:$D,MATCH(VLOOKUP(Coin4!$A124,Correspondance!$G:$H,2,FALSE),Coin2!$A:$A,0),2)</f>
        <v>57.777948729810781</v>
      </c>
      <c r="C124">
        <f>INDEX(Coin2!$A:$D,MATCH(VLOOKUP(Coin4!$A124,Correspondance!$G:$H,2,FALSE),Coin2!$A:$A,0),3)</f>
        <v>98.56</v>
      </c>
      <c r="D124">
        <f>INDEX(Coin2!$A:$D,MATCH(VLOOKUP(Coin4!$A124,Correspondance!$G:$H,2,FALSE),Coin2!$A:$A,0),4)</f>
        <v>26.36</v>
      </c>
    </row>
    <row r="125" spans="1:4" x14ac:dyDescent="0.35">
      <c r="A125">
        <f t="shared" si="1"/>
        <v>1624</v>
      </c>
      <c r="B125">
        <f>2*$I$1-INDEX(Coin2!$A:$D,MATCH(VLOOKUP(Coin4!$A125,Correspondance!$G:$H,2,FALSE),Coin2!$A:$A,0),2)</f>
        <v>58.717948729810786</v>
      </c>
      <c r="C125">
        <f>INDEX(Coin2!$A:$D,MATCH(VLOOKUP(Coin4!$A125,Correspondance!$G:$H,2,FALSE),Coin2!$A:$A,0),3)</f>
        <v>98.56</v>
      </c>
      <c r="D125">
        <f>INDEX(Coin2!$A:$D,MATCH(VLOOKUP(Coin4!$A125,Correspondance!$G:$H,2,FALSE),Coin2!$A:$A,0),4)</f>
        <v>26.36</v>
      </c>
    </row>
    <row r="126" spans="1:4" x14ac:dyDescent="0.35">
      <c r="A126">
        <f t="shared" si="1"/>
        <v>1625</v>
      </c>
      <c r="B126">
        <f>2*$I$1-INDEX(Coin2!$A:$D,MATCH(VLOOKUP(Coin4!$A126,Correspondance!$G:$H,2,FALSE),Coin2!$A:$A,0),2)</f>
        <v>59.667500000000004</v>
      </c>
      <c r="C126">
        <f>INDEX(Coin2!$A:$D,MATCH(VLOOKUP(Coin4!$A126,Correspondance!$G:$H,2,FALSE),Coin2!$A:$A,0),3)</f>
        <v>98.56</v>
      </c>
      <c r="D126">
        <f>INDEX(Coin2!$A:$D,MATCH(VLOOKUP(Coin4!$A126,Correspondance!$G:$H,2,FALSE),Coin2!$A:$A,0),4)</f>
        <v>26.36</v>
      </c>
    </row>
    <row r="127" spans="1:4" x14ac:dyDescent="0.35">
      <c r="A127">
        <f t="shared" si="1"/>
        <v>1626</v>
      </c>
      <c r="B127">
        <f>2*$I$1-INDEX(Coin2!$A:$D,MATCH(VLOOKUP(Coin4!$A127,Correspondance!$G:$H,2,FALSE),Coin2!$A:$A,0),2)</f>
        <v>60.607500000000002</v>
      </c>
      <c r="C127">
        <f>INDEX(Coin2!$A:$D,MATCH(VLOOKUP(Coin4!$A127,Correspondance!$G:$H,2,FALSE),Coin2!$A:$A,0),3)</f>
        <v>98.56</v>
      </c>
      <c r="D127">
        <f>INDEX(Coin2!$A:$D,MATCH(VLOOKUP(Coin4!$A127,Correspondance!$G:$H,2,FALSE),Coin2!$A:$A,0),4)</f>
        <v>26.36</v>
      </c>
    </row>
    <row r="128" spans="1:4" x14ac:dyDescent="0.35">
      <c r="A128">
        <f t="shared" si="1"/>
        <v>1627</v>
      </c>
      <c r="B128">
        <f>2*$I$1-INDEX(Coin2!$A:$D,MATCH(VLOOKUP(Coin4!$A128,Correspondance!$G:$H,2,FALSE),Coin2!$A:$A,0),2)</f>
        <v>61.837500000000006</v>
      </c>
      <c r="C128">
        <f>INDEX(Coin2!$A:$D,MATCH(VLOOKUP(Coin4!$A128,Correspondance!$G:$H,2,FALSE),Coin2!$A:$A,0),3)</f>
        <v>98.56</v>
      </c>
      <c r="D128">
        <f>INDEX(Coin2!$A:$D,MATCH(VLOOKUP(Coin4!$A128,Correspondance!$G:$H,2,FALSE),Coin2!$A:$A,0),4)</f>
        <v>26.36</v>
      </c>
    </row>
    <row r="129" spans="1:4" x14ac:dyDescent="0.35">
      <c r="A129">
        <f t="shared" si="1"/>
        <v>1628</v>
      </c>
      <c r="B129">
        <f>2*$I$1-INDEX(Coin2!$A:$D,MATCH(VLOOKUP(Coin4!$A129,Correspondance!$G:$H,2,FALSE),Coin2!$A:$A,0),2)</f>
        <v>62.777500000000003</v>
      </c>
      <c r="C129">
        <f>INDEX(Coin2!$A:$D,MATCH(VLOOKUP(Coin4!$A129,Correspondance!$G:$H,2,FALSE),Coin2!$A:$A,0),3)</f>
        <v>98.56</v>
      </c>
      <c r="D129">
        <f>INDEX(Coin2!$A:$D,MATCH(VLOOKUP(Coin4!$A129,Correspondance!$G:$H,2,FALSE),Coin2!$A:$A,0),4)</f>
        <v>26.36</v>
      </c>
    </row>
    <row r="130" spans="1:4" x14ac:dyDescent="0.35">
      <c r="A130">
        <f t="shared" si="1"/>
        <v>1629</v>
      </c>
      <c r="B130">
        <f>2*$I$1-INDEX(Coin2!$A:$D,MATCH(VLOOKUP(Coin4!$A130,Correspondance!$G:$H,2,FALSE),Coin2!$A:$A,0),2)</f>
        <v>63.727051270189229</v>
      </c>
      <c r="C130">
        <f>INDEX(Coin2!$A:$D,MATCH(VLOOKUP(Coin4!$A130,Correspondance!$G:$H,2,FALSE),Coin2!$A:$A,0),3)</f>
        <v>98.56</v>
      </c>
      <c r="D130">
        <f>INDEX(Coin2!$A:$D,MATCH(VLOOKUP(Coin4!$A130,Correspondance!$G:$H,2,FALSE),Coin2!$A:$A,0),4)</f>
        <v>26.36</v>
      </c>
    </row>
    <row r="131" spans="1:4" x14ac:dyDescent="0.35">
      <c r="A131">
        <f t="shared" si="1"/>
        <v>1630</v>
      </c>
      <c r="B131">
        <f>2*$I$1-INDEX(Coin2!$A:$D,MATCH(VLOOKUP(Coin4!$A131,Correspondance!$G:$H,2,FALSE),Coin2!$A:$A,0),2)</f>
        <v>64.667051270189233</v>
      </c>
      <c r="C131">
        <f>INDEX(Coin2!$A:$D,MATCH(VLOOKUP(Coin4!$A131,Correspondance!$G:$H,2,FALSE),Coin2!$A:$A,0),3)</f>
        <v>98.56</v>
      </c>
      <c r="D131">
        <f>INDEX(Coin2!$A:$D,MATCH(VLOOKUP(Coin4!$A131,Correspondance!$G:$H,2,FALSE),Coin2!$A:$A,0),4)</f>
        <v>26.36</v>
      </c>
    </row>
    <row r="132" spans="1:4" x14ac:dyDescent="0.35">
      <c r="A132">
        <f t="shared" ref="A132:A195" si="2">A131+1</f>
        <v>1631</v>
      </c>
      <c r="B132">
        <f>2*$I$1-INDEX(Coin2!$A:$D,MATCH(VLOOKUP(Coin4!$A132,Correspondance!$G:$H,2,FALSE),Coin2!$A:$A,0),2)</f>
        <v>65.787051270189224</v>
      </c>
      <c r="C132">
        <f>INDEX(Coin2!$A:$D,MATCH(VLOOKUP(Coin4!$A132,Correspondance!$G:$H,2,FALSE),Coin2!$A:$A,0),3)</f>
        <v>98.56</v>
      </c>
      <c r="D132">
        <f>INDEX(Coin2!$A:$D,MATCH(VLOOKUP(Coin4!$A132,Correspondance!$G:$H,2,FALSE),Coin2!$A:$A,0),4)</f>
        <v>26.36</v>
      </c>
    </row>
    <row r="133" spans="1:4" x14ac:dyDescent="0.35">
      <c r="A133">
        <f t="shared" si="2"/>
        <v>1632</v>
      </c>
      <c r="B133">
        <f>2*$I$1-INDEX(Coin2!$A:$D,MATCH(VLOOKUP(Coin4!$A133,Correspondance!$G:$H,2,FALSE),Coin2!$A:$A,0),2)</f>
        <v>66.905000000000001</v>
      </c>
      <c r="C133">
        <f>INDEX(Coin2!$A:$D,MATCH(VLOOKUP(Coin4!$A133,Correspondance!$G:$H,2,FALSE),Coin2!$A:$A,0),3)</f>
        <v>98.56</v>
      </c>
      <c r="D133">
        <f>INDEX(Coin2!$A:$D,MATCH(VLOOKUP(Coin4!$A133,Correspondance!$G:$H,2,FALSE),Coin2!$A:$A,0),4)</f>
        <v>26.36</v>
      </c>
    </row>
    <row r="134" spans="1:4" x14ac:dyDescent="0.35">
      <c r="A134">
        <f t="shared" si="2"/>
        <v>1633</v>
      </c>
      <c r="B134">
        <f>2*$I$1-INDEX(Coin2!$A:$D,MATCH(VLOOKUP(Coin4!$A134,Correspondance!$G:$H,2,FALSE),Coin2!$A:$A,0),2)</f>
        <v>68.025000000000006</v>
      </c>
      <c r="C134">
        <f>INDEX(Coin2!$A:$D,MATCH(VLOOKUP(Coin4!$A134,Correspondance!$G:$H,2,FALSE),Coin2!$A:$A,0),3)</f>
        <v>98.56</v>
      </c>
      <c r="D134">
        <f>INDEX(Coin2!$A:$D,MATCH(VLOOKUP(Coin4!$A134,Correspondance!$G:$H,2,FALSE),Coin2!$A:$A,0),4)</f>
        <v>26.36</v>
      </c>
    </row>
    <row r="135" spans="1:4" x14ac:dyDescent="0.35">
      <c r="A135">
        <f t="shared" si="2"/>
        <v>1634</v>
      </c>
      <c r="B135">
        <f>2*$I$1-INDEX(Coin2!$A:$D,MATCH(VLOOKUP(Coin4!$A135,Correspondance!$G:$H,2,FALSE),Coin2!$A:$A,0),2)</f>
        <v>69.425000000000011</v>
      </c>
      <c r="C135">
        <f>INDEX(Coin2!$A:$D,MATCH(VLOOKUP(Coin4!$A135,Correspondance!$G:$H,2,FALSE),Coin2!$A:$A,0),3)</f>
        <v>98.56</v>
      </c>
      <c r="D135">
        <f>INDEX(Coin2!$A:$D,MATCH(VLOOKUP(Coin4!$A135,Correspondance!$G:$H,2,FALSE),Coin2!$A:$A,0),4)</f>
        <v>26.36</v>
      </c>
    </row>
    <row r="136" spans="1:4" x14ac:dyDescent="0.35">
      <c r="A136">
        <f t="shared" si="2"/>
        <v>1635</v>
      </c>
      <c r="B136">
        <f>2*$I$1-INDEX(Coin2!$A:$D,MATCH(VLOOKUP(Coin4!$A136,Correspondance!$G:$H,2,FALSE),Coin2!$A:$A,0),2)</f>
        <v>60.372500000000002</v>
      </c>
      <c r="C136">
        <f>INDEX(Coin2!$A:$D,MATCH(VLOOKUP(Coin4!$A136,Correspondance!$G:$H,2,FALSE),Coin2!$A:$A,0),3)</f>
        <v>88.175000000000011</v>
      </c>
      <c r="D136">
        <f>INDEX(Coin2!$A:$D,MATCH(VLOOKUP(Coin4!$A136,Correspondance!$G:$H,2,FALSE),Coin2!$A:$A,0),4)</f>
        <v>27.25</v>
      </c>
    </row>
    <row r="137" spans="1:4" x14ac:dyDescent="0.35">
      <c r="A137">
        <f t="shared" si="2"/>
        <v>1636</v>
      </c>
      <c r="B137">
        <f>2*$I$1-INDEX(Coin2!$A:$D,MATCH(VLOOKUP(Coin4!$A137,Correspondance!$G:$H,2,FALSE),Coin2!$A:$A,0),2)</f>
        <v>60.772500000000008</v>
      </c>
      <c r="C137">
        <f>INDEX(Coin2!$A:$D,MATCH(VLOOKUP(Coin4!$A137,Correspondance!$G:$H,2,FALSE),Coin2!$A:$A,0),3)</f>
        <v>88.175000000000011</v>
      </c>
      <c r="D137">
        <f>INDEX(Coin2!$A:$D,MATCH(VLOOKUP(Coin4!$A137,Correspondance!$G:$H,2,FALSE),Coin2!$A:$A,0),4)</f>
        <v>27.25</v>
      </c>
    </row>
    <row r="138" spans="1:4" x14ac:dyDescent="0.35">
      <c r="A138">
        <f t="shared" si="2"/>
        <v>1637</v>
      </c>
      <c r="B138">
        <f>2*$I$1-INDEX(Coin2!$A:$D,MATCH(VLOOKUP(Coin4!$A138,Correspondance!$G:$H,2,FALSE),Coin2!$A:$A,0),2)</f>
        <v>61.672500000000007</v>
      </c>
      <c r="C138">
        <f>INDEX(Coin2!$A:$D,MATCH(VLOOKUP(Coin4!$A138,Correspondance!$G:$H,2,FALSE),Coin2!$A:$A,0),3)</f>
        <v>88.175000000000011</v>
      </c>
      <c r="D138">
        <f>INDEX(Coin2!$A:$D,MATCH(VLOOKUP(Coin4!$A138,Correspondance!$G:$H,2,FALSE),Coin2!$A:$A,0),4)</f>
        <v>27.25</v>
      </c>
    </row>
    <row r="139" spans="1:4" x14ac:dyDescent="0.35">
      <c r="A139">
        <f t="shared" si="2"/>
        <v>1638</v>
      </c>
      <c r="B139">
        <f>2*$I$1-INDEX(Coin2!$A:$D,MATCH(VLOOKUP(Coin4!$A139,Correspondance!$G:$H,2,FALSE),Coin2!$A:$A,0),2)</f>
        <v>62.072500000000005</v>
      </c>
      <c r="C139">
        <f>INDEX(Coin2!$A:$D,MATCH(VLOOKUP(Coin4!$A139,Correspondance!$G:$H,2,FALSE),Coin2!$A:$A,0),3)</f>
        <v>88.175000000000011</v>
      </c>
      <c r="D139">
        <f>INDEX(Coin2!$A:$D,MATCH(VLOOKUP(Coin4!$A139,Correspondance!$G:$H,2,FALSE),Coin2!$A:$A,0),4)</f>
        <v>27.25</v>
      </c>
    </row>
    <row r="140" spans="1:4" x14ac:dyDescent="0.35">
      <c r="A140">
        <f t="shared" si="2"/>
        <v>1639</v>
      </c>
      <c r="B140">
        <f>2*$I$1-INDEX(Coin2!$A:$D,MATCH(VLOOKUP(Coin4!$A140,Correspondance!$G:$H,2,FALSE),Coin2!$A:$A,0),2)</f>
        <v>61.222500000000004</v>
      </c>
      <c r="C140">
        <f>INDEX(Coin2!$A:$D,MATCH(VLOOKUP(Coin4!$A140,Correspondance!$G:$H,2,FALSE),Coin2!$A:$A,0),3)</f>
        <v>88.88000000000001</v>
      </c>
      <c r="D140">
        <f>INDEX(Coin2!$A:$D,MATCH(VLOOKUP(Coin4!$A140,Correspondance!$G:$H,2,FALSE),Coin2!$A:$A,0),4)</f>
        <v>27.25</v>
      </c>
    </row>
    <row r="141" spans="1:4" x14ac:dyDescent="0.35">
      <c r="A141">
        <f t="shared" si="2"/>
        <v>1640</v>
      </c>
      <c r="B141">
        <f>2*$I$1-INDEX(Coin2!$A:$D,MATCH(VLOOKUP(Coin4!$A141,Correspondance!$G:$H,2,FALSE),Coin2!$A:$A,0),2)</f>
        <v>60.372500000000002</v>
      </c>
      <c r="C141">
        <f>INDEX(Coin2!$A:$D,MATCH(VLOOKUP(Coin4!$A141,Correspondance!$G:$H,2,FALSE),Coin2!$A:$A,0),3)</f>
        <v>89.585000000000008</v>
      </c>
      <c r="D141">
        <f>INDEX(Coin2!$A:$D,MATCH(VLOOKUP(Coin4!$A141,Correspondance!$G:$H,2,FALSE),Coin2!$A:$A,0),4)</f>
        <v>27.25</v>
      </c>
    </row>
    <row r="142" spans="1:4" x14ac:dyDescent="0.35">
      <c r="A142">
        <f t="shared" si="2"/>
        <v>1641</v>
      </c>
      <c r="B142">
        <f>2*$I$1-INDEX(Coin2!$A:$D,MATCH(VLOOKUP(Coin4!$A142,Correspondance!$G:$H,2,FALSE),Coin2!$A:$A,0),2)</f>
        <v>60.772500000000008</v>
      </c>
      <c r="C142">
        <f>INDEX(Coin2!$A:$D,MATCH(VLOOKUP(Coin4!$A142,Correspondance!$G:$H,2,FALSE),Coin2!$A:$A,0),3)</f>
        <v>89.585000000000008</v>
      </c>
      <c r="D142">
        <f>INDEX(Coin2!$A:$D,MATCH(VLOOKUP(Coin4!$A142,Correspondance!$G:$H,2,FALSE),Coin2!$A:$A,0),4)</f>
        <v>27.25</v>
      </c>
    </row>
    <row r="143" spans="1:4" x14ac:dyDescent="0.35">
      <c r="A143">
        <f t="shared" si="2"/>
        <v>1642</v>
      </c>
      <c r="B143">
        <f>2*$I$1-INDEX(Coin2!$A:$D,MATCH(VLOOKUP(Coin4!$A143,Correspondance!$G:$H,2,FALSE),Coin2!$A:$A,0),2)</f>
        <v>61.672500000000007</v>
      </c>
      <c r="C143">
        <f>INDEX(Coin2!$A:$D,MATCH(VLOOKUP(Coin4!$A143,Correspondance!$G:$H,2,FALSE),Coin2!$A:$A,0),3)</f>
        <v>89.585000000000008</v>
      </c>
      <c r="D143">
        <f>INDEX(Coin2!$A:$D,MATCH(VLOOKUP(Coin4!$A143,Correspondance!$G:$H,2,FALSE),Coin2!$A:$A,0),4)</f>
        <v>27.25</v>
      </c>
    </row>
    <row r="144" spans="1:4" x14ac:dyDescent="0.35">
      <c r="A144">
        <f t="shared" si="2"/>
        <v>1643</v>
      </c>
      <c r="B144">
        <f>2*$I$1-INDEX(Coin2!$A:$D,MATCH(VLOOKUP(Coin4!$A144,Correspondance!$G:$H,2,FALSE),Coin2!$A:$A,0),2)</f>
        <v>62.072500000000005</v>
      </c>
      <c r="C144">
        <f>INDEX(Coin2!$A:$D,MATCH(VLOOKUP(Coin4!$A144,Correspondance!$G:$H,2,FALSE),Coin2!$A:$A,0),3)</f>
        <v>89.585000000000008</v>
      </c>
      <c r="D144">
        <f>INDEX(Coin2!$A:$D,MATCH(VLOOKUP(Coin4!$A144,Correspondance!$G:$H,2,FALSE),Coin2!$A:$A,0),4)</f>
        <v>27.25</v>
      </c>
    </row>
    <row r="145" spans="1:4" x14ac:dyDescent="0.35">
      <c r="A145">
        <f t="shared" si="2"/>
        <v>1644</v>
      </c>
      <c r="B145">
        <f>2*$I$1-INDEX(Coin2!$A:$D,MATCH(VLOOKUP(Coin4!$A145,Correspondance!$G:$H,2,FALSE),Coin2!$A:$A,0),2)</f>
        <v>60.372500000000002</v>
      </c>
      <c r="C145">
        <f>INDEX(Coin2!$A:$D,MATCH(VLOOKUP(Coin4!$A145,Correspondance!$G:$H,2,FALSE),Coin2!$A:$A,0),3)</f>
        <v>80.800000000000011</v>
      </c>
      <c r="D145">
        <f>INDEX(Coin2!$A:$D,MATCH(VLOOKUP(Coin4!$A145,Correspondance!$G:$H,2,FALSE),Coin2!$A:$A,0),4)</f>
        <v>27.55</v>
      </c>
    </row>
    <row r="146" spans="1:4" x14ac:dyDescent="0.35">
      <c r="A146">
        <f t="shared" si="2"/>
        <v>1645</v>
      </c>
      <c r="B146">
        <f>2*$I$1-INDEX(Coin2!$A:$D,MATCH(VLOOKUP(Coin4!$A146,Correspondance!$G:$H,2,FALSE),Coin2!$A:$A,0),2)</f>
        <v>62.072500000000005</v>
      </c>
      <c r="C146">
        <f>INDEX(Coin2!$A:$D,MATCH(VLOOKUP(Coin4!$A146,Correspondance!$G:$H,2,FALSE),Coin2!$A:$A,0),3)</f>
        <v>80.800000000000011</v>
      </c>
      <c r="D146">
        <f>INDEX(Coin2!$A:$D,MATCH(VLOOKUP(Coin4!$A146,Correspondance!$G:$H,2,FALSE),Coin2!$A:$A,0),4)</f>
        <v>27.55</v>
      </c>
    </row>
    <row r="147" spans="1:4" x14ac:dyDescent="0.35">
      <c r="A147">
        <f t="shared" si="2"/>
        <v>1646</v>
      </c>
      <c r="B147">
        <f>2*$I$1-INDEX(Coin2!$A:$D,MATCH(VLOOKUP(Coin4!$A147,Correspondance!$G:$H,2,FALSE),Coin2!$A:$A,0),2)</f>
        <v>60.372500000000002</v>
      </c>
      <c r="C147">
        <f>INDEX(Coin2!$A:$D,MATCH(VLOOKUP(Coin4!$A147,Correspondance!$G:$H,2,FALSE),Coin2!$A:$A,0),3)</f>
        <v>81.2</v>
      </c>
      <c r="D147">
        <f>INDEX(Coin2!$A:$D,MATCH(VLOOKUP(Coin4!$A147,Correspondance!$G:$H,2,FALSE),Coin2!$A:$A,0),4)</f>
        <v>27.55</v>
      </c>
    </row>
    <row r="148" spans="1:4" x14ac:dyDescent="0.35">
      <c r="A148">
        <f t="shared" si="2"/>
        <v>1647</v>
      </c>
      <c r="B148">
        <f>2*$I$1-INDEX(Coin2!$A:$D,MATCH(VLOOKUP(Coin4!$A148,Correspondance!$G:$H,2,FALSE),Coin2!$A:$A,0),2)</f>
        <v>62.072500000000005</v>
      </c>
      <c r="C148">
        <f>INDEX(Coin2!$A:$D,MATCH(VLOOKUP(Coin4!$A148,Correspondance!$G:$H,2,FALSE),Coin2!$A:$A,0),3)</f>
        <v>81.2</v>
      </c>
      <c r="D148">
        <f>INDEX(Coin2!$A:$D,MATCH(VLOOKUP(Coin4!$A148,Correspondance!$G:$H,2,FALSE),Coin2!$A:$A,0),4)</f>
        <v>27.55</v>
      </c>
    </row>
    <row r="149" spans="1:4" x14ac:dyDescent="0.35">
      <c r="A149">
        <f t="shared" si="2"/>
        <v>1648</v>
      </c>
      <c r="B149">
        <f>2*$I$1-INDEX(Coin2!$A:$D,MATCH(VLOOKUP(Coin4!$A149,Correspondance!$G:$H,2,FALSE),Coin2!$A:$A,0),2)</f>
        <v>60.372500000000002</v>
      </c>
      <c r="C149">
        <f>INDEX(Coin2!$A:$D,MATCH(VLOOKUP(Coin4!$A149,Correspondance!$G:$H,2,FALSE),Coin2!$A:$A,0),3)</f>
        <v>83.225000000000009</v>
      </c>
      <c r="D149">
        <f>INDEX(Coin2!$A:$D,MATCH(VLOOKUP(Coin4!$A149,Correspondance!$G:$H,2,FALSE),Coin2!$A:$A,0),4)</f>
        <v>27.55</v>
      </c>
    </row>
    <row r="150" spans="1:4" x14ac:dyDescent="0.35">
      <c r="A150">
        <f t="shared" si="2"/>
        <v>1649</v>
      </c>
      <c r="B150">
        <f>2*$I$1-INDEX(Coin2!$A:$D,MATCH(VLOOKUP(Coin4!$A150,Correspondance!$G:$H,2,FALSE),Coin2!$A:$A,0),2)</f>
        <v>62.072500000000005</v>
      </c>
      <c r="C150">
        <f>INDEX(Coin2!$A:$D,MATCH(VLOOKUP(Coin4!$A150,Correspondance!$G:$H,2,FALSE),Coin2!$A:$A,0),3)</f>
        <v>83.225000000000009</v>
      </c>
      <c r="D150">
        <f>INDEX(Coin2!$A:$D,MATCH(VLOOKUP(Coin4!$A150,Correspondance!$G:$H,2,FALSE),Coin2!$A:$A,0),4)</f>
        <v>27.55</v>
      </c>
    </row>
    <row r="151" spans="1:4" x14ac:dyDescent="0.35">
      <c r="A151">
        <f t="shared" si="2"/>
        <v>1650</v>
      </c>
      <c r="B151">
        <f>2*$I$1-INDEX(Coin2!$A:$D,MATCH(VLOOKUP(Coin4!$A151,Correspondance!$G:$H,2,FALSE),Coin2!$A:$A,0),2)</f>
        <v>60.372500000000002</v>
      </c>
      <c r="C151">
        <f>INDEX(Coin2!$A:$D,MATCH(VLOOKUP(Coin4!$A151,Correspondance!$G:$H,2,FALSE),Coin2!$A:$A,0),3)</f>
        <v>85.25</v>
      </c>
      <c r="D151">
        <f>INDEX(Coin2!$A:$D,MATCH(VLOOKUP(Coin4!$A151,Correspondance!$G:$H,2,FALSE),Coin2!$A:$A,0),4)</f>
        <v>27.55</v>
      </c>
    </row>
    <row r="152" spans="1:4" x14ac:dyDescent="0.35">
      <c r="A152">
        <f t="shared" si="2"/>
        <v>1651</v>
      </c>
      <c r="B152">
        <f>2*$I$1-INDEX(Coin2!$A:$D,MATCH(VLOOKUP(Coin4!$A152,Correspondance!$G:$H,2,FALSE),Coin2!$A:$A,0),2)</f>
        <v>62.072500000000005</v>
      </c>
      <c r="C152">
        <f>INDEX(Coin2!$A:$D,MATCH(VLOOKUP(Coin4!$A152,Correspondance!$G:$H,2,FALSE),Coin2!$A:$A,0),3)</f>
        <v>85.25</v>
      </c>
      <c r="D152">
        <f>INDEX(Coin2!$A:$D,MATCH(VLOOKUP(Coin4!$A152,Correspondance!$G:$H,2,FALSE),Coin2!$A:$A,0),4)</f>
        <v>27.55</v>
      </c>
    </row>
    <row r="153" spans="1:4" x14ac:dyDescent="0.35">
      <c r="A153">
        <f t="shared" si="2"/>
        <v>1652</v>
      </c>
      <c r="B153">
        <f>2*$I$1-INDEX(Coin2!$A:$D,MATCH(VLOOKUP(Coin4!$A153,Correspondance!$G:$H,2,FALSE),Coin2!$A:$A,0),2)</f>
        <v>60.372500000000002</v>
      </c>
      <c r="C153">
        <f>INDEX(Coin2!$A:$D,MATCH(VLOOKUP(Coin4!$A153,Correspondance!$G:$H,2,FALSE),Coin2!$A:$A,0),3)</f>
        <v>87.275000000000006</v>
      </c>
      <c r="D153">
        <f>INDEX(Coin2!$A:$D,MATCH(VLOOKUP(Coin4!$A153,Correspondance!$G:$H,2,FALSE),Coin2!$A:$A,0),4)</f>
        <v>27.55</v>
      </c>
    </row>
    <row r="154" spans="1:4" x14ac:dyDescent="0.35">
      <c r="A154">
        <f t="shared" si="2"/>
        <v>1653</v>
      </c>
      <c r="B154">
        <f>2*$I$1-INDEX(Coin2!$A:$D,MATCH(VLOOKUP(Coin4!$A154,Correspondance!$G:$H,2,FALSE),Coin2!$A:$A,0),2)</f>
        <v>62.072500000000005</v>
      </c>
      <c r="C154">
        <f>INDEX(Coin2!$A:$D,MATCH(VLOOKUP(Coin4!$A154,Correspondance!$G:$H,2,FALSE),Coin2!$A:$A,0),3)</f>
        <v>87.275000000000006</v>
      </c>
      <c r="D154">
        <f>INDEX(Coin2!$A:$D,MATCH(VLOOKUP(Coin4!$A154,Correspondance!$G:$H,2,FALSE),Coin2!$A:$A,0),4)</f>
        <v>27.55</v>
      </c>
    </row>
    <row r="155" spans="1:4" x14ac:dyDescent="0.35">
      <c r="A155">
        <f t="shared" si="2"/>
        <v>1654</v>
      </c>
      <c r="B155">
        <f>2*$I$1-INDEX(Coin2!$A:$D,MATCH(VLOOKUP(Coin4!$A155,Correspondance!$G:$H,2,FALSE),Coin2!$A:$A,0),2)</f>
        <v>60.372500000000002</v>
      </c>
      <c r="C155">
        <f>INDEX(Coin2!$A:$D,MATCH(VLOOKUP(Coin4!$A155,Correspondance!$G:$H,2,FALSE),Coin2!$A:$A,0),3)</f>
        <v>88.175000000000011</v>
      </c>
      <c r="D155">
        <f>INDEX(Coin2!$A:$D,MATCH(VLOOKUP(Coin4!$A155,Correspondance!$G:$H,2,FALSE),Coin2!$A:$A,0),4)</f>
        <v>27.55</v>
      </c>
    </row>
    <row r="156" spans="1:4" x14ac:dyDescent="0.35">
      <c r="A156">
        <f t="shared" si="2"/>
        <v>1655</v>
      </c>
      <c r="B156">
        <f>2*$I$1-INDEX(Coin2!$A:$D,MATCH(VLOOKUP(Coin4!$A156,Correspondance!$G:$H,2,FALSE),Coin2!$A:$A,0),2)</f>
        <v>62.072500000000005</v>
      </c>
      <c r="C156">
        <f>INDEX(Coin2!$A:$D,MATCH(VLOOKUP(Coin4!$A156,Correspondance!$G:$H,2,FALSE),Coin2!$A:$A,0),3)</f>
        <v>88.175000000000011</v>
      </c>
      <c r="D156">
        <f>INDEX(Coin2!$A:$D,MATCH(VLOOKUP(Coin4!$A156,Correspondance!$G:$H,2,FALSE),Coin2!$A:$A,0),4)</f>
        <v>27.55</v>
      </c>
    </row>
    <row r="157" spans="1:4" x14ac:dyDescent="0.35">
      <c r="A157">
        <f t="shared" si="2"/>
        <v>1656</v>
      </c>
      <c r="B157">
        <f>2*$I$1-INDEX(Coin2!$A:$D,MATCH(VLOOKUP(Coin4!$A157,Correspondance!$G:$H,2,FALSE),Coin2!$A:$A,0),2)</f>
        <v>60.372500000000002</v>
      </c>
      <c r="C157">
        <f>INDEX(Coin2!$A:$D,MATCH(VLOOKUP(Coin4!$A157,Correspondance!$G:$H,2,FALSE),Coin2!$A:$A,0),3)</f>
        <v>89.585000000000008</v>
      </c>
      <c r="D157">
        <f>INDEX(Coin2!$A:$D,MATCH(VLOOKUP(Coin4!$A157,Correspondance!$G:$H,2,FALSE),Coin2!$A:$A,0),4)</f>
        <v>27.55</v>
      </c>
    </row>
    <row r="158" spans="1:4" x14ac:dyDescent="0.35">
      <c r="A158">
        <f t="shared" si="2"/>
        <v>1657</v>
      </c>
      <c r="B158">
        <f>2*$I$1-INDEX(Coin2!$A:$D,MATCH(VLOOKUP(Coin4!$A158,Correspondance!$G:$H,2,FALSE),Coin2!$A:$A,0),2)</f>
        <v>62.072500000000005</v>
      </c>
      <c r="C158">
        <f>INDEX(Coin2!$A:$D,MATCH(VLOOKUP(Coin4!$A158,Correspondance!$G:$H,2,FALSE),Coin2!$A:$A,0),3)</f>
        <v>89.585000000000008</v>
      </c>
      <c r="D158">
        <f>INDEX(Coin2!$A:$D,MATCH(VLOOKUP(Coin4!$A158,Correspondance!$G:$H,2,FALSE),Coin2!$A:$A,0),4)</f>
        <v>27.55</v>
      </c>
    </row>
    <row r="159" spans="1:4" x14ac:dyDescent="0.35">
      <c r="A159">
        <f t="shared" si="2"/>
        <v>1658</v>
      </c>
      <c r="B159">
        <f>2*$I$1-INDEX(Coin2!$A:$D,MATCH(VLOOKUP(Coin4!$A159,Correspondance!$G:$H,2,FALSE),Coin2!$A:$A,0),2)</f>
        <v>60.372500000000002</v>
      </c>
      <c r="C159">
        <f>INDEX(Coin2!$A:$D,MATCH(VLOOKUP(Coin4!$A159,Correspondance!$G:$H,2,FALSE),Coin2!$A:$A,0),3)</f>
        <v>90.485000000000014</v>
      </c>
      <c r="D159">
        <f>INDEX(Coin2!$A:$D,MATCH(VLOOKUP(Coin4!$A159,Correspondance!$G:$H,2,FALSE),Coin2!$A:$A,0),4)</f>
        <v>27.55</v>
      </c>
    </row>
    <row r="160" spans="1:4" x14ac:dyDescent="0.35">
      <c r="A160">
        <f t="shared" si="2"/>
        <v>1659</v>
      </c>
      <c r="B160">
        <f>2*$I$1-INDEX(Coin2!$A:$D,MATCH(VLOOKUP(Coin4!$A160,Correspondance!$G:$H,2,FALSE),Coin2!$A:$A,0),2)</f>
        <v>62.072500000000005</v>
      </c>
      <c r="C160">
        <f>INDEX(Coin2!$A:$D,MATCH(VLOOKUP(Coin4!$A160,Correspondance!$G:$H,2,FALSE),Coin2!$A:$A,0),3)</f>
        <v>90.485000000000014</v>
      </c>
      <c r="D160">
        <f>INDEX(Coin2!$A:$D,MATCH(VLOOKUP(Coin4!$A160,Correspondance!$G:$H,2,FALSE),Coin2!$A:$A,0),4)</f>
        <v>27.55</v>
      </c>
    </row>
    <row r="161" spans="1:4" x14ac:dyDescent="0.35">
      <c r="A161">
        <f t="shared" si="2"/>
        <v>1660</v>
      </c>
      <c r="B161">
        <f>2*$I$1-INDEX(Coin2!$A:$D,MATCH(VLOOKUP(Coin4!$A161,Correspondance!$G:$H,2,FALSE),Coin2!$A:$A,0),2)</f>
        <v>60.372500000000002</v>
      </c>
      <c r="C161">
        <f>INDEX(Coin2!$A:$D,MATCH(VLOOKUP(Coin4!$A161,Correspondance!$G:$H,2,FALSE),Coin2!$A:$A,0),3)</f>
        <v>92.51</v>
      </c>
      <c r="D161">
        <f>INDEX(Coin2!$A:$D,MATCH(VLOOKUP(Coin4!$A161,Correspondance!$G:$H,2,FALSE),Coin2!$A:$A,0),4)</f>
        <v>27.55</v>
      </c>
    </row>
    <row r="162" spans="1:4" x14ac:dyDescent="0.35">
      <c r="A162">
        <f t="shared" si="2"/>
        <v>1661</v>
      </c>
      <c r="B162">
        <f>2*$I$1-INDEX(Coin2!$A:$D,MATCH(VLOOKUP(Coin4!$A162,Correspondance!$G:$H,2,FALSE),Coin2!$A:$A,0),2)</f>
        <v>62.072500000000005</v>
      </c>
      <c r="C162">
        <f>INDEX(Coin2!$A:$D,MATCH(VLOOKUP(Coin4!$A162,Correspondance!$G:$H,2,FALSE),Coin2!$A:$A,0),3)</f>
        <v>92.51</v>
      </c>
      <c r="D162">
        <f>INDEX(Coin2!$A:$D,MATCH(VLOOKUP(Coin4!$A162,Correspondance!$G:$H,2,FALSE),Coin2!$A:$A,0),4)</f>
        <v>27.55</v>
      </c>
    </row>
    <row r="163" spans="1:4" x14ac:dyDescent="0.35">
      <c r="A163">
        <f t="shared" si="2"/>
        <v>1662</v>
      </c>
      <c r="B163">
        <f>2*$I$1-INDEX(Coin2!$A:$D,MATCH(VLOOKUP(Coin4!$A163,Correspondance!$G:$H,2,FALSE),Coin2!$A:$A,0),2)</f>
        <v>60.372500000000002</v>
      </c>
      <c r="C163">
        <f>INDEX(Coin2!$A:$D,MATCH(VLOOKUP(Coin4!$A163,Correspondance!$G:$H,2,FALSE),Coin2!$A:$A,0),3)</f>
        <v>94.535000000000011</v>
      </c>
      <c r="D163">
        <f>INDEX(Coin2!$A:$D,MATCH(VLOOKUP(Coin4!$A163,Correspondance!$G:$H,2,FALSE),Coin2!$A:$A,0),4)</f>
        <v>27.55</v>
      </c>
    </row>
    <row r="164" spans="1:4" x14ac:dyDescent="0.35">
      <c r="A164">
        <f t="shared" si="2"/>
        <v>1663</v>
      </c>
      <c r="B164">
        <f>2*$I$1-INDEX(Coin2!$A:$D,MATCH(VLOOKUP(Coin4!$A164,Correspondance!$G:$H,2,FALSE),Coin2!$A:$A,0),2)</f>
        <v>62.072500000000005</v>
      </c>
      <c r="C164">
        <f>INDEX(Coin2!$A:$D,MATCH(VLOOKUP(Coin4!$A164,Correspondance!$G:$H,2,FALSE),Coin2!$A:$A,0),3)</f>
        <v>94.535000000000011</v>
      </c>
      <c r="D164">
        <f>INDEX(Coin2!$A:$D,MATCH(VLOOKUP(Coin4!$A164,Correspondance!$G:$H,2,FALSE),Coin2!$A:$A,0),4)</f>
        <v>27.55</v>
      </c>
    </row>
    <row r="165" spans="1:4" x14ac:dyDescent="0.35">
      <c r="A165">
        <f t="shared" si="2"/>
        <v>1664</v>
      </c>
      <c r="B165">
        <f>2*$I$1-INDEX(Coin2!$A:$D,MATCH(VLOOKUP(Coin4!$A165,Correspondance!$G:$H,2,FALSE),Coin2!$A:$A,0),2)</f>
        <v>60.372500000000002</v>
      </c>
      <c r="C165">
        <f>INDEX(Coin2!$A:$D,MATCH(VLOOKUP(Coin4!$A165,Correspondance!$G:$H,2,FALSE),Coin2!$A:$A,0),3)</f>
        <v>96.56</v>
      </c>
      <c r="D165">
        <f>INDEX(Coin2!$A:$D,MATCH(VLOOKUP(Coin4!$A165,Correspondance!$G:$H,2,FALSE),Coin2!$A:$A,0),4)</f>
        <v>27.55</v>
      </c>
    </row>
    <row r="166" spans="1:4" x14ac:dyDescent="0.35">
      <c r="A166">
        <f t="shared" si="2"/>
        <v>1665</v>
      </c>
      <c r="B166">
        <f>2*$I$1-INDEX(Coin2!$A:$D,MATCH(VLOOKUP(Coin4!$A166,Correspondance!$G:$H,2,FALSE),Coin2!$A:$A,0),2)</f>
        <v>62.072500000000005</v>
      </c>
      <c r="C166">
        <f>INDEX(Coin2!$A:$D,MATCH(VLOOKUP(Coin4!$A166,Correspondance!$G:$H,2,FALSE),Coin2!$A:$A,0),3)</f>
        <v>96.56</v>
      </c>
      <c r="D166">
        <f>INDEX(Coin2!$A:$D,MATCH(VLOOKUP(Coin4!$A166,Correspondance!$G:$H,2,FALSE),Coin2!$A:$A,0),4)</f>
        <v>27.55</v>
      </c>
    </row>
    <row r="167" spans="1:4" x14ac:dyDescent="0.35">
      <c r="A167">
        <f t="shared" si="2"/>
        <v>1666</v>
      </c>
      <c r="B167">
        <f>2*$I$1-INDEX(Coin2!$A:$D,MATCH(VLOOKUP(Coin4!$A167,Correspondance!$G:$H,2,FALSE),Coin2!$A:$A,0),2)</f>
        <v>60.372500000000002</v>
      </c>
      <c r="C167">
        <f>INDEX(Coin2!$A:$D,MATCH(VLOOKUP(Coin4!$A167,Correspondance!$G:$H,2,FALSE),Coin2!$A:$A,0),3)</f>
        <v>96.960000000000008</v>
      </c>
      <c r="D167">
        <f>INDEX(Coin2!$A:$D,MATCH(VLOOKUP(Coin4!$A167,Correspondance!$G:$H,2,FALSE),Coin2!$A:$A,0),4)</f>
        <v>27.55</v>
      </c>
    </row>
    <row r="168" spans="1:4" x14ac:dyDescent="0.35">
      <c r="A168">
        <f t="shared" si="2"/>
        <v>1667</v>
      </c>
      <c r="B168">
        <f>2*$I$1-INDEX(Coin2!$A:$D,MATCH(VLOOKUP(Coin4!$A168,Correspondance!$G:$H,2,FALSE),Coin2!$A:$A,0),2)</f>
        <v>62.072500000000005</v>
      </c>
      <c r="C168">
        <f>INDEX(Coin2!$A:$D,MATCH(VLOOKUP(Coin4!$A168,Correspondance!$G:$H,2,FALSE),Coin2!$A:$A,0),3)</f>
        <v>96.960000000000008</v>
      </c>
      <c r="D168">
        <f>INDEX(Coin2!$A:$D,MATCH(VLOOKUP(Coin4!$A168,Correspondance!$G:$H,2,FALSE),Coin2!$A:$A,0),4)</f>
        <v>27.55</v>
      </c>
    </row>
    <row r="169" spans="1:4" x14ac:dyDescent="0.35">
      <c r="A169">
        <f t="shared" si="2"/>
        <v>1668</v>
      </c>
      <c r="B169">
        <f>2*$I$1-INDEX(Coin2!$A:$D,MATCH(VLOOKUP(Coin4!$A169,Correspondance!$G:$H,2,FALSE),Coin2!$A:$A,0),2)</f>
        <v>55.332000000000008</v>
      </c>
      <c r="C169">
        <f>INDEX(Coin2!$A:$D,MATCH(VLOOKUP(Coin4!$A169,Correspondance!$G:$H,2,FALSE),Coin2!$A:$A,0),3)</f>
        <v>80.800000000000011</v>
      </c>
      <c r="D169">
        <f>INDEX(Coin2!$A:$D,MATCH(VLOOKUP(Coin4!$A169,Correspondance!$G:$H,2,FALSE),Coin2!$A:$A,0),4)</f>
        <v>27.939999999999998</v>
      </c>
    </row>
    <row r="170" spans="1:4" x14ac:dyDescent="0.35">
      <c r="A170">
        <f t="shared" si="2"/>
        <v>1669</v>
      </c>
      <c r="B170">
        <f>2*$I$1-INDEX(Coin2!$A:$D,MATCH(VLOOKUP(Coin4!$A170,Correspondance!$G:$H,2,FALSE),Coin2!$A:$A,0),2)</f>
        <v>67.113</v>
      </c>
      <c r="C170">
        <f>INDEX(Coin2!$A:$D,MATCH(VLOOKUP(Coin4!$A170,Correspondance!$G:$H,2,FALSE),Coin2!$A:$A,0),3)</f>
        <v>80.800000000000011</v>
      </c>
      <c r="D170">
        <f>INDEX(Coin2!$A:$D,MATCH(VLOOKUP(Coin4!$A170,Correspondance!$G:$H,2,FALSE),Coin2!$A:$A,0),4)</f>
        <v>27.939999999999998</v>
      </c>
    </row>
    <row r="171" spans="1:4" x14ac:dyDescent="0.35">
      <c r="A171">
        <f t="shared" si="2"/>
        <v>1670</v>
      </c>
      <c r="B171">
        <f>2*$I$1-INDEX(Coin2!$A:$D,MATCH(VLOOKUP(Coin4!$A171,Correspondance!$G:$H,2,FALSE),Coin2!$A:$A,0),2)</f>
        <v>55.332000000000008</v>
      </c>
      <c r="C171">
        <f>INDEX(Coin2!$A:$D,MATCH(VLOOKUP(Coin4!$A171,Correspondance!$G:$H,2,FALSE),Coin2!$A:$A,0),3)</f>
        <v>88.88000000000001</v>
      </c>
      <c r="D171">
        <f>INDEX(Coin2!$A:$D,MATCH(VLOOKUP(Coin4!$A171,Correspondance!$G:$H,2,FALSE),Coin2!$A:$A,0),4)</f>
        <v>27.939999999999998</v>
      </c>
    </row>
    <row r="172" spans="1:4" x14ac:dyDescent="0.35">
      <c r="A172">
        <f t="shared" si="2"/>
        <v>1671</v>
      </c>
      <c r="B172">
        <f>2*$I$1-INDEX(Coin2!$A:$D,MATCH(VLOOKUP(Coin4!$A172,Correspondance!$G:$H,2,FALSE),Coin2!$A:$A,0),2)</f>
        <v>67.113</v>
      </c>
      <c r="C172">
        <f>INDEX(Coin2!$A:$D,MATCH(VLOOKUP(Coin4!$A172,Correspondance!$G:$H,2,FALSE),Coin2!$A:$A,0),3)</f>
        <v>88.88000000000001</v>
      </c>
      <c r="D172">
        <f>INDEX(Coin2!$A:$D,MATCH(VLOOKUP(Coin4!$A172,Correspondance!$G:$H,2,FALSE),Coin2!$A:$A,0),4)</f>
        <v>27.939999999999998</v>
      </c>
    </row>
    <row r="173" spans="1:4" x14ac:dyDescent="0.35">
      <c r="A173">
        <f t="shared" si="2"/>
        <v>1672</v>
      </c>
      <c r="B173">
        <f>2*$I$1-INDEX(Coin2!$A:$D,MATCH(VLOOKUP(Coin4!$A173,Correspondance!$G:$H,2,FALSE),Coin2!$A:$A,0),2)</f>
        <v>55.332000000000008</v>
      </c>
      <c r="C173">
        <f>INDEX(Coin2!$A:$D,MATCH(VLOOKUP(Coin4!$A173,Correspondance!$G:$H,2,FALSE),Coin2!$A:$A,0),3)</f>
        <v>96.960000000000008</v>
      </c>
      <c r="D173">
        <f>INDEX(Coin2!$A:$D,MATCH(VLOOKUP(Coin4!$A173,Correspondance!$G:$H,2,FALSE),Coin2!$A:$A,0),4)</f>
        <v>27.939999999999998</v>
      </c>
    </row>
    <row r="174" spans="1:4" x14ac:dyDescent="0.35">
      <c r="A174">
        <f t="shared" si="2"/>
        <v>1673</v>
      </c>
      <c r="B174">
        <f>2*$I$1-INDEX(Coin2!$A:$D,MATCH(VLOOKUP(Coin4!$A174,Correspondance!$G:$H,2,FALSE),Coin2!$A:$A,0),2)</f>
        <v>67.113</v>
      </c>
      <c r="C174">
        <f>INDEX(Coin2!$A:$D,MATCH(VLOOKUP(Coin4!$A174,Correspondance!$G:$H,2,FALSE),Coin2!$A:$A,0),3)</f>
        <v>96.960000000000008</v>
      </c>
      <c r="D174">
        <f>INDEX(Coin2!$A:$D,MATCH(VLOOKUP(Coin4!$A174,Correspondance!$G:$H,2,FALSE),Coin2!$A:$A,0),4)</f>
        <v>27.939999999999998</v>
      </c>
    </row>
    <row r="175" spans="1:4" x14ac:dyDescent="0.35">
      <c r="A175">
        <f t="shared" si="2"/>
        <v>1674</v>
      </c>
      <c r="B175">
        <f>2*$I$1-INDEX(Coin2!$A:$D,MATCH(VLOOKUP(Coin4!$A175,Correspondance!$G:$H,2,FALSE),Coin2!$A:$A,0),2)</f>
        <v>56.099000000000004</v>
      </c>
      <c r="C175">
        <f>INDEX(Coin2!$A:$D,MATCH(VLOOKUP(Coin4!$A175,Correspondance!$G:$H,2,FALSE),Coin2!$A:$A,0),3)</f>
        <v>80.800000000000011</v>
      </c>
      <c r="D175">
        <f>INDEX(Coin2!$A:$D,MATCH(VLOOKUP(Coin4!$A175,Correspondance!$G:$H,2,FALSE),Coin2!$A:$A,0),4)</f>
        <v>29.268068904621821</v>
      </c>
    </row>
    <row r="176" spans="1:4" x14ac:dyDescent="0.35">
      <c r="A176">
        <f t="shared" si="2"/>
        <v>1675</v>
      </c>
      <c r="B176">
        <f>2*$I$1-INDEX(Coin2!$A:$D,MATCH(VLOOKUP(Coin4!$A176,Correspondance!$G:$H,2,FALSE),Coin2!$A:$A,0),2)</f>
        <v>60.607500000000002</v>
      </c>
      <c r="C176">
        <f>INDEX(Coin2!$A:$D,MATCH(VLOOKUP(Coin4!$A176,Correspondance!$G:$H,2,FALSE),Coin2!$A:$A,0),3)</f>
        <v>80.800000000000011</v>
      </c>
      <c r="D176">
        <f>INDEX(Coin2!$A:$D,MATCH(VLOOKUP(Coin4!$A176,Correspondance!$G:$H,2,FALSE),Coin2!$A:$A,0),4)</f>
        <v>29.268068904621821</v>
      </c>
    </row>
    <row r="177" spans="1:4" x14ac:dyDescent="0.35">
      <c r="A177">
        <f t="shared" si="2"/>
        <v>1676</v>
      </c>
      <c r="B177">
        <f>2*$I$1-INDEX(Coin2!$A:$D,MATCH(VLOOKUP(Coin4!$A177,Correspondance!$G:$H,2,FALSE),Coin2!$A:$A,0),2)</f>
        <v>61.837500000000006</v>
      </c>
      <c r="C177">
        <f>INDEX(Coin2!$A:$D,MATCH(VLOOKUP(Coin4!$A177,Correspondance!$G:$H,2,FALSE),Coin2!$A:$A,0),3)</f>
        <v>80.800000000000011</v>
      </c>
      <c r="D177">
        <f>INDEX(Coin2!$A:$D,MATCH(VLOOKUP(Coin4!$A177,Correspondance!$G:$H,2,FALSE),Coin2!$A:$A,0),4)</f>
        <v>29.268068904621821</v>
      </c>
    </row>
    <row r="178" spans="1:4" x14ac:dyDescent="0.35">
      <c r="A178">
        <f t="shared" si="2"/>
        <v>1677</v>
      </c>
      <c r="B178">
        <f>2*$I$1-INDEX(Coin2!$A:$D,MATCH(VLOOKUP(Coin4!$A178,Correspondance!$G:$H,2,FALSE),Coin2!$A:$A,0),2)</f>
        <v>66.346000000000004</v>
      </c>
      <c r="C178">
        <f>INDEX(Coin2!$A:$D,MATCH(VLOOKUP(Coin4!$A178,Correspondance!$G:$H,2,FALSE),Coin2!$A:$A,0),3)</f>
        <v>80.800000000000011</v>
      </c>
      <c r="D178">
        <f>INDEX(Coin2!$A:$D,MATCH(VLOOKUP(Coin4!$A178,Correspondance!$G:$H,2,FALSE),Coin2!$A:$A,0),4)</f>
        <v>29.268068904621821</v>
      </c>
    </row>
    <row r="179" spans="1:4" x14ac:dyDescent="0.35">
      <c r="A179">
        <f t="shared" si="2"/>
        <v>1678</v>
      </c>
      <c r="B179">
        <f>2*$I$1-INDEX(Coin2!$A:$D,MATCH(VLOOKUP(Coin4!$A179,Correspondance!$G:$H,2,FALSE),Coin2!$A:$A,0),2)</f>
        <v>69.425000000000011</v>
      </c>
      <c r="C179">
        <f>INDEX(Coin2!$A:$D,MATCH(VLOOKUP(Coin4!$A179,Correspondance!$G:$H,2,FALSE),Coin2!$A:$A,0),3)</f>
        <v>80.800000000000011</v>
      </c>
      <c r="D179">
        <f>INDEX(Coin2!$A:$D,MATCH(VLOOKUP(Coin4!$A179,Correspondance!$G:$H,2,FALSE),Coin2!$A:$A,0),4)</f>
        <v>29.268068904621821</v>
      </c>
    </row>
    <row r="180" spans="1:4" x14ac:dyDescent="0.35">
      <c r="A180">
        <f t="shared" si="2"/>
        <v>1679</v>
      </c>
      <c r="B180">
        <f>2*$I$1-INDEX(Coin2!$A:$D,MATCH(VLOOKUP(Coin4!$A180,Correspondance!$G:$H,2,FALSE),Coin2!$A:$A,0),2)</f>
        <v>69.425000000000011</v>
      </c>
      <c r="C180">
        <f>INDEX(Coin2!$A:$D,MATCH(VLOOKUP(Coin4!$A180,Correspondance!$G:$H,2,FALSE),Coin2!$A:$A,0),3)</f>
        <v>83.493000000000009</v>
      </c>
      <c r="D180">
        <f>INDEX(Coin2!$A:$D,MATCH(VLOOKUP(Coin4!$A180,Correspondance!$G:$H,2,FALSE),Coin2!$A:$A,0),4)</f>
        <v>29.268068904621821</v>
      </c>
    </row>
    <row r="181" spans="1:4" x14ac:dyDescent="0.35">
      <c r="A181">
        <f t="shared" si="2"/>
        <v>1680</v>
      </c>
      <c r="B181">
        <f>2*$I$1-INDEX(Coin2!$A:$D,MATCH(VLOOKUP(Coin4!$A181,Correspondance!$G:$H,2,FALSE),Coin2!$A:$A,0),2)</f>
        <v>69.425000000000011</v>
      </c>
      <c r="C181">
        <f>INDEX(Coin2!$A:$D,MATCH(VLOOKUP(Coin4!$A181,Correspondance!$G:$H,2,FALSE),Coin2!$A:$A,0),3)</f>
        <v>86.187000000000012</v>
      </c>
      <c r="D181">
        <f>INDEX(Coin2!$A:$D,MATCH(VLOOKUP(Coin4!$A181,Correspondance!$G:$H,2,FALSE),Coin2!$A:$A,0),4)</f>
        <v>29.268068904621821</v>
      </c>
    </row>
    <row r="182" spans="1:4" x14ac:dyDescent="0.35">
      <c r="A182">
        <f t="shared" si="2"/>
        <v>1681</v>
      </c>
      <c r="B182">
        <f>2*$I$1-INDEX(Coin2!$A:$D,MATCH(VLOOKUP(Coin4!$A182,Correspondance!$G:$H,2,FALSE),Coin2!$A:$A,0),2)</f>
        <v>56.099000000000004</v>
      </c>
      <c r="C182">
        <f>INDEX(Coin2!$A:$D,MATCH(VLOOKUP(Coin4!$A182,Correspondance!$G:$H,2,FALSE),Coin2!$A:$A,0),3)</f>
        <v>88.88000000000001</v>
      </c>
      <c r="D182">
        <f>INDEX(Coin2!$A:$D,MATCH(VLOOKUP(Coin4!$A182,Correspondance!$G:$H,2,FALSE),Coin2!$A:$A,0),4)</f>
        <v>29.268068904621821</v>
      </c>
    </row>
    <row r="183" spans="1:4" x14ac:dyDescent="0.35">
      <c r="A183">
        <f t="shared" si="2"/>
        <v>1682</v>
      </c>
      <c r="B183">
        <f>2*$I$1-INDEX(Coin2!$A:$D,MATCH(VLOOKUP(Coin4!$A183,Correspondance!$G:$H,2,FALSE),Coin2!$A:$A,0),2)</f>
        <v>66.346000000000004</v>
      </c>
      <c r="C183">
        <f>INDEX(Coin2!$A:$D,MATCH(VLOOKUP(Coin4!$A183,Correspondance!$G:$H,2,FALSE),Coin2!$A:$A,0),3)</f>
        <v>88.88000000000001</v>
      </c>
      <c r="D183">
        <f>INDEX(Coin2!$A:$D,MATCH(VLOOKUP(Coin4!$A183,Correspondance!$G:$H,2,FALSE),Coin2!$A:$A,0),4)</f>
        <v>29.268068904621821</v>
      </c>
    </row>
    <row r="184" spans="1:4" x14ac:dyDescent="0.35">
      <c r="A184">
        <f t="shared" si="2"/>
        <v>1683</v>
      </c>
      <c r="B184">
        <f>2*$I$1-INDEX(Coin2!$A:$D,MATCH(VLOOKUP(Coin4!$A184,Correspondance!$G:$H,2,FALSE),Coin2!$A:$A,0),2)</f>
        <v>69.425000000000011</v>
      </c>
      <c r="C184">
        <f>INDEX(Coin2!$A:$D,MATCH(VLOOKUP(Coin4!$A184,Correspondance!$G:$H,2,FALSE),Coin2!$A:$A,0),3)</f>
        <v>88.88000000000001</v>
      </c>
      <c r="D184">
        <f>INDEX(Coin2!$A:$D,MATCH(VLOOKUP(Coin4!$A184,Correspondance!$G:$H,2,FALSE),Coin2!$A:$A,0),4)</f>
        <v>29.268068904621821</v>
      </c>
    </row>
    <row r="185" spans="1:4" x14ac:dyDescent="0.35">
      <c r="A185">
        <f t="shared" si="2"/>
        <v>1684</v>
      </c>
      <c r="B185">
        <f>2*$I$1-INDEX(Coin2!$A:$D,MATCH(VLOOKUP(Coin4!$A185,Correspondance!$G:$H,2,FALSE),Coin2!$A:$A,0),2)</f>
        <v>69.425000000000011</v>
      </c>
      <c r="C185">
        <f>INDEX(Coin2!$A:$D,MATCH(VLOOKUP(Coin4!$A185,Correspondance!$G:$H,2,FALSE),Coin2!$A:$A,0),3)</f>
        <v>91.573000000000008</v>
      </c>
      <c r="D185">
        <f>INDEX(Coin2!$A:$D,MATCH(VLOOKUP(Coin4!$A185,Correspondance!$G:$H,2,FALSE),Coin2!$A:$A,0),4)</f>
        <v>29.268068904621821</v>
      </c>
    </row>
    <row r="186" spans="1:4" x14ac:dyDescent="0.35">
      <c r="A186">
        <f t="shared" si="2"/>
        <v>1685</v>
      </c>
      <c r="B186">
        <f>2*$I$1-INDEX(Coin2!$A:$D,MATCH(VLOOKUP(Coin4!$A186,Correspondance!$G:$H,2,FALSE),Coin2!$A:$A,0),2)</f>
        <v>69.425000000000011</v>
      </c>
      <c r="C186">
        <f>INDEX(Coin2!$A:$D,MATCH(VLOOKUP(Coin4!$A186,Correspondance!$G:$H,2,FALSE),Coin2!$A:$A,0),3)</f>
        <v>94.26700000000001</v>
      </c>
      <c r="D186">
        <f>INDEX(Coin2!$A:$D,MATCH(VLOOKUP(Coin4!$A186,Correspondance!$G:$H,2,FALSE),Coin2!$A:$A,0),4)</f>
        <v>29.268068904621821</v>
      </c>
    </row>
    <row r="187" spans="1:4" x14ac:dyDescent="0.35">
      <c r="A187">
        <f t="shared" si="2"/>
        <v>1686</v>
      </c>
      <c r="B187">
        <f>2*$I$1-INDEX(Coin2!$A:$D,MATCH(VLOOKUP(Coin4!$A187,Correspondance!$G:$H,2,FALSE),Coin2!$A:$A,0),2)</f>
        <v>56.099000000000004</v>
      </c>
      <c r="C187">
        <f>INDEX(Coin2!$A:$D,MATCH(VLOOKUP(Coin4!$A187,Correspondance!$G:$H,2,FALSE),Coin2!$A:$A,0),3)</f>
        <v>96.960000000000008</v>
      </c>
      <c r="D187">
        <f>INDEX(Coin2!$A:$D,MATCH(VLOOKUP(Coin4!$A187,Correspondance!$G:$H,2,FALSE),Coin2!$A:$A,0),4)</f>
        <v>29.268068904621821</v>
      </c>
    </row>
    <row r="188" spans="1:4" x14ac:dyDescent="0.35">
      <c r="A188">
        <f t="shared" si="2"/>
        <v>1687</v>
      </c>
      <c r="B188">
        <f>2*$I$1-INDEX(Coin2!$A:$D,MATCH(VLOOKUP(Coin4!$A188,Correspondance!$G:$H,2,FALSE),Coin2!$A:$A,0),2)</f>
        <v>66.346000000000004</v>
      </c>
      <c r="C188">
        <f>INDEX(Coin2!$A:$D,MATCH(VLOOKUP(Coin4!$A188,Correspondance!$G:$H,2,FALSE),Coin2!$A:$A,0),3)</f>
        <v>96.960000000000008</v>
      </c>
      <c r="D188">
        <f>INDEX(Coin2!$A:$D,MATCH(VLOOKUP(Coin4!$A188,Correspondance!$G:$H,2,FALSE),Coin2!$A:$A,0),4)</f>
        <v>29.268068904621821</v>
      </c>
    </row>
    <row r="189" spans="1:4" x14ac:dyDescent="0.35">
      <c r="A189">
        <f t="shared" si="2"/>
        <v>1688</v>
      </c>
      <c r="B189">
        <f>2*$I$1-INDEX(Coin2!$A:$D,MATCH(VLOOKUP(Coin4!$A189,Correspondance!$G:$H,2,FALSE),Coin2!$A:$A,0),2)</f>
        <v>69.425000000000011</v>
      </c>
      <c r="C189">
        <f>INDEX(Coin2!$A:$D,MATCH(VLOOKUP(Coin4!$A189,Correspondance!$G:$H,2,FALSE),Coin2!$A:$A,0),3)</f>
        <v>96.960000000000008</v>
      </c>
      <c r="D189">
        <f>INDEX(Coin2!$A:$D,MATCH(VLOOKUP(Coin4!$A189,Correspondance!$G:$H,2,FALSE),Coin2!$A:$A,0),4)</f>
        <v>29.268068904621821</v>
      </c>
    </row>
    <row r="190" spans="1:4" x14ac:dyDescent="0.35">
      <c r="A190">
        <f t="shared" si="2"/>
        <v>1689</v>
      </c>
      <c r="B190">
        <f>2*$I$1-INDEX(Coin2!$A:$D,MATCH(VLOOKUP(Coin4!$A190,Correspondance!$G:$H,2,FALSE),Coin2!$A:$A,0),2)</f>
        <v>53.805000000000007</v>
      </c>
      <c r="C190">
        <f>INDEX(Coin2!$A:$D,MATCH(VLOOKUP(Coin4!$A190,Correspondance!$G:$H,2,FALSE),Coin2!$A:$A,0),3)</f>
        <v>97.31</v>
      </c>
      <c r="D190">
        <f>INDEX(Coin2!$A:$D,MATCH(VLOOKUP(Coin4!$A190,Correspondance!$G:$H,2,FALSE),Coin2!$A:$A,0),4)</f>
        <v>29.268068904621821</v>
      </c>
    </row>
    <row r="191" spans="1:4" x14ac:dyDescent="0.35">
      <c r="A191">
        <f t="shared" si="2"/>
        <v>1690</v>
      </c>
      <c r="B191">
        <f>2*$I$1-INDEX(Coin2!$A:$D,MATCH(VLOOKUP(Coin4!$A191,Correspondance!$G:$H,2,FALSE),Coin2!$A:$A,0),2)</f>
        <v>55.035000000000004</v>
      </c>
      <c r="C191">
        <f>INDEX(Coin2!$A:$D,MATCH(VLOOKUP(Coin4!$A191,Correspondance!$G:$H,2,FALSE),Coin2!$A:$A,0),3)</f>
        <v>97.31</v>
      </c>
      <c r="D191">
        <f>INDEX(Coin2!$A:$D,MATCH(VLOOKUP(Coin4!$A191,Correspondance!$G:$H,2,FALSE),Coin2!$A:$A,0),4)</f>
        <v>29.268068904621821</v>
      </c>
    </row>
    <row r="192" spans="1:4" x14ac:dyDescent="0.35">
      <c r="A192">
        <f t="shared" si="2"/>
        <v>1691</v>
      </c>
      <c r="B192">
        <f>2*$I$1-INDEX(Coin2!$A:$D,MATCH(VLOOKUP(Coin4!$A192,Correspondance!$G:$H,2,FALSE),Coin2!$A:$A,0),2)</f>
        <v>56.099000000000004</v>
      </c>
      <c r="C192">
        <f>INDEX(Coin2!$A:$D,MATCH(VLOOKUP(Coin4!$A192,Correspondance!$G:$H,2,FALSE),Coin2!$A:$A,0),3)</f>
        <v>97.31</v>
      </c>
      <c r="D192">
        <f>INDEX(Coin2!$A:$D,MATCH(VLOOKUP(Coin4!$A192,Correspondance!$G:$H,2,FALSE),Coin2!$A:$A,0),4)</f>
        <v>29.268068904621821</v>
      </c>
    </row>
    <row r="193" spans="1:4" x14ac:dyDescent="0.35">
      <c r="A193">
        <f t="shared" si="2"/>
        <v>1692</v>
      </c>
      <c r="B193">
        <f>2*$I$1-INDEX(Coin2!$A:$D,MATCH(VLOOKUP(Coin4!$A193,Correspondance!$G:$H,2,FALSE),Coin2!$A:$A,0),2)</f>
        <v>57.777948729810781</v>
      </c>
      <c r="C193">
        <f>INDEX(Coin2!$A:$D,MATCH(VLOOKUP(Coin4!$A193,Correspondance!$G:$H,2,FALSE),Coin2!$A:$A,0),3)</f>
        <v>97.31</v>
      </c>
      <c r="D193">
        <f>INDEX(Coin2!$A:$D,MATCH(VLOOKUP(Coin4!$A193,Correspondance!$G:$H,2,FALSE),Coin2!$A:$A,0),4)</f>
        <v>29.268068904621821</v>
      </c>
    </row>
    <row r="194" spans="1:4" x14ac:dyDescent="0.35">
      <c r="A194">
        <f t="shared" si="2"/>
        <v>1693</v>
      </c>
      <c r="B194">
        <f>2*$I$1-INDEX(Coin2!$A:$D,MATCH(VLOOKUP(Coin4!$A194,Correspondance!$G:$H,2,FALSE),Coin2!$A:$A,0),2)</f>
        <v>60.607500000000002</v>
      </c>
      <c r="C194">
        <f>INDEX(Coin2!$A:$D,MATCH(VLOOKUP(Coin4!$A194,Correspondance!$G:$H,2,FALSE),Coin2!$A:$A,0),3)</f>
        <v>97.31</v>
      </c>
      <c r="D194">
        <f>INDEX(Coin2!$A:$D,MATCH(VLOOKUP(Coin4!$A194,Correspondance!$G:$H,2,FALSE),Coin2!$A:$A,0),4)</f>
        <v>29.268068904621821</v>
      </c>
    </row>
    <row r="195" spans="1:4" x14ac:dyDescent="0.35">
      <c r="A195">
        <f t="shared" si="2"/>
        <v>1694</v>
      </c>
      <c r="B195">
        <f>2*$I$1-INDEX(Coin2!$A:$D,MATCH(VLOOKUP(Coin4!$A195,Correspondance!$G:$H,2,FALSE),Coin2!$A:$A,0),2)</f>
        <v>61.837500000000006</v>
      </c>
      <c r="C195">
        <f>INDEX(Coin2!$A:$D,MATCH(VLOOKUP(Coin4!$A195,Correspondance!$G:$H,2,FALSE),Coin2!$A:$A,0),3)</f>
        <v>97.31</v>
      </c>
      <c r="D195">
        <f>INDEX(Coin2!$A:$D,MATCH(VLOOKUP(Coin4!$A195,Correspondance!$G:$H,2,FALSE),Coin2!$A:$A,0),4)</f>
        <v>29.268068904621821</v>
      </c>
    </row>
    <row r="196" spans="1:4" x14ac:dyDescent="0.35">
      <c r="A196">
        <f t="shared" ref="A196:A259" si="3">A195+1</f>
        <v>1695</v>
      </c>
      <c r="B196">
        <f>2*$I$1-INDEX(Coin2!$A:$D,MATCH(VLOOKUP(Coin4!$A196,Correspondance!$G:$H,2,FALSE),Coin2!$A:$A,0),2)</f>
        <v>64.667051270189233</v>
      </c>
      <c r="C196">
        <f>INDEX(Coin2!$A:$D,MATCH(VLOOKUP(Coin4!$A196,Correspondance!$G:$H,2,FALSE),Coin2!$A:$A,0),3)</f>
        <v>97.31</v>
      </c>
      <c r="D196">
        <f>INDEX(Coin2!$A:$D,MATCH(VLOOKUP(Coin4!$A196,Correspondance!$G:$H,2,FALSE),Coin2!$A:$A,0),4)</f>
        <v>29.268068904621821</v>
      </c>
    </row>
    <row r="197" spans="1:4" x14ac:dyDescent="0.35">
      <c r="A197">
        <f t="shared" si="3"/>
        <v>1696</v>
      </c>
      <c r="B197">
        <f>2*$I$1-INDEX(Coin2!$A:$D,MATCH(VLOOKUP(Coin4!$A197,Correspondance!$G:$H,2,FALSE),Coin2!$A:$A,0),2)</f>
        <v>66.346000000000004</v>
      </c>
      <c r="C197">
        <f>INDEX(Coin2!$A:$D,MATCH(VLOOKUP(Coin4!$A197,Correspondance!$G:$H,2,FALSE),Coin2!$A:$A,0),3)</f>
        <v>97.31</v>
      </c>
      <c r="D197">
        <f>INDEX(Coin2!$A:$D,MATCH(VLOOKUP(Coin4!$A197,Correspondance!$G:$H,2,FALSE),Coin2!$A:$A,0),4)</f>
        <v>29.268068904621821</v>
      </c>
    </row>
    <row r="198" spans="1:4" x14ac:dyDescent="0.35">
      <c r="A198">
        <f t="shared" si="3"/>
        <v>1697</v>
      </c>
      <c r="B198">
        <f>2*$I$1-INDEX(Coin2!$A:$D,MATCH(VLOOKUP(Coin4!$A198,Correspondance!$G:$H,2,FALSE),Coin2!$A:$A,0),2)</f>
        <v>68.025000000000006</v>
      </c>
      <c r="C198">
        <f>INDEX(Coin2!$A:$D,MATCH(VLOOKUP(Coin4!$A198,Correspondance!$G:$H,2,FALSE),Coin2!$A:$A,0),3)</f>
        <v>97.31</v>
      </c>
      <c r="D198">
        <f>INDEX(Coin2!$A:$D,MATCH(VLOOKUP(Coin4!$A198,Correspondance!$G:$H,2,FALSE),Coin2!$A:$A,0),4)</f>
        <v>29.268068904621821</v>
      </c>
    </row>
    <row r="199" spans="1:4" x14ac:dyDescent="0.35">
      <c r="A199">
        <f t="shared" si="3"/>
        <v>1698</v>
      </c>
      <c r="B199">
        <f>2*$I$1-INDEX(Coin2!$A:$D,MATCH(VLOOKUP(Coin4!$A199,Correspondance!$G:$H,2,FALSE),Coin2!$A:$A,0),2)</f>
        <v>69.425000000000011</v>
      </c>
      <c r="C199">
        <f>INDEX(Coin2!$A:$D,MATCH(VLOOKUP(Coin4!$A199,Correspondance!$G:$H,2,FALSE),Coin2!$A:$A,0),3)</f>
        <v>97.31</v>
      </c>
      <c r="D199">
        <f>INDEX(Coin2!$A:$D,MATCH(VLOOKUP(Coin4!$A199,Correspondance!$G:$H,2,FALSE),Coin2!$A:$A,0),4)</f>
        <v>29.268068904621821</v>
      </c>
    </row>
    <row r="200" spans="1:4" x14ac:dyDescent="0.35">
      <c r="A200">
        <f t="shared" si="3"/>
        <v>1699</v>
      </c>
      <c r="B200">
        <f>2*$I$1-INDEX(Coin2!$A:$D,MATCH(VLOOKUP(Coin4!$A200,Correspondance!$G:$H,2,FALSE),Coin2!$A:$A,0),2)</f>
        <v>60.607500000000002</v>
      </c>
      <c r="C200">
        <f>INDEX(Coin2!$A:$D,MATCH(VLOOKUP(Coin4!$A200,Correspondance!$G:$H,2,FALSE),Coin2!$A:$A,0),3)</f>
        <v>80.800000000000011</v>
      </c>
      <c r="D200">
        <f>INDEX(Coin2!$A:$D,MATCH(VLOOKUP(Coin4!$A200,Correspondance!$G:$H,2,FALSE),Coin2!$A:$A,0),4)</f>
        <v>29.75</v>
      </c>
    </row>
    <row r="201" spans="1:4" x14ac:dyDescent="0.35">
      <c r="A201">
        <f t="shared" si="3"/>
        <v>1700</v>
      </c>
      <c r="B201">
        <f>2*$I$1-INDEX(Coin2!$A:$D,MATCH(VLOOKUP(Coin4!$A201,Correspondance!$G:$H,2,FALSE),Coin2!$A:$A,0),2)</f>
        <v>61.837500000000006</v>
      </c>
      <c r="C201">
        <f>INDEX(Coin2!$A:$D,MATCH(VLOOKUP(Coin4!$A201,Correspondance!$G:$H,2,FALSE),Coin2!$A:$A,0),3)</f>
        <v>80.800000000000011</v>
      </c>
      <c r="D201">
        <f>INDEX(Coin2!$A:$D,MATCH(VLOOKUP(Coin4!$A201,Correspondance!$G:$H,2,FALSE),Coin2!$A:$A,0),4)</f>
        <v>29.75</v>
      </c>
    </row>
    <row r="202" spans="1:4" x14ac:dyDescent="0.35">
      <c r="A202">
        <f t="shared" si="3"/>
        <v>1701</v>
      </c>
      <c r="B202">
        <f>2*$I$1-INDEX(Coin2!$A:$D,MATCH(VLOOKUP(Coin4!$A202,Correspondance!$G:$H,2,FALSE),Coin2!$A:$A,0),2)</f>
        <v>60.607500000000002</v>
      </c>
      <c r="C202">
        <f>INDEX(Coin2!$A:$D,MATCH(VLOOKUP(Coin4!$A202,Correspondance!$G:$H,2,FALSE),Coin2!$A:$A,0),3)</f>
        <v>97.31</v>
      </c>
      <c r="D202">
        <f>INDEX(Coin2!$A:$D,MATCH(VLOOKUP(Coin4!$A202,Correspondance!$G:$H,2,FALSE),Coin2!$A:$A,0),4)</f>
        <v>29.75</v>
      </c>
    </row>
    <row r="203" spans="1:4" x14ac:dyDescent="0.35">
      <c r="A203">
        <f t="shared" si="3"/>
        <v>1702</v>
      </c>
      <c r="B203">
        <f>2*$I$1-INDEX(Coin2!$A:$D,MATCH(VLOOKUP(Coin4!$A203,Correspondance!$G:$H,2,FALSE),Coin2!$A:$A,0),2)</f>
        <v>61.837500000000006</v>
      </c>
      <c r="C203">
        <f>INDEX(Coin2!$A:$D,MATCH(VLOOKUP(Coin4!$A203,Correspondance!$G:$H,2,FALSE),Coin2!$A:$A,0),3)</f>
        <v>97.31</v>
      </c>
      <c r="D203">
        <f>INDEX(Coin2!$A:$D,MATCH(VLOOKUP(Coin4!$A203,Correspondance!$G:$H,2,FALSE),Coin2!$A:$A,0),4)</f>
        <v>29.75</v>
      </c>
    </row>
    <row r="204" spans="1:4" x14ac:dyDescent="0.35">
      <c r="A204">
        <f t="shared" si="3"/>
        <v>1703</v>
      </c>
      <c r="B204">
        <f>2*$I$1-INDEX(Coin2!$A:$D,MATCH(VLOOKUP(Coin4!$A204,Correspondance!$G:$H,2,FALSE),Coin2!$A:$A,0),2)</f>
        <v>57.778000000000006</v>
      </c>
      <c r="C204">
        <f>INDEX(Coin2!$A:$D,MATCH(VLOOKUP(Coin4!$A204,Correspondance!$G:$H,2,FALSE),Coin2!$A:$A,0),3)</f>
        <v>80.800000000000011</v>
      </c>
      <c r="D204">
        <f>INDEX(Coin2!$A:$D,MATCH(VLOOKUP(Coin4!$A204,Correspondance!$G:$H,2,FALSE),Coin2!$A:$A,0),4)</f>
        <v>32.176137809243642</v>
      </c>
    </row>
    <row r="205" spans="1:4" x14ac:dyDescent="0.35">
      <c r="A205">
        <f t="shared" si="3"/>
        <v>1704</v>
      </c>
      <c r="B205">
        <f>2*$I$1-INDEX(Coin2!$A:$D,MATCH(VLOOKUP(Coin4!$A205,Correspondance!$G:$H,2,FALSE),Coin2!$A:$A,0),2)</f>
        <v>60.607500000000002</v>
      </c>
      <c r="C205">
        <f>INDEX(Coin2!$A:$D,MATCH(VLOOKUP(Coin4!$A205,Correspondance!$G:$H,2,FALSE),Coin2!$A:$A,0),3)</f>
        <v>80.800000000000011</v>
      </c>
      <c r="D205">
        <f>INDEX(Coin2!$A:$D,MATCH(VLOOKUP(Coin4!$A205,Correspondance!$G:$H,2,FALSE),Coin2!$A:$A,0),4)</f>
        <v>32.176137809243642</v>
      </c>
    </row>
    <row r="206" spans="1:4" x14ac:dyDescent="0.35">
      <c r="A206">
        <f t="shared" si="3"/>
        <v>1705</v>
      </c>
      <c r="B206">
        <f>2*$I$1-INDEX(Coin2!$A:$D,MATCH(VLOOKUP(Coin4!$A206,Correspondance!$G:$H,2,FALSE),Coin2!$A:$A,0),2)</f>
        <v>61.837500000000006</v>
      </c>
      <c r="C206">
        <f>INDEX(Coin2!$A:$D,MATCH(VLOOKUP(Coin4!$A206,Correspondance!$G:$H,2,FALSE),Coin2!$A:$A,0),3)</f>
        <v>80.800000000000011</v>
      </c>
      <c r="D206">
        <f>INDEX(Coin2!$A:$D,MATCH(VLOOKUP(Coin4!$A206,Correspondance!$G:$H,2,FALSE),Coin2!$A:$A,0),4)</f>
        <v>32.176137809243642</v>
      </c>
    </row>
    <row r="207" spans="1:4" x14ac:dyDescent="0.35">
      <c r="A207">
        <f t="shared" si="3"/>
        <v>1706</v>
      </c>
      <c r="B207">
        <f>2*$I$1-INDEX(Coin2!$A:$D,MATCH(VLOOKUP(Coin4!$A207,Correspondance!$G:$H,2,FALSE),Coin2!$A:$A,0),2)</f>
        <v>64.667000000000002</v>
      </c>
      <c r="C207">
        <f>INDEX(Coin2!$A:$D,MATCH(VLOOKUP(Coin4!$A207,Correspondance!$G:$H,2,FALSE),Coin2!$A:$A,0),3)</f>
        <v>80.800000000000011</v>
      </c>
      <c r="D207">
        <f>INDEX(Coin2!$A:$D,MATCH(VLOOKUP(Coin4!$A207,Correspondance!$G:$H,2,FALSE),Coin2!$A:$A,0),4)</f>
        <v>32.176137809243642</v>
      </c>
    </row>
    <row r="208" spans="1:4" x14ac:dyDescent="0.35">
      <c r="A208">
        <f t="shared" si="3"/>
        <v>1707</v>
      </c>
      <c r="B208">
        <f>2*$I$1-INDEX(Coin2!$A:$D,MATCH(VLOOKUP(Coin4!$A208,Correspondance!$G:$H,2,FALSE),Coin2!$A:$A,0),2)</f>
        <v>69.425000000000011</v>
      </c>
      <c r="C208">
        <f>INDEX(Coin2!$A:$D,MATCH(VLOOKUP(Coin4!$A208,Correspondance!$G:$H,2,FALSE),Coin2!$A:$A,0),3)</f>
        <v>80.800000000000011</v>
      </c>
      <c r="D208">
        <f>INDEX(Coin2!$A:$D,MATCH(VLOOKUP(Coin4!$A208,Correspondance!$G:$H,2,FALSE),Coin2!$A:$A,0),4)</f>
        <v>32.176137809243642</v>
      </c>
    </row>
    <row r="209" spans="1:4" x14ac:dyDescent="0.35">
      <c r="A209">
        <f t="shared" si="3"/>
        <v>1708</v>
      </c>
      <c r="B209">
        <f>2*$I$1-INDEX(Coin2!$A:$D,MATCH(VLOOKUP(Coin4!$A209,Correspondance!$G:$H,2,FALSE),Coin2!$A:$A,0),2)</f>
        <v>69.425000000000011</v>
      </c>
      <c r="C209">
        <f>INDEX(Coin2!$A:$D,MATCH(VLOOKUP(Coin4!$A209,Correspondance!$G:$H,2,FALSE),Coin2!$A:$A,0),3)</f>
        <v>83.493000000000009</v>
      </c>
      <c r="D209">
        <f>INDEX(Coin2!$A:$D,MATCH(VLOOKUP(Coin4!$A209,Correspondance!$G:$H,2,FALSE),Coin2!$A:$A,0),4)</f>
        <v>32.176137809243642</v>
      </c>
    </row>
    <row r="210" spans="1:4" x14ac:dyDescent="0.35">
      <c r="A210">
        <f t="shared" si="3"/>
        <v>1709</v>
      </c>
      <c r="B210">
        <f>2*$I$1-INDEX(Coin2!$A:$D,MATCH(VLOOKUP(Coin4!$A210,Correspondance!$G:$H,2,FALSE),Coin2!$A:$A,0),2)</f>
        <v>69.425000000000011</v>
      </c>
      <c r="C210">
        <f>INDEX(Coin2!$A:$D,MATCH(VLOOKUP(Coin4!$A210,Correspondance!$G:$H,2,FALSE),Coin2!$A:$A,0),3)</f>
        <v>86.187000000000012</v>
      </c>
      <c r="D210">
        <f>INDEX(Coin2!$A:$D,MATCH(VLOOKUP(Coin4!$A210,Correspondance!$G:$H,2,FALSE),Coin2!$A:$A,0),4)</f>
        <v>32.176137809243642</v>
      </c>
    </row>
    <row r="211" spans="1:4" x14ac:dyDescent="0.35">
      <c r="A211">
        <f t="shared" si="3"/>
        <v>1710</v>
      </c>
      <c r="B211">
        <f>2*$I$1-INDEX(Coin2!$A:$D,MATCH(VLOOKUP(Coin4!$A211,Correspondance!$G:$H,2,FALSE),Coin2!$A:$A,0),2)</f>
        <v>57.778000000000006</v>
      </c>
      <c r="C211">
        <f>INDEX(Coin2!$A:$D,MATCH(VLOOKUP(Coin4!$A211,Correspondance!$G:$H,2,FALSE),Coin2!$A:$A,0),3)</f>
        <v>88.88000000000001</v>
      </c>
      <c r="D211">
        <f>INDEX(Coin2!$A:$D,MATCH(VLOOKUP(Coin4!$A211,Correspondance!$G:$H,2,FALSE),Coin2!$A:$A,0),4)</f>
        <v>32.176137809243642</v>
      </c>
    </row>
    <row r="212" spans="1:4" x14ac:dyDescent="0.35">
      <c r="A212">
        <f t="shared" si="3"/>
        <v>1711</v>
      </c>
      <c r="B212">
        <f>2*$I$1-INDEX(Coin2!$A:$D,MATCH(VLOOKUP(Coin4!$A212,Correspondance!$G:$H,2,FALSE),Coin2!$A:$A,0),2)</f>
        <v>64.667000000000002</v>
      </c>
      <c r="C212">
        <f>INDEX(Coin2!$A:$D,MATCH(VLOOKUP(Coin4!$A212,Correspondance!$G:$H,2,FALSE),Coin2!$A:$A,0),3)</f>
        <v>88.88000000000001</v>
      </c>
      <c r="D212">
        <f>INDEX(Coin2!$A:$D,MATCH(VLOOKUP(Coin4!$A212,Correspondance!$G:$H,2,FALSE),Coin2!$A:$A,0),4)</f>
        <v>32.176137809243642</v>
      </c>
    </row>
    <row r="213" spans="1:4" x14ac:dyDescent="0.35">
      <c r="A213">
        <f t="shared" si="3"/>
        <v>1712</v>
      </c>
      <c r="B213">
        <f>2*$I$1-INDEX(Coin2!$A:$D,MATCH(VLOOKUP(Coin4!$A213,Correspondance!$G:$H,2,FALSE),Coin2!$A:$A,0),2)</f>
        <v>69.425000000000011</v>
      </c>
      <c r="C213">
        <f>INDEX(Coin2!$A:$D,MATCH(VLOOKUP(Coin4!$A213,Correspondance!$G:$H,2,FALSE),Coin2!$A:$A,0),3)</f>
        <v>88.88000000000001</v>
      </c>
      <c r="D213">
        <f>INDEX(Coin2!$A:$D,MATCH(VLOOKUP(Coin4!$A213,Correspondance!$G:$H,2,FALSE),Coin2!$A:$A,0),4)</f>
        <v>32.176137809243642</v>
      </c>
    </row>
    <row r="214" spans="1:4" x14ac:dyDescent="0.35">
      <c r="A214">
        <f t="shared" si="3"/>
        <v>1713</v>
      </c>
      <c r="B214">
        <f>2*$I$1-INDEX(Coin2!$A:$D,MATCH(VLOOKUP(Coin4!$A214,Correspondance!$G:$H,2,FALSE),Coin2!$A:$A,0),2)</f>
        <v>69.425000000000011</v>
      </c>
      <c r="C214">
        <f>INDEX(Coin2!$A:$D,MATCH(VLOOKUP(Coin4!$A214,Correspondance!$G:$H,2,FALSE),Coin2!$A:$A,0),3)</f>
        <v>91.573000000000008</v>
      </c>
      <c r="D214">
        <f>INDEX(Coin2!$A:$D,MATCH(VLOOKUP(Coin4!$A214,Correspondance!$G:$H,2,FALSE),Coin2!$A:$A,0),4)</f>
        <v>32.176137809243642</v>
      </c>
    </row>
    <row r="215" spans="1:4" x14ac:dyDescent="0.35">
      <c r="A215">
        <f t="shared" si="3"/>
        <v>1714</v>
      </c>
      <c r="B215">
        <f>2*$I$1-INDEX(Coin2!$A:$D,MATCH(VLOOKUP(Coin4!$A215,Correspondance!$G:$H,2,FALSE),Coin2!$A:$A,0),2)</f>
        <v>69.425000000000011</v>
      </c>
      <c r="C215">
        <f>INDEX(Coin2!$A:$D,MATCH(VLOOKUP(Coin4!$A215,Correspondance!$G:$H,2,FALSE),Coin2!$A:$A,0),3)</f>
        <v>94.26700000000001</v>
      </c>
      <c r="D215">
        <f>INDEX(Coin2!$A:$D,MATCH(VLOOKUP(Coin4!$A215,Correspondance!$G:$H,2,FALSE),Coin2!$A:$A,0),4)</f>
        <v>32.176137809243642</v>
      </c>
    </row>
    <row r="216" spans="1:4" x14ac:dyDescent="0.35">
      <c r="A216">
        <f t="shared" si="3"/>
        <v>1715</v>
      </c>
      <c r="B216">
        <f>2*$I$1-INDEX(Coin2!$A:$D,MATCH(VLOOKUP(Coin4!$A216,Correspondance!$G:$H,2,FALSE),Coin2!$A:$A,0),2)</f>
        <v>57.778000000000006</v>
      </c>
      <c r="C216">
        <f>INDEX(Coin2!$A:$D,MATCH(VLOOKUP(Coin4!$A216,Correspondance!$G:$H,2,FALSE),Coin2!$A:$A,0),3)</f>
        <v>96.960000000000008</v>
      </c>
      <c r="D216">
        <f>INDEX(Coin2!$A:$D,MATCH(VLOOKUP(Coin4!$A216,Correspondance!$G:$H,2,FALSE),Coin2!$A:$A,0),4)</f>
        <v>32.176137809243642</v>
      </c>
    </row>
    <row r="217" spans="1:4" x14ac:dyDescent="0.35">
      <c r="A217">
        <f t="shared" si="3"/>
        <v>1716</v>
      </c>
      <c r="B217">
        <f>2*$I$1-INDEX(Coin2!$A:$D,MATCH(VLOOKUP(Coin4!$A217,Correspondance!$G:$H,2,FALSE),Coin2!$A:$A,0),2)</f>
        <v>64.667000000000002</v>
      </c>
      <c r="C217">
        <f>INDEX(Coin2!$A:$D,MATCH(VLOOKUP(Coin4!$A217,Correspondance!$G:$H,2,FALSE),Coin2!$A:$A,0),3)</f>
        <v>96.960000000000008</v>
      </c>
      <c r="D217">
        <f>INDEX(Coin2!$A:$D,MATCH(VLOOKUP(Coin4!$A217,Correspondance!$G:$H,2,FALSE),Coin2!$A:$A,0),4)</f>
        <v>32.176137809243642</v>
      </c>
    </row>
    <row r="218" spans="1:4" x14ac:dyDescent="0.35">
      <c r="A218">
        <f t="shared" si="3"/>
        <v>1717</v>
      </c>
      <c r="B218">
        <f>2*$I$1-INDEX(Coin2!$A:$D,MATCH(VLOOKUP(Coin4!$A218,Correspondance!$G:$H,2,FALSE),Coin2!$A:$A,0),2)</f>
        <v>69.425000000000011</v>
      </c>
      <c r="C218">
        <f>INDEX(Coin2!$A:$D,MATCH(VLOOKUP(Coin4!$A218,Correspondance!$G:$H,2,FALSE),Coin2!$A:$A,0),3)</f>
        <v>96.960000000000008</v>
      </c>
      <c r="D218">
        <f>INDEX(Coin2!$A:$D,MATCH(VLOOKUP(Coin4!$A218,Correspondance!$G:$H,2,FALSE),Coin2!$A:$A,0),4)</f>
        <v>32.176137809243642</v>
      </c>
    </row>
    <row r="219" spans="1:4" x14ac:dyDescent="0.35">
      <c r="A219">
        <f t="shared" si="3"/>
        <v>1718</v>
      </c>
      <c r="B219">
        <f>2*$I$1-INDEX(Coin2!$A:$D,MATCH(VLOOKUP(Coin4!$A219,Correspondance!$G:$H,2,FALSE),Coin2!$A:$A,0),2)</f>
        <v>55.035000000000004</v>
      </c>
      <c r="C219">
        <f>INDEX(Coin2!$A:$D,MATCH(VLOOKUP(Coin4!$A219,Correspondance!$G:$H,2,FALSE),Coin2!$A:$A,0),3)</f>
        <v>97.31</v>
      </c>
      <c r="D219">
        <f>INDEX(Coin2!$A:$D,MATCH(VLOOKUP(Coin4!$A219,Correspondance!$G:$H,2,FALSE),Coin2!$A:$A,0),4)</f>
        <v>32.176137809243642</v>
      </c>
    </row>
    <row r="220" spans="1:4" x14ac:dyDescent="0.35">
      <c r="A220">
        <f t="shared" si="3"/>
        <v>1719</v>
      </c>
      <c r="B220">
        <f>2*$I$1-INDEX(Coin2!$A:$D,MATCH(VLOOKUP(Coin4!$A220,Correspondance!$G:$H,2,FALSE),Coin2!$A:$A,0),2)</f>
        <v>57.778000000000006</v>
      </c>
      <c r="C220">
        <f>INDEX(Coin2!$A:$D,MATCH(VLOOKUP(Coin4!$A220,Correspondance!$G:$H,2,FALSE),Coin2!$A:$A,0),3)</f>
        <v>97.31</v>
      </c>
      <c r="D220">
        <f>INDEX(Coin2!$A:$D,MATCH(VLOOKUP(Coin4!$A220,Correspondance!$G:$H,2,FALSE),Coin2!$A:$A,0),4)</f>
        <v>32.176137809243642</v>
      </c>
    </row>
    <row r="221" spans="1:4" x14ac:dyDescent="0.35">
      <c r="A221">
        <f t="shared" si="3"/>
        <v>1720</v>
      </c>
      <c r="B221">
        <f>2*$I$1-INDEX(Coin2!$A:$D,MATCH(VLOOKUP(Coin4!$A221,Correspondance!$G:$H,2,FALSE),Coin2!$A:$A,0),2)</f>
        <v>57.777948729810781</v>
      </c>
      <c r="C221">
        <f>INDEX(Coin2!$A:$D,MATCH(VLOOKUP(Coin4!$A221,Correspondance!$G:$H,2,FALSE),Coin2!$A:$A,0),3)</f>
        <v>97.31</v>
      </c>
      <c r="D221">
        <f>INDEX(Coin2!$A:$D,MATCH(VLOOKUP(Coin4!$A221,Correspondance!$G:$H,2,FALSE),Coin2!$A:$A,0),4)</f>
        <v>32.176137809243642</v>
      </c>
    </row>
    <row r="222" spans="1:4" x14ac:dyDescent="0.35">
      <c r="A222">
        <f t="shared" si="3"/>
        <v>1721</v>
      </c>
      <c r="B222">
        <f>2*$I$1-INDEX(Coin2!$A:$D,MATCH(VLOOKUP(Coin4!$A222,Correspondance!$G:$H,2,FALSE),Coin2!$A:$A,0),2)</f>
        <v>60.607500000000002</v>
      </c>
      <c r="C222">
        <f>INDEX(Coin2!$A:$D,MATCH(VLOOKUP(Coin4!$A222,Correspondance!$G:$H,2,FALSE),Coin2!$A:$A,0),3)</f>
        <v>97.31</v>
      </c>
      <c r="D222">
        <f>INDEX(Coin2!$A:$D,MATCH(VLOOKUP(Coin4!$A222,Correspondance!$G:$H,2,FALSE),Coin2!$A:$A,0),4)</f>
        <v>32.176137809243642</v>
      </c>
    </row>
    <row r="223" spans="1:4" x14ac:dyDescent="0.35">
      <c r="A223">
        <f t="shared" si="3"/>
        <v>1722</v>
      </c>
      <c r="B223">
        <f>2*$I$1-INDEX(Coin2!$A:$D,MATCH(VLOOKUP(Coin4!$A223,Correspondance!$G:$H,2,FALSE),Coin2!$A:$A,0),2)</f>
        <v>61.837500000000006</v>
      </c>
      <c r="C223">
        <f>INDEX(Coin2!$A:$D,MATCH(VLOOKUP(Coin4!$A223,Correspondance!$G:$H,2,FALSE),Coin2!$A:$A,0),3)</f>
        <v>97.31</v>
      </c>
      <c r="D223">
        <f>INDEX(Coin2!$A:$D,MATCH(VLOOKUP(Coin4!$A223,Correspondance!$G:$H,2,FALSE),Coin2!$A:$A,0),4)</f>
        <v>32.176137809243642</v>
      </c>
    </row>
    <row r="224" spans="1:4" x14ac:dyDescent="0.35">
      <c r="A224">
        <f t="shared" si="3"/>
        <v>1723</v>
      </c>
      <c r="B224">
        <f>2*$I$1-INDEX(Coin2!$A:$D,MATCH(VLOOKUP(Coin4!$A224,Correspondance!$G:$H,2,FALSE),Coin2!$A:$A,0),2)</f>
        <v>64.667051270189233</v>
      </c>
      <c r="C224">
        <f>INDEX(Coin2!$A:$D,MATCH(VLOOKUP(Coin4!$A224,Correspondance!$G:$H,2,FALSE),Coin2!$A:$A,0),3)</f>
        <v>97.31</v>
      </c>
      <c r="D224">
        <f>INDEX(Coin2!$A:$D,MATCH(VLOOKUP(Coin4!$A224,Correspondance!$G:$H,2,FALSE),Coin2!$A:$A,0),4)</f>
        <v>32.176137809243642</v>
      </c>
    </row>
    <row r="225" spans="1:4" x14ac:dyDescent="0.35">
      <c r="A225">
        <f t="shared" si="3"/>
        <v>1724</v>
      </c>
      <c r="B225">
        <f>2*$I$1-INDEX(Coin2!$A:$D,MATCH(VLOOKUP(Coin4!$A225,Correspondance!$G:$H,2,FALSE),Coin2!$A:$A,0),2)</f>
        <v>64.667000000000002</v>
      </c>
      <c r="C225">
        <f>INDEX(Coin2!$A:$D,MATCH(VLOOKUP(Coin4!$A225,Correspondance!$G:$H,2,FALSE),Coin2!$A:$A,0),3)</f>
        <v>97.31</v>
      </c>
      <c r="D225">
        <f>INDEX(Coin2!$A:$D,MATCH(VLOOKUP(Coin4!$A225,Correspondance!$G:$H,2,FALSE),Coin2!$A:$A,0),4)</f>
        <v>32.176137809243642</v>
      </c>
    </row>
    <row r="226" spans="1:4" x14ac:dyDescent="0.35">
      <c r="A226">
        <f t="shared" si="3"/>
        <v>1725</v>
      </c>
      <c r="B226">
        <f>2*$I$1-INDEX(Coin2!$A:$D,MATCH(VLOOKUP(Coin4!$A226,Correspondance!$G:$H,2,FALSE),Coin2!$A:$A,0),2)</f>
        <v>69.425000000000011</v>
      </c>
      <c r="C226">
        <f>INDEX(Coin2!$A:$D,MATCH(VLOOKUP(Coin4!$A226,Correspondance!$G:$H,2,FALSE),Coin2!$A:$A,0),3)</f>
        <v>97.31</v>
      </c>
      <c r="D226">
        <f>INDEX(Coin2!$A:$D,MATCH(VLOOKUP(Coin4!$A226,Correspondance!$G:$H,2,FALSE),Coin2!$A:$A,0),4)</f>
        <v>32.176137809243642</v>
      </c>
    </row>
    <row r="227" spans="1:4" x14ac:dyDescent="0.35">
      <c r="A227">
        <f t="shared" si="3"/>
        <v>1726</v>
      </c>
      <c r="B227">
        <f>2*$I$1-INDEX(Coin2!$A:$D,MATCH(VLOOKUP(Coin4!$A227,Correspondance!$G:$H,2,FALSE),Coin2!$A:$A,0),2)</f>
        <v>57.777948729810781</v>
      </c>
      <c r="C227">
        <f>INDEX(Coin2!$A:$D,MATCH(VLOOKUP(Coin4!$A227,Correspondance!$G:$H,2,FALSE),Coin2!$A:$A,0),3)</f>
        <v>80.800000000000011</v>
      </c>
      <c r="D227">
        <f>INDEX(Coin2!$A:$D,MATCH(VLOOKUP(Coin4!$A227,Correspondance!$G:$H,2,FALSE),Coin2!$A:$A,0),4)</f>
        <v>32.176137809243642</v>
      </c>
    </row>
    <row r="228" spans="1:4" x14ac:dyDescent="0.35">
      <c r="A228">
        <f t="shared" si="3"/>
        <v>1727</v>
      </c>
      <c r="B228">
        <f>2*$I$1-INDEX(Coin2!$A:$D,MATCH(VLOOKUP(Coin4!$A228,Correspondance!$G:$H,2,FALSE),Coin2!$A:$A,0),2)</f>
        <v>60.607500000000002</v>
      </c>
      <c r="C228">
        <f>INDEX(Coin2!$A:$D,MATCH(VLOOKUP(Coin4!$A228,Correspondance!$G:$H,2,FALSE),Coin2!$A:$A,0),3)</f>
        <v>80.800000000000011</v>
      </c>
      <c r="D228">
        <f>INDEX(Coin2!$A:$D,MATCH(VLOOKUP(Coin4!$A228,Correspondance!$G:$H,2,FALSE),Coin2!$A:$A,0),4)</f>
        <v>32.176137809243642</v>
      </c>
    </row>
    <row r="229" spans="1:4" x14ac:dyDescent="0.35">
      <c r="A229">
        <f t="shared" si="3"/>
        <v>1728</v>
      </c>
      <c r="B229">
        <f>2*$I$1-INDEX(Coin2!$A:$D,MATCH(VLOOKUP(Coin4!$A229,Correspondance!$G:$H,2,FALSE),Coin2!$A:$A,0),2)</f>
        <v>61.222500000000004</v>
      </c>
      <c r="C229">
        <f>INDEX(Coin2!$A:$D,MATCH(VLOOKUP(Coin4!$A229,Correspondance!$G:$H,2,FALSE),Coin2!$A:$A,0),3)</f>
        <v>80.800000000000011</v>
      </c>
      <c r="D229">
        <f>INDEX(Coin2!$A:$D,MATCH(VLOOKUP(Coin4!$A229,Correspondance!$G:$H,2,FALSE),Coin2!$A:$A,0),4)</f>
        <v>32.176137809243642</v>
      </c>
    </row>
    <row r="230" spans="1:4" x14ac:dyDescent="0.35">
      <c r="A230">
        <f t="shared" si="3"/>
        <v>1729</v>
      </c>
      <c r="B230">
        <f>2*$I$1-INDEX(Coin2!$A:$D,MATCH(VLOOKUP(Coin4!$A230,Correspondance!$G:$H,2,FALSE),Coin2!$A:$A,0),2)</f>
        <v>61.837500000000006</v>
      </c>
      <c r="C230">
        <f>INDEX(Coin2!$A:$D,MATCH(VLOOKUP(Coin4!$A230,Correspondance!$G:$H,2,FALSE),Coin2!$A:$A,0),3)</f>
        <v>80.800000000000011</v>
      </c>
      <c r="D230">
        <f>INDEX(Coin2!$A:$D,MATCH(VLOOKUP(Coin4!$A230,Correspondance!$G:$H,2,FALSE),Coin2!$A:$A,0),4)</f>
        <v>32.176137809243642</v>
      </c>
    </row>
    <row r="231" spans="1:4" x14ac:dyDescent="0.35">
      <c r="A231">
        <f t="shared" si="3"/>
        <v>1730</v>
      </c>
      <c r="B231">
        <f>2*$I$1-INDEX(Coin2!$A:$D,MATCH(VLOOKUP(Coin4!$A231,Correspondance!$G:$H,2,FALSE),Coin2!$A:$A,0),2)</f>
        <v>64.667051270189233</v>
      </c>
      <c r="C231">
        <f>INDEX(Coin2!$A:$D,MATCH(VLOOKUP(Coin4!$A231,Correspondance!$G:$H,2,FALSE),Coin2!$A:$A,0),3)</f>
        <v>80.800000000000011</v>
      </c>
      <c r="D231">
        <f>INDEX(Coin2!$A:$D,MATCH(VLOOKUP(Coin4!$A231,Correspondance!$G:$H,2,FALSE),Coin2!$A:$A,0),4)</f>
        <v>32.176137809243642</v>
      </c>
    </row>
    <row r="232" spans="1:4" x14ac:dyDescent="0.35">
      <c r="A232">
        <f t="shared" si="3"/>
        <v>1731</v>
      </c>
      <c r="B232">
        <f>2*$I$1-INDEX(Coin2!$A:$D,MATCH(VLOOKUP(Coin4!$A232,Correspondance!$G:$H,2,FALSE),Coin2!$A:$A,0),2)</f>
        <v>69.425000000000011</v>
      </c>
      <c r="C232">
        <f>INDEX(Coin2!$A:$D,MATCH(VLOOKUP(Coin4!$A232,Correspondance!$G:$H,2,FALSE),Coin2!$A:$A,0),3)</f>
        <v>80.800000000000011</v>
      </c>
      <c r="D232">
        <f>INDEX(Coin2!$A:$D,MATCH(VLOOKUP(Coin4!$A232,Correspondance!$G:$H,2,FALSE),Coin2!$A:$A,0),4)</f>
        <v>32.176137809243642</v>
      </c>
    </row>
    <row r="233" spans="1:4" x14ac:dyDescent="0.35">
      <c r="A233">
        <f t="shared" si="3"/>
        <v>1732</v>
      </c>
      <c r="B233">
        <f>2*$I$1-INDEX(Coin2!$A:$D,MATCH(VLOOKUP(Coin4!$A233,Correspondance!$G:$H,2,FALSE),Coin2!$A:$A,0),2)</f>
        <v>69.425000000000011</v>
      </c>
      <c r="C233">
        <f>INDEX(Coin2!$A:$D,MATCH(VLOOKUP(Coin4!$A233,Correspondance!$G:$H,2,FALSE),Coin2!$A:$A,0),3)</f>
        <v>83.493000000000009</v>
      </c>
      <c r="D233">
        <f>INDEX(Coin2!$A:$D,MATCH(VLOOKUP(Coin4!$A233,Correspondance!$G:$H,2,FALSE),Coin2!$A:$A,0),4)</f>
        <v>32.176137809243642</v>
      </c>
    </row>
    <row r="234" spans="1:4" x14ac:dyDescent="0.35">
      <c r="A234">
        <f t="shared" si="3"/>
        <v>1733</v>
      </c>
      <c r="B234">
        <f>2*$I$1-INDEX(Coin2!$A:$D,MATCH(VLOOKUP(Coin4!$A234,Correspondance!$G:$H,2,FALSE),Coin2!$A:$A,0),2)</f>
        <v>61.222500000000004</v>
      </c>
      <c r="C234">
        <f>INDEX(Coin2!$A:$D,MATCH(VLOOKUP(Coin4!$A234,Correspondance!$G:$H,2,FALSE),Coin2!$A:$A,0),3)</f>
        <v>84.84</v>
      </c>
      <c r="D234">
        <f>INDEX(Coin2!$A:$D,MATCH(VLOOKUP(Coin4!$A234,Correspondance!$G:$H,2,FALSE),Coin2!$A:$A,0),4)</f>
        <v>32.176137809243642</v>
      </c>
    </row>
    <row r="235" spans="1:4" x14ac:dyDescent="0.35">
      <c r="A235">
        <f t="shared" si="3"/>
        <v>1734</v>
      </c>
      <c r="B235">
        <f>2*$I$1-INDEX(Coin2!$A:$D,MATCH(VLOOKUP(Coin4!$A235,Correspondance!$G:$H,2,FALSE),Coin2!$A:$A,0),2)</f>
        <v>69.425000000000011</v>
      </c>
      <c r="C235">
        <f>INDEX(Coin2!$A:$D,MATCH(VLOOKUP(Coin4!$A235,Correspondance!$G:$H,2,FALSE),Coin2!$A:$A,0),3)</f>
        <v>86.187000000000012</v>
      </c>
      <c r="D235">
        <f>INDEX(Coin2!$A:$D,MATCH(VLOOKUP(Coin4!$A235,Correspondance!$G:$H,2,FALSE),Coin2!$A:$A,0),4)</f>
        <v>32.176137809243642</v>
      </c>
    </row>
    <row r="236" spans="1:4" x14ac:dyDescent="0.35">
      <c r="A236">
        <f t="shared" si="3"/>
        <v>1735</v>
      </c>
      <c r="B236">
        <f>2*$I$1-INDEX(Coin2!$A:$D,MATCH(VLOOKUP(Coin4!$A236,Correspondance!$G:$H,2,FALSE),Coin2!$A:$A,0),2)</f>
        <v>57.777948729810781</v>
      </c>
      <c r="C236">
        <f>INDEX(Coin2!$A:$D,MATCH(VLOOKUP(Coin4!$A236,Correspondance!$G:$H,2,FALSE),Coin2!$A:$A,0),3)</f>
        <v>88.88000000000001</v>
      </c>
      <c r="D236">
        <f>INDEX(Coin2!$A:$D,MATCH(VLOOKUP(Coin4!$A236,Correspondance!$G:$H,2,FALSE),Coin2!$A:$A,0),4)</f>
        <v>32.176137809243642</v>
      </c>
    </row>
    <row r="237" spans="1:4" x14ac:dyDescent="0.35">
      <c r="A237">
        <f t="shared" si="3"/>
        <v>1736</v>
      </c>
      <c r="B237">
        <f>2*$I$1-INDEX(Coin2!$A:$D,MATCH(VLOOKUP(Coin4!$A237,Correspondance!$G:$H,2,FALSE),Coin2!$A:$A,0),2)</f>
        <v>60.607500000000002</v>
      </c>
      <c r="C237">
        <f>INDEX(Coin2!$A:$D,MATCH(VLOOKUP(Coin4!$A237,Correspondance!$G:$H,2,FALSE),Coin2!$A:$A,0),3)</f>
        <v>88.88000000000001</v>
      </c>
      <c r="D237">
        <f>INDEX(Coin2!$A:$D,MATCH(VLOOKUP(Coin4!$A237,Correspondance!$G:$H,2,FALSE),Coin2!$A:$A,0),4)</f>
        <v>32.176137809243642</v>
      </c>
    </row>
    <row r="238" spans="1:4" x14ac:dyDescent="0.35">
      <c r="A238">
        <f t="shared" si="3"/>
        <v>1737</v>
      </c>
      <c r="B238">
        <f>2*$I$1-INDEX(Coin2!$A:$D,MATCH(VLOOKUP(Coin4!$A238,Correspondance!$G:$H,2,FALSE),Coin2!$A:$A,0),2)</f>
        <v>61.222500000000004</v>
      </c>
      <c r="C238">
        <f>INDEX(Coin2!$A:$D,MATCH(VLOOKUP(Coin4!$A238,Correspondance!$G:$H,2,FALSE),Coin2!$A:$A,0),3)</f>
        <v>88.88000000000001</v>
      </c>
      <c r="D238">
        <f>INDEX(Coin2!$A:$D,MATCH(VLOOKUP(Coin4!$A238,Correspondance!$G:$H,2,FALSE),Coin2!$A:$A,0),4)</f>
        <v>32.176137809243642</v>
      </c>
    </row>
    <row r="239" spans="1:4" x14ac:dyDescent="0.35">
      <c r="A239">
        <f t="shared" si="3"/>
        <v>1738</v>
      </c>
      <c r="B239">
        <f>2*$I$1-INDEX(Coin2!$A:$D,MATCH(VLOOKUP(Coin4!$A239,Correspondance!$G:$H,2,FALSE),Coin2!$A:$A,0),2)</f>
        <v>61.837500000000006</v>
      </c>
      <c r="C239">
        <f>INDEX(Coin2!$A:$D,MATCH(VLOOKUP(Coin4!$A239,Correspondance!$G:$H,2,FALSE),Coin2!$A:$A,0),3)</f>
        <v>88.88000000000001</v>
      </c>
      <c r="D239">
        <f>INDEX(Coin2!$A:$D,MATCH(VLOOKUP(Coin4!$A239,Correspondance!$G:$H,2,FALSE),Coin2!$A:$A,0),4)</f>
        <v>32.176137809243642</v>
      </c>
    </row>
    <row r="240" spans="1:4" x14ac:dyDescent="0.35">
      <c r="A240">
        <f t="shared" si="3"/>
        <v>1739</v>
      </c>
      <c r="B240">
        <f>2*$I$1-INDEX(Coin2!$A:$D,MATCH(VLOOKUP(Coin4!$A240,Correspondance!$G:$H,2,FALSE),Coin2!$A:$A,0),2)</f>
        <v>64.667051270189233</v>
      </c>
      <c r="C240">
        <f>INDEX(Coin2!$A:$D,MATCH(VLOOKUP(Coin4!$A240,Correspondance!$G:$H,2,FALSE),Coin2!$A:$A,0),3)</f>
        <v>88.88000000000001</v>
      </c>
      <c r="D240">
        <f>INDEX(Coin2!$A:$D,MATCH(VLOOKUP(Coin4!$A240,Correspondance!$G:$H,2,FALSE),Coin2!$A:$A,0),4)</f>
        <v>32.176137809243642</v>
      </c>
    </row>
    <row r="241" spans="1:4" x14ac:dyDescent="0.35">
      <c r="A241">
        <f t="shared" si="3"/>
        <v>1740</v>
      </c>
      <c r="B241">
        <f>2*$I$1-INDEX(Coin2!$A:$D,MATCH(VLOOKUP(Coin4!$A241,Correspondance!$G:$H,2,FALSE),Coin2!$A:$A,0),2)</f>
        <v>69.425000000000011</v>
      </c>
      <c r="C241">
        <f>INDEX(Coin2!$A:$D,MATCH(VLOOKUP(Coin4!$A241,Correspondance!$G:$H,2,FALSE),Coin2!$A:$A,0),3)</f>
        <v>88.88000000000001</v>
      </c>
      <c r="D241">
        <f>INDEX(Coin2!$A:$D,MATCH(VLOOKUP(Coin4!$A241,Correspondance!$G:$H,2,FALSE),Coin2!$A:$A,0),4)</f>
        <v>32.176137809243642</v>
      </c>
    </row>
    <row r="242" spans="1:4" x14ac:dyDescent="0.35">
      <c r="A242">
        <f t="shared" si="3"/>
        <v>1741</v>
      </c>
      <c r="B242">
        <f>2*$I$1-INDEX(Coin2!$A:$D,MATCH(VLOOKUP(Coin4!$A242,Correspondance!$G:$H,2,FALSE),Coin2!$A:$A,0),2)</f>
        <v>69.425000000000011</v>
      </c>
      <c r="C242">
        <f>INDEX(Coin2!$A:$D,MATCH(VLOOKUP(Coin4!$A242,Correspondance!$G:$H,2,FALSE),Coin2!$A:$A,0),3)</f>
        <v>91.573000000000008</v>
      </c>
      <c r="D242">
        <f>INDEX(Coin2!$A:$D,MATCH(VLOOKUP(Coin4!$A242,Correspondance!$G:$H,2,FALSE),Coin2!$A:$A,0),4)</f>
        <v>32.176137809243642</v>
      </c>
    </row>
    <row r="243" spans="1:4" x14ac:dyDescent="0.35">
      <c r="A243">
        <f t="shared" si="3"/>
        <v>1742</v>
      </c>
      <c r="B243">
        <f>2*$I$1-INDEX(Coin2!$A:$D,MATCH(VLOOKUP(Coin4!$A243,Correspondance!$G:$H,2,FALSE),Coin2!$A:$A,0),2)</f>
        <v>61.222500000000004</v>
      </c>
      <c r="C243">
        <f>INDEX(Coin2!$A:$D,MATCH(VLOOKUP(Coin4!$A243,Correspondance!$G:$H,2,FALSE),Coin2!$A:$A,0),3)</f>
        <v>92.92</v>
      </c>
      <c r="D243">
        <f>INDEX(Coin2!$A:$D,MATCH(VLOOKUP(Coin4!$A243,Correspondance!$G:$H,2,FALSE),Coin2!$A:$A,0),4)</f>
        <v>32.176137809243642</v>
      </c>
    </row>
    <row r="244" spans="1:4" x14ac:dyDescent="0.35">
      <c r="A244">
        <f t="shared" si="3"/>
        <v>1743</v>
      </c>
      <c r="B244">
        <f>2*$I$1-INDEX(Coin2!$A:$D,MATCH(VLOOKUP(Coin4!$A244,Correspondance!$G:$H,2,FALSE),Coin2!$A:$A,0),2)</f>
        <v>69.425000000000011</v>
      </c>
      <c r="C244">
        <f>INDEX(Coin2!$A:$D,MATCH(VLOOKUP(Coin4!$A244,Correspondance!$G:$H,2,FALSE),Coin2!$A:$A,0),3)</f>
        <v>94.26700000000001</v>
      </c>
      <c r="D244">
        <f>INDEX(Coin2!$A:$D,MATCH(VLOOKUP(Coin4!$A244,Correspondance!$G:$H,2,FALSE),Coin2!$A:$A,0),4)</f>
        <v>32.176137809243642</v>
      </c>
    </row>
    <row r="245" spans="1:4" x14ac:dyDescent="0.35">
      <c r="A245">
        <f t="shared" si="3"/>
        <v>1744</v>
      </c>
      <c r="B245">
        <f>2*$I$1-INDEX(Coin2!$A:$D,MATCH(VLOOKUP(Coin4!$A245,Correspondance!$G:$H,2,FALSE),Coin2!$A:$A,0),2)</f>
        <v>57.777948729810781</v>
      </c>
      <c r="C245">
        <f>INDEX(Coin2!$A:$D,MATCH(VLOOKUP(Coin4!$A245,Correspondance!$G:$H,2,FALSE),Coin2!$A:$A,0),3)</f>
        <v>96.960000000000008</v>
      </c>
      <c r="D245">
        <f>INDEX(Coin2!$A:$D,MATCH(VLOOKUP(Coin4!$A245,Correspondance!$G:$H,2,FALSE),Coin2!$A:$A,0),4)</f>
        <v>32.176137809243642</v>
      </c>
    </row>
    <row r="246" spans="1:4" x14ac:dyDescent="0.35">
      <c r="A246">
        <f t="shared" si="3"/>
        <v>1745</v>
      </c>
      <c r="B246">
        <f>2*$I$1-INDEX(Coin2!$A:$D,MATCH(VLOOKUP(Coin4!$A246,Correspondance!$G:$H,2,FALSE),Coin2!$A:$A,0),2)</f>
        <v>60.607500000000002</v>
      </c>
      <c r="C246">
        <f>INDEX(Coin2!$A:$D,MATCH(VLOOKUP(Coin4!$A246,Correspondance!$G:$H,2,FALSE),Coin2!$A:$A,0),3)</f>
        <v>96.960000000000008</v>
      </c>
      <c r="D246">
        <f>INDEX(Coin2!$A:$D,MATCH(VLOOKUP(Coin4!$A246,Correspondance!$G:$H,2,FALSE),Coin2!$A:$A,0),4)</f>
        <v>32.176137809243642</v>
      </c>
    </row>
    <row r="247" spans="1:4" x14ac:dyDescent="0.35">
      <c r="A247">
        <f t="shared" si="3"/>
        <v>1746</v>
      </c>
      <c r="B247">
        <f>2*$I$1-INDEX(Coin2!$A:$D,MATCH(VLOOKUP(Coin4!$A247,Correspondance!$G:$H,2,FALSE),Coin2!$A:$A,0),2)</f>
        <v>61.222500000000004</v>
      </c>
      <c r="C247">
        <f>INDEX(Coin2!$A:$D,MATCH(VLOOKUP(Coin4!$A247,Correspondance!$G:$H,2,FALSE),Coin2!$A:$A,0),3)</f>
        <v>96.960000000000008</v>
      </c>
      <c r="D247">
        <f>INDEX(Coin2!$A:$D,MATCH(VLOOKUP(Coin4!$A247,Correspondance!$G:$H,2,FALSE),Coin2!$A:$A,0),4)</f>
        <v>32.176137809243642</v>
      </c>
    </row>
    <row r="248" spans="1:4" x14ac:dyDescent="0.35">
      <c r="A248">
        <f t="shared" si="3"/>
        <v>1747</v>
      </c>
      <c r="B248">
        <f>2*$I$1-INDEX(Coin2!$A:$D,MATCH(VLOOKUP(Coin4!$A248,Correspondance!$G:$H,2,FALSE),Coin2!$A:$A,0),2)</f>
        <v>61.837500000000006</v>
      </c>
      <c r="C248">
        <f>INDEX(Coin2!$A:$D,MATCH(VLOOKUP(Coin4!$A248,Correspondance!$G:$H,2,FALSE),Coin2!$A:$A,0),3)</f>
        <v>96.960000000000008</v>
      </c>
      <c r="D248">
        <f>INDEX(Coin2!$A:$D,MATCH(VLOOKUP(Coin4!$A248,Correspondance!$G:$H,2,FALSE),Coin2!$A:$A,0),4)</f>
        <v>32.176137809243642</v>
      </c>
    </row>
    <row r="249" spans="1:4" x14ac:dyDescent="0.35">
      <c r="A249">
        <f t="shared" si="3"/>
        <v>1748</v>
      </c>
      <c r="B249">
        <f>2*$I$1-INDEX(Coin2!$A:$D,MATCH(VLOOKUP(Coin4!$A249,Correspondance!$G:$H,2,FALSE),Coin2!$A:$A,0),2)</f>
        <v>64.667051270189233</v>
      </c>
      <c r="C249">
        <f>INDEX(Coin2!$A:$D,MATCH(VLOOKUP(Coin4!$A249,Correspondance!$G:$H,2,FALSE),Coin2!$A:$A,0),3)</f>
        <v>96.960000000000008</v>
      </c>
      <c r="D249">
        <f>INDEX(Coin2!$A:$D,MATCH(VLOOKUP(Coin4!$A249,Correspondance!$G:$H,2,FALSE),Coin2!$A:$A,0),4)</f>
        <v>32.176137809243642</v>
      </c>
    </row>
    <row r="250" spans="1:4" x14ac:dyDescent="0.35">
      <c r="A250">
        <f t="shared" si="3"/>
        <v>1749</v>
      </c>
      <c r="B250">
        <f>2*$I$1-INDEX(Coin2!$A:$D,MATCH(VLOOKUP(Coin4!$A250,Correspondance!$G:$H,2,FALSE),Coin2!$A:$A,0),2)</f>
        <v>69.425000000000011</v>
      </c>
      <c r="C250">
        <f>INDEX(Coin2!$A:$D,MATCH(VLOOKUP(Coin4!$A250,Correspondance!$G:$H,2,FALSE),Coin2!$A:$A,0),3)</f>
        <v>96.960000000000008</v>
      </c>
      <c r="D250">
        <f>INDEX(Coin2!$A:$D,MATCH(VLOOKUP(Coin4!$A250,Correspondance!$G:$H,2,FALSE),Coin2!$A:$A,0),4)</f>
        <v>32.176137809243642</v>
      </c>
    </row>
    <row r="251" spans="1:4" x14ac:dyDescent="0.35">
      <c r="A251">
        <f t="shared" si="3"/>
        <v>1750</v>
      </c>
      <c r="B251">
        <f>2*$I$1-INDEX(Coin2!$A:$D,MATCH(VLOOKUP(Coin4!$A251,Correspondance!$G:$H,2,FALSE),Coin2!$A:$A,0),2)</f>
        <v>53.805000000000007</v>
      </c>
      <c r="C251">
        <f>INDEX(Coin2!$A:$D,MATCH(VLOOKUP(Coin4!$A251,Correspondance!$G:$H,2,FALSE),Coin2!$A:$A,0),3)</f>
        <v>97.31</v>
      </c>
      <c r="D251">
        <f>INDEX(Coin2!$A:$D,MATCH(VLOOKUP(Coin4!$A251,Correspondance!$G:$H,2,FALSE),Coin2!$A:$A,0),4)</f>
        <v>32.176137809243642</v>
      </c>
    </row>
    <row r="252" spans="1:4" x14ac:dyDescent="0.35">
      <c r="A252">
        <f t="shared" si="3"/>
        <v>1751</v>
      </c>
      <c r="B252">
        <f>2*$I$1-INDEX(Coin2!$A:$D,MATCH(VLOOKUP(Coin4!$A252,Correspondance!$G:$H,2,FALSE),Coin2!$A:$A,0),2)</f>
        <v>55.035000000000004</v>
      </c>
      <c r="C252">
        <f>INDEX(Coin2!$A:$D,MATCH(VLOOKUP(Coin4!$A252,Correspondance!$G:$H,2,FALSE),Coin2!$A:$A,0),3)</f>
        <v>97.31</v>
      </c>
      <c r="D252">
        <f>INDEX(Coin2!$A:$D,MATCH(VLOOKUP(Coin4!$A252,Correspondance!$G:$H,2,FALSE),Coin2!$A:$A,0),4)</f>
        <v>32.176137809243642</v>
      </c>
    </row>
    <row r="253" spans="1:4" x14ac:dyDescent="0.35">
      <c r="A253">
        <f t="shared" si="3"/>
        <v>1752</v>
      </c>
      <c r="B253">
        <f>2*$I$1-INDEX(Coin2!$A:$D,MATCH(VLOOKUP(Coin4!$A253,Correspondance!$G:$H,2,FALSE),Coin2!$A:$A,0),2)</f>
        <v>57.777948729810781</v>
      </c>
      <c r="C253">
        <f>INDEX(Coin2!$A:$D,MATCH(VLOOKUP(Coin4!$A253,Correspondance!$G:$H,2,FALSE),Coin2!$A:$A,0),3)</f>
        <v>97.31</v>
      </c>
      <c r="D253">
        <f>INDEX(Coin2!$A:$D,MATCH(VLOOKUP(Coin4!$A253,Correspondance!$G:$H,2,FALSE),Coin2!$A:$A,0),4)</f>
        <v>32.176137809243642</v>
      </c>
    </row>
    <row r="254" spans="1:4" x14ac:dyDescent="0.35">
      <c r="A254">
        <f t="shared" si="3"/>
        <v>1753</v>
      </c>
      <c r="B254">
        <f>2*$I$1-INDEX(Coin2!$A:$D,MATCH(VLOOKUP(Coin4!$A254,Correspondance!$G:$H,2,FALSE),Coin2!$A:$A,0),2)</f>
        <v>60.607500000000002</v>
      </c>
      <c r="C254">
        <f>INDEX(Coin2!$A:$D,MATCH(VLOOKUP(Coin4!$A254,Correspondance!$G:$H,2,FALSE),Coin2!$A:$A,0),3)</f>
        <v>97.31</v>
      </c>
      <c r="D254">
        <f>INDEX(Coin2!$A:$D,MATCH(VLOOKUP(Coin4!$A254,Correspondance!$G:$H,2,FALSE),Coin2!$A:$A,0),4)</f>
        <v>32.176137809243642</v>
      </c>
    </row>
    <row r="255" spans="1:4" x14ac:dyDescent="0.35">
      <c r="A255">
        <f t="shared" si="3"/>
        <v>1754</v>
      </c>
      <c r="B255">
        <f>2*$I$1-INDEX(Coin2!$A:$D,MATCH(VLOOKUP(Coin4!$A255,Correspondance!$G:$H,2,FALSE),Coin2!$A:$A,0),2)</f>
        <v>61.837500000000006</v>
      </c>
      <c r="C255">
        <f>INDEX(Coin2!$A:$D,MATCH(VLOOKUP(Coin4!$A255,Correspondance!$G:$H,2,FALSE),Coin2!$A:$A,0),3)</f>
        <v>97.31</v>
      </c>
      <c r="D255">
        <f>INDEX(Coin2!$A:$D,MATCH(VLOOKUP(Coin4!$A255,Correspondance!$G:$H,2,FALSE),Coin2!$A:$A,0),4)</f>
        <v>32.176137809243642</v>
      </c>
    </row>
    <row r="256" spans="1:4" x14ac:dyDescent="0.35">
      <c r="A256">
        <f t="shared" si="3"/>
        <v>1755</v>
      </c>
      <c r="B256">
        <f>2*$I$1-INDEX(Coin2!$A:$D,MATCH(VLOOKUP(Coin4!$A256,Correspondance!$G:$H,2,FALSE),Coin2!$A:$A,0),2)</f>
        <v>64.667051270189233</v>
      </c>
      <c r="C256">
        <f>INDEX(Coin2!$A:$D,MATCH(VLOOKUP(Coin4!$A256,Correspondance!$G:$H,2,FALSE),Coin2!$A:$A,0),3)</f>
        <v>97.31</v>
      </c>
      <c r="D256">
        <f>INDEX(Coin2!$A:$D,MATCH(VLOOKUP(Coin4!$A256,Correspondance!$G:$H,2,FALSE),Coin2!$A:$A,0),4)</f>
        <v>32.176137809243642</v>
      </c>
    </row>
    <row r="257" spans="1:4" x14ac:dyDescent="0.35">
      <c r="A257">
        <f t="shared" si="3"/>
        <v>1756</v>
      </c>
      <c r="B257">
        <f>2*$I$1-INDEX(Coin2!$A:$D,MATCH(VLOOKUP(Coin4!$A257,Correspondance!$G:$H,2,FALSE),Coin2!$A:$A,0),2)</f>
        <v>69.425000000000011</v>
      </c>
      <c r="C257">
        <f>INDEX(Coin2!$A:$D,MATCH(VLOOKUP(Coin4!$A257,Correspondance!$G:$H,2,FALSE),Coin2!$A:$A,0),3)</f>
        <v>97.31</v>
      </c>
      <c r="D257">
        <f>INDEX(Coin2!$A:$D,MATCH(VLOOKUP(Coin4!$A257,Correspondance!$G:$H,2,FALSE),Coin2!$A:$A,0),4)</f>
        <v>32.176137809243642</v>
      </c>
    </row>
    <row r="258" spans="1:4" x14ac:dyDescent="0.35">
      <c r="A258">
        <f t="shared" si="3"/>
        <v>1757</v>
      </c>
      <c r="B258">
        <f>2*$I$1-INDEX(Coin2!$A:$D,MATCH(VLOOKUP(Coin4!$A258,Correspondance!$G:$H,2,FALSE),Coin2!$A:$A,0),2)</f>
        <v>61.222500000000004</v>
      </c>
      <c r="C258">
        <f>INDEX(Coin2!$A:$D,MATCH(VLOOKUP(Coin4!$A258,Correspondance!$G:$H,2,FALSE),Coin2!$A:$A,0),3)</f>
        <v>64.099999999999994</v>
      </c>
      <c r="D258">
        <f>INDEX(Coin2!$A:$D,MATCH(VLOOKUP(Coin4!$A258,Correspondance!$G:$H,2,FALSE),Coin2!$A:$A,0),4)</f>
        <v>32.176137809243642</v>
      </c>
    </row>
    <row r="259" spans="1:4" x14ac:dyDescent="0.35">
      <c r="A259">
        <f t="shared" si="3"/>
        <v>1758</v>
      </c>
      <c r="B259">
        <f>2*$I$1-INDEX(Coin2!$A:$D,MATCH(VLOOKUP(Coin4!$A259,Correspondance!$G:$H,2,FALSE),Coin2!$A:$A,0),2)</f>
        <v>59.457000000000008</v>
      </c>
      <c r="C259">
        <f>INDEX(Coin2!$A:$D,MATCH(VLOOKUP(Coin4!$A259,Correspondance!$G:$H,2,FALSE),Coin2!$A:$A,0),3)</f>
        <v>80.800000000000011</v>
      </c>
      <c r="D259">
        <f>INDEX(Coin2!$A:$D,MATCH(VLOOKUP(Coin4!$A259,Correspondance!$G:$H,2,FALSE),Coin2!$A:$A,0),4)</f>
        <v>35.084206713865463</v>
      </c>
    </row>
    <row r="260" spans="1:4" x14ac:dyDescent="0.35">
      <c r="A260">
        <f t="shared" ref="A260:A320" si="4">A259+1</f>
        <v>1759</v>
      </c>
      <c r="B260">
        <f>2*$I$1-INDEX(Coin2!$A:$D,MATCH(VLOOKUP(Coin4!$A260,Correspondance!$G:$H,2,FALSE),Coin2!$A:$A,0),2)</f>
        <v>62.988000000000007</v>
      </c>
      <c r="C260">
        <f>INDEX(Coin2!$A:$D,MATCH(VLOOKUP(Coin4!$A260,Correspondance!$G:$H,2,FALSE),Coin2!$A:$A,0),3)</f>
        <v>80.800000000000011</v>
      </c>
      <c r="D260">
        <f>INDEX(Coin2!$A:$D,MATCH(VLOOKUP(Coin4!$A260,Correspondance!$G:$H,2,FALSE),Coin2!$A:$A,0),4)</f>
        <v>35.084206713865463</v>
      </c>
    </row>
    <row r="261" spans="1:4" x14ac:dyDescent="0.35">
      <c r="A261">
        <f t="shared" si="4"/>
        <v>1760</v>
      </c>
      <c r="B261">
        <f>2*$I$1-INDEX(Coin2!$A:$D,MATCH(VLOOKUP(Coin4!$A261,Correspondance!$G:$H,2,FALSE),Coin2!$A:$A,0),2)</f>
        <v>69.425000000000011</v>
      </c>
      <c r="C261">
        <f>INDEX(Coin2!$A:$D,MATCH(VLOOKUP(Coin4!$A261,Correspondance!$G:$H,2,FALSE),Coin2!$A:$A,0),3)</f>
        <v>80.800000000000011</v>
      </c>
      <c r="D261">
        <f>INDEX(Coin2!$A:$D,MATCH(VLOOKUP(Coin4!$A261,Correspondance!$G:$H,2,FALSE),Coin2!$A:$A,0),4)</f>
        <v>35.084206713865463</v>
      </c>
    </row>
    <row r="262" spans="1:4" x14ac:dyDescent="0.35">
      <c r="A262">
        <f t="shared" si="4"/>
        <v>1761</v>
      </c>
      <c r="B262">
        <f>2*$I$1-INDEX(Coin2!$A:$D,MATCH(VLOOKUP(Coin4!$A262,Correspondance!$G:$H,2,FALSE),Coin2!$A:$A,0),2)</f>
        <v>69.425000000000011</v>
      </c>
      <c r="C262">
        <f>INDEX(Coin2!$A:$D,MATCH(VLOOKUP(Coin4!$A262,Correspondance!$G:$H,2,FALSE),Coin2!$A:$A,0),3)</f>
        <v>83.493000000000009</v>
      </c>
      <c r="D262">
        <f>INDEX(Coin2!$A:$D,MATCH(VLOOKUP(Coin4!$A262,Correspondance!$G:$H,2,FALSE),Coin2!$A:$A,0),4)</f>
        <v>35.084206713865463</v>
      </c>
    </row>
    <row r="263" spans="1:4" x14ac:dyDescent="0.35">
      <c r="A263">
        <f t="shared" si="4"/>
        <v>1762</v>
      </c>
      <c r="B263">
        <f>2*$I$1-INDEX(Coin2!$A:$D,MATCH(VLOOKUP(Coin4!$A263,Correspondance!$G:$H,2,FALSE),Coin2!$A:$A,0),2)</f>
        <v>69.425000000000011</v>
      </c>
      <c r="C263">
        <f>INDEX(Coin2!$A:$D,MATCH(VLOOKUP(Coin4!$A263,Correspondance!$G:$H,2,FALSE),Coin2!$A:$A,0),3)</f>
        <v>86.187000000000012</v>
      </c>
      <c r="D263">
        <f>INDEX(Coin2!$A:$D,MATCH(VLOOKUP(Coin4!$A263,Correspondance!$G:$H,2,FALSE),Coin2!$A:$A,0),4)</f>
        <v>35.084206713865463</v>
      </c>
    </row>
    <row r="264" spans="1:4" x14ac:dyDescent="0.35">
      <c r="A264">
        <f t="shared" si="4"/>
        <v>1763</v>
      </c>
      <c r="B264">
        <f>2*$I$1-INDEX(Coin2!$A:$D,MATCH(VLOOKUP(Coin4!$A264,Correspondance!$G:$H,2,FALSE),Coin2!$A:$A,0),2)</f>
        <v>59.457000000000008</v>
      </c>
      <c r="C264">
        <f>INDEX(Coin2!$A:$D,MATCH(VLOOKUP(Coin4!$A264,Correspondance!$G:$H,2,FALSE),Coin2!$A:$A,0),3)</f>
        <v>88.88000000000001</v>
      </c>
      <c r="D264">
        <f>INDEX(Coin2!$A:$D,MATCH(VLOOKUP(Coin4!$A264,Correspondance!$G:$H,2,FALSE),Coin2!$A:$A,0),4)</f>
        <v>35.084206713865463</v>
      </c>
    </row>
    <row r="265" spans="1:4" x14ac:dyDescent="0.35">
      <c r="A265">
        <f t="shared" si="4"/>
        <v>1764</v>
      </c>
      <c r="B265">
        <f>2*$I$1-INDEX(Coin2!$A:$D,MATCH(VLOOKUP(Coin4!$A265,Correspondance!$G:$H,2,FALSE),Coin2!$A:$A,0),2)</f>
        <v>62.988000000000007</v>
      </c>
      <c r="C265">
        <f>INDEX(Coin2!$A:$D,MATCH(VLOOKUP(Coin4!$A265,Correspondance!$G:$H,2,FALSE),Coin2!$A:$A,0),3)</f>
        <v>88.88000000000001</v>
      </c>
      <c r="D265">
        <f>INDEX(Coin2!$A:$D,MATCH(VLOOKUP(Coin4!$A265,Correspondance!$G:$H,2,FALSE),Coin2!$A:$A,0),4)</f>
        <v>35.084206713865463</v>
      </c>
    </row>
    <row r="266" spans="1:4" x14ac:dyDescent="0.35">
      <c r="A266">
        <f t="shared" si="4"/>
        <v>1765</v>
      </c>
      <c r="B266">
        <f>2*$I$1-INDEX(Coin2!$A:$D,MATCH(VLOOKUP(Coin4!$A266,Correspondance!$G:$H,2,FALSE),Coin2!$A:$A,0),2)</f>
        <v>69.425000000000011</v>
      </c>
      <c r="C266">
        <f>INDEX(Coin2!$A:$D,MATCH(VLOOKUP(Coin4!$A266,Correspondance!$G:$H,2,FALSE),Coin2!$A:$A,0),3)</f>
        <v>88.88000000000001</v>
      </c>
      <c r="D266">
        <f>INDEX(Coin2!$A:$D,MATCH(VLOOKUP(Coin4!$A266,Correspondance!$G:$H,2,FALSE),Coin2!$A:$A,0),4)</f>
        <v>35.084206713865463</v>
      </c>
    </row>
    <row r="267" spans="1:4" x14ac:dyDescent="0.35">
      <c r="A267">
        <f t="shared" si="4"/>
        <v>1766</v>
      </c>
      <c r="B267">
        <f>2*$I$1-INDEX(Coin2!$A:$D,MATCH(VLOOKUP(Coin4!$A267,Correspondance!$G:$H,2,FALSE),Coin2!$A:$A,0),2)</f>
        <v>69.425000000000011</v>
      </c>
      <c r="C267">
        <f>INDEX(Coin2!$A:$D,MATCH(VLOOKUP(Coin4!$A267,Correspondance!$G:$H,2,FALSE),Coin2!$A:$A,0),3)</f>
        <v>91.573000000000008</v>
      </c>
      <c r="D267">
        <f>INDEX(Coin2!$A:$D,MATCH(VLOOKUP(Coin4!$A267,Correspondance!$G:$H,2,FALSE),Coin2!$A:$A,0),4)</f>
        <v>35.084206713865463</v>
      </c>
    </row>
    <row r="268" spans="1:4" x14ac:dyDescent="0.35">
      <c r="A268">
        <f t="shared" si="4"/>
        <v>1767</v>
      </c>
      <c r="B268">
        <f>2*$I$1-INDEX(Coin2!$A:$D,MATCH(VLOOKUP(Coin4!$A268,Correspondance!$G:$H,2,FALSE),Coin2!$A:$A,0),2)</f>
        <v>69.425000000000011</v>
      </c>
      <c r="C268">
        <f>INDEX(Coin2!$A:$D,MATCH(VLOOKUP(Coin4!$A268,Correspondance!$G:$H,2,FALSE),Coin2!$A:$A,0),3)</f>
        <v>94.26700000000001</v>
      </c>
      <c r="D268">
        <f>INDEX(Coin2!$A:$D,MATCH(VLOOKUP(Coin4!$A268,Correspondance!$G:$H,2,FALSE),Coin2!$A:$A,0),4)</f>
        <v>35.084206713865463</v>
      </c>
    </row>
    <row r="269" spans="1:4" x14ac:dyDescent="0.35">
      <c r="A269">
        <f t="shared" si="4"/>
        <v>1768</v>
      </c>
      <c r="B269">
        <f>2*$I$1-INDEX(Coin2!$A:$D,MATCH(VLOOKUP(Coin4!$A269,Correspondance!$G:$H,2,FALSE),Coin2!$A:$A,0),2)</f>
        <v>59.457000000000008</v>
      </c>
      <c r="C269">
        <f>INDEX(Coin2!$A:$D,MATCH(VLOOKUP(Coin4!$A269,Correspondance!$G:$H,2,FALSE),Coin2!$A:$A,0),3)</f>
        <v>96.960000000000008</v>
      </c>
      <c r="D269">
        <f>INDEX(Coin2!$A:$D,MATCH(VLOOKUP(Coin4!$A269,Correspondance!$G:$H,2,FALSE),Coin2!$A:$A,0),4)</f>
        <v>35.084206713865463</v>
      </c>
    </row>
    <row r="270" spans="1:4" x14ac:dyDescent="0.35">
      <c r="A270">
        <f t="shared" si="4"/>
        <v>1769</v>
      </c>
      <c r="B270">
        <f>2*$I$1-INDEX(Coin2!$A:$D,MATCH(VLOOKUP(Coin4!$A270,Correspondance!$G:$H,2,FALSE),Coin2!$A:$A,0),2)</f>
        <v>62.988000000000007</v>
      </c>
      <c r="C270">
        <f>INDEX(Coin2!$A:$D,MATCH(VLOOKUP(Coin4!$A270,Correspondance!$G:$H,2,FALSE),Coin2!$A:$A,0),3)</f>
        <v>96.960000000000008</v>
      </c>
      <c r="D270">
        <f>INDEX(Coin2!$A:$D,MATCH(VLOOKUP(Coin4!$A270,Correspondance!$G:$H,2,FALSE),Coin2!$A:$A,0),4)</f>
        <v>35.084206713865463</v>
      </c>
    </row>
    <row r="271" spans="1:4" x14ac:dyDescent="0.35">
      <c r="A271">
        <f t="shared" si="4"/>
        <v>1770</v>
      </c>
      <c r="B271">
        <f>2*$I$1-INDEX(Coin2!$A:$D,MATCH(VLOOKUP(Coin4!$A271,Correspondance!$G:$H,2,FALSE),Coin2!$A:$A,0),2)</f>
        <v>69.425000000000011</v>
      </c>
      <c r="C271">
        <f>INDEX(Coin2!$A:$D,MATCH(VLOOKUP(Coin4!$A271,Correspondance!$G:$H,2,FALSE),Coin2!$A:$A,0),3)</f>
        <v>96.960000000000008</v>
      </c>
      <c r="D271">
        <f>INDEX(Coin2!$A:$D,MATCH(VLOOKUP(Coin4!$A271,Correspondance!$G:$H,2,FALSE),Coin2!$A:$A,0),4)</f>
        <v>35.084206713865463</v>
      </c>
    </row>
    <row r="272" spans="1:4" x14ac:dyDescent="0.35">
      <c r="A272">
        <f t="shared" si="4"/>
        <v>1771</v>
      </c>
      <c r="B272">
        <f>2*$I$1-INDEX(Coin2!$A:$D,MATCH(VLOOKUP(Coin4!$A272,Correspondance!$G:$H,2,FALSE),Coin2!$A:$A,0),2)</f>
        <v>51.06205127018923</v>
      </c>
      <c r="C272">
        <f>INDEX(Coin2!$A:$D,MATCH(VLOOKUP(Coin4!$A272,Correspondance!$G:$H,2,FALSE),Coin2!$A:$A,0),3)</f>
        <v>97.31</v>
      </c>
      <c r="D272">
        <f>INDEX(Coin2!$A:$D,MATCH(VLOOKUP(Coin4!$A272,Correspondance!$G:$H,2,FALSE),Coin2!$A:$A,0),4)</f>
        <v>35.084206713865463</v>
      </c>
    </row>
    <row r="273" spans="1:4" x14ac:dyDescent="0.35">
      <c r="A273">
        <f t="shared" si="4"/>
        <v>1772</v>
      </c>
      <c r="B273">
        <f>2*$I$1-INDEX(Coin2!$A:$D,MATCH(VLOOKUP(Coin4!$A273,Correspondance!$G:$H,2,FALSE),Coin2!$A:$A,0),2)</f>
        <v>57.777948729810781</v>
      </c>
      <c r="C273">
        <f>INDEX(Coin2!$A:$D,MATCH(VLOOKUP(Coin4!$A273,Correspondance!$G:$H,2,FALSE),Coin2!$A:$A,0),3)</f>
        <v>97.31</v>
      </c>
      <c r="D273">
        <f>INDEX(Coin2!$A:$D,MATCH(VLOOKUP(Coin4!$A273,Correspondance!$G:$H,2,FALSE),Coin2!$A:$A,0),4)</f>
        <v>35.084206713865463</v>
      </c>
    </row>
    <row r="274" spans="1:4" x14ac:dyDescent="0.35">
      <c r="A274">
        <f t="shared" si="4"/>
        <v>1773</v>
      </c>
      <c r="B274">
        <f>2*$I$1-INDEX(Coin2!$A:$D,MATCH(VLOOKUP(Coin4!$A274,Correspondance!$G:$H,2,FALSE),Coin2!$A:$A,0),2)</f>
        <v>59.457000000000008</v>
      </c>
      <c r="C274">
        <f>INDEX(Coin2!$A:$D,MATCH(VLOOKUP(Coin4!$A274,Correspondance!$G:$H,2,FALSE),Coin2!$A:$A,0),3)</f>
        <v>97.31</v>
      </c>
      <c r="D274">
        <f>INDEX(Coin2!$A:$D,MATCH(VLOOKUP(Coin4!$A274,Correspondance!$G:$H,2,FALSE),Coin2!$A:$A,0),4)</f>
        <v>35.084206713865463</v>
      </c>
    </row>
    <row r="275" spans="1:4" x14ac:dyDescent="0.35">
      <c r="A275">
        <f t="shared" si="4"/>
        <v>1774</v>
      </c>
      <c r="B275">
        <f>2*$I$1-INDEX(Coin2!$A:$D,MATCH(VLOOKUP(Coin4!$A275,Correspondance!$G:$H,2,FALSE),Coin2!$A:$A,0),2)</f>
        <v>62.988000000000007</v>
      </c>
      <c r="C275">
        <f>INDEX(Coin2!$A:$D,MATCH(VLOOKUP(Coin4!$A275,Correspondance!$G:$H,2,FALSE),Coin2!$A:$A,0),3)</f>
        <v>97.31</v>
      </c>
      <c r="D275">
        <f>INDEX(Coin2!$A:$D,MATCH(VLOOKUP(Coin4!$A275,Correspondance!$G:$H,2,FALSE),Coin2!$A:$A,0),4)</f>
        <v>35.084206713865463</v>
      </c>
    </row>
    <row r="276" spans="1:4" x14ac:dyDescent="0.35">
      <c r="A276">
        <f t="shared" si="4"/>
        <v>1775</v>
      </c>
      <c r="B276">
        <f>2*$I$1-INDEX(Coin2!$A:$D,MATCH(VLOOKUP(Coin4!$A276,Correspondance!$G:$H,2,FALSE),Coin2!$A:$A,0),2)</f>
        <v>64.667051270189233</v>
      </c>
      <c r="C276">
        <f>INDEX(Coin2!$A:$D,MATCH(VLOOKUP(Coin4!$A276,Correspondance!$G:$H,2,FALSE),Coin2!$A:$A,0),3)</f>
        <v>97.31</v>
      </c>
      <c r="D276">
        <f>INDEX(Coin2!$A:$D,MATCH(VLOOKUP(Coin4!$A276,Correspondance!$G:$H,2,FALSE),Coin2!$A:$A,0),4)</f>
        <v>35.084206713865463</v>
      </c>
    </row>
    <row r="277" spans="1:4" x14ac:dyDescent="0.35">
      <c r="A277">
        <f t="shared" si="4"/>
        <v>1776</v>
      </c>
      <c r="B277">
        <f>2*$I$1-INDEX(Coin2!$A:$D,MATCH(VLOOKUP(Coin4!$A277,Correspondance!$G:$H,2,FALSE),Coin2!$A:$A,0),2)</f>
        <v>69.425000000000011</v>
      </c>
      <c r="C277">
        <f>INDEX(Coin2!$A:$D,MATCH(VLOOKUP(Coin4!$A277,Correspondance!$G:$H,2,FALSE),Coin2!$A:$A,0),3)</f>
        <v>97.31</v>
      </c>
      <c r="D277">
        <f>INDEX(Coin2!$A:$D,MATCH(VLOOKUP(Coin4!$A277,Correspondance!$G:$H,2,FALSE),Coin2!$A:$A,0),4)</f>
        <v>35.084206713865463</v>
      </c>
    </row>
    <row r="278" spans="1:4" x14ac:dyDescent="0.35">
      <c r="A278">
        <f t="shared" si="4"/>
        <v>1777</v>
      </c>
      <c r="B278">
        <f>2*$I$1-INDEX(Coin2!$A:$D,MATCH(VLOOKUP(Coin4!$A278,Correspondance!$G:$H,2,FALSE),Coin2!$A:$A,0),2)</f>
        <v>61.136000000000003</v>
      </c>
      <c r="C278">
        <f>INDEX(Coin2!$A:$D,MATCH(VLOOKUP(Coin4!$A278,Correspondance!$G:$H,2,FALSE),Coin2!$A:$A,0),3)</f>
        <v>80.800000000000011</v>
      </c>
      <c r="D278">
        <f>INDEX(Coin2!$A:$D,MATCH(VLOOKUP(Coin4!$A278,Correspondance!$G:$H,2,FALSE),Coin2!$A:$A,0),4)</f>
        <v>37.992275618487284</v>
      </c>
    </row>
    <row r="279" spans="1:4" x14ac:dyDescent="0.35">
      <c r="A279">
        <f t="shared" si="4"/>
        <v>1778</v>
      </c>
      <c r="B279">
        <f>2*$I$1-INDEX(Coin2!$A:$D,MATCH(VLOOKUP(Coin4!$A279,Correspondance!$G:$H,2,FALSE),Coin2!$A:$A,0),2)</f>
        <v>61.309000000000005</v>
      </c>
      <c r="C279">
        <f>INDEX(Coin2!$A:$D,MATCH(VLOOKUP(Coin4!$A279,Correspondance!$G:$H,2,FALSE),Coin2!$A:$A,0),3)</f>
        <v>80.800000000000011</v>
      </c>
      <c r="D279">
        <f>INDEX(Coin2!$A:$D,MATCH(VLOOKUP(Coin4!$A279,Correspondance!$G:$H,2,FALSE),Coin2!$A:$A,0),4)</f>
        <v>37.992275618487284</v>
      </c>
    </row>
    <row r="280" spans="1:4" x14ac:dyDescent="0.35">
      <c r="A280">
        <f t="shared" si="4"/>
        <v>1779</v>
      </c>
      <c r="B280">
        <f>2*$I$1-INDEX(Coin2!$A:$D,MATCH(VLOOKUP(Coin4!$A280,Correspondance!$G:$H,2,FALSE),Coin2!$A:$A,0),2)</f>
        <v>69.425000000000011</v>
      </c>
      <c r="C280">
        <f>INDEX(Coin2!$A:$D,MATCH(VLOOKUP(Coin4!$A280,Correspondance!$G:$H,2,FALSE),Coin2!$A:$A,0),3)</f>
        <v>80.800000000000011</v>
      </c>
      <c r="D280">
        <f>INDEX(Coin2!$A:$D,MATCH(VLOOKUP(Coin4!$A280,Correspondance!$G:$H,2,FALSE),Coin2!$A:$A,0),4)</f>
        <v>37.992275618487284</v>
      </c>
    </row>
    <row r="281" spans="1:4" x14ac:dyDescent="0.35">
      <c r="A281">
        <f t="shared" si="4"/>
        <v>1780</v>
      </c>
      <c r="B281">
        <f>2*$I$1-INDEX(Coin2!$A:$D,MATCH(VLOOKUP(Coin4!$A281,Correspondance!$G:$H,2,FALSE),Coin2!$A:$A,0),2)</f>
        <v>69.425000000000011</v>
      </c>
      <c r="C281">
        <f>INDEX(Coin2!$A:$D,MATCH(VLOOKUP(Coin4!$A281,Correspondance!$G:$H,2,FALSE),Coin2!$A:$A,0),3)</f>
        <v>83.493000000000009</v>
      </c>
      <c r="D281">
        <f>INDEX(Coin2!$A:$D,MATCH(VLOOKUP(Coin4!$A281,Correspondance!$G:$H,2,FALSE),Coin2!$A:$A,0),4)</f>
        <v>37.992275618487284</v>
      </c>
    </row>
    <row r="282" spans="1:4" x14ac:dyDescent="0.35">
      <c r="A282">
        <f t="shared" si="4"/>
        <v>1781</v>
      </c>
      <c r="B282">
        <f>2*$I$1-INDEX(Coin2!$A:$D,MATCH(VLOOKUP(Coin4!$A282,Correspondance!$G:$H,2,FALSE),Coin2!$A:$A,0),2)</f>
        <v>69.425000000000011</v>
      </c>
      <c r="C282">
        <f>INDEX(Coin2!$A:$D,MATCH(VLOOKUP(Coin4!$A282,Correspondance!$G:$H,2,FALSE),Coin2!$A:$A,0),3)</f>
        <v>86.187000000000012</v>
      </c>
      <c r="D282">
        <f>INDEX(Coin2!$A:$D,MATCH(VLOOKUP(Coin4!$A282,Correspondance!$G:$H,2,FALSE),Coin2!$A:$A,0),4)</f>
        <v>37.992275618487284</v>
      </c>
    </row>
    <row r="283" spans="1:4" x14ac:dyDescent="0.35">
      <c r="A283">
        <f t="shared" si="4"/>
        <v>1782</v>
      </c>
      <c r="B283">
        <f>2*$I$1-INDEX(Coin2!$A:$D,MATCH(VLOOKUP(Coin4!$A283,Correspondance!$G:$H,2,FALSE),Coin2!$A:$A,0),2)</f>
        <v>61.136000000000003</v>
      </c>
      <c r="C283">
        <f>INDEX(Coin2!$A:$D,MATCH(VLOOKUP(Coin4!$A283,Correspondance!$G:$H,2,FALSE),Coin2!$A:$A,0),3)</f>
        <v>88.88000000000001</v>
      </c>
      <c r="D283">
        <f>INDEX(Coin2!$A:$D,MATCH(VLOOKUP(Coin4!$A283,Correspondance!$G:$H,2,FALSE),Coin2!$A:$A,0),4)</f>
        <v>37.992275618487284</v>
      </c>
    </row>
    <row r="284" spans="1:4" x14ac:dyDescent="0.35">
      <c r="A284">
        <f t="shared" si="4"/>
        <v>1783</v>
      </c>
      <c r="B284">
        <f>2*$I$1-INDEX(Coin2!$A:$D,MATCH(VLOOKUP(Coin4!$A284,Correspondance!$G:$H,2,FALSE),Coin2!$A:$A,0),2)</f>
        <v>61.309000000000005</v>
      </c>
      <c r="C284">
        <f>INDEX(Coin2!$A:$D,MATCH(VLOOKUP(Coin4!$A284,Correspondance!$G:$H,2,FALSE),Coin2!$A:$A,0),3)</f>
        <v>88.88000000000001</v>
      </c>
      <c r="D284">
        <f>INDEX(Coin2!$A:$D,MATCH(VLOOKUP(Coin4!$A284,Correspondance!$G:$H,2,FALSE),Coin2!$A:$A,0),4)</f>
        <v>37.992275618487284</v>
      </c>
    </row>
    <row r="285" spans="1:4" x14ac:dyDescent="0.35">
      <c r="A285">
        <f t="shared" si="4"/>
        <v>1784</v>
      </c>
      <c r="B285">
        <f>2*$I$1-INDEX(Coin2!$A:$D,MATCH(VLOOKUP(Coin4!$A285,Correspondance!$G:$H,2,FALSE),Coin2!$A:$A,0),2)</f>
        <v>69.425000000000011</v>
      </c>
      <c r="C285">
        <f>INDEX(Coin2!$A:$D,MATCH(VLOOKUP(Coin4!$A285,Correspondance!$G:$H,2,FALSE),Coin2!$A:$A,0),3)</f>
        <v>88.88000000000001</v>
      </c>
      <c r="D285">
        <f>INDEX(Coin2!$A:$D,MATCH(VLOOKUP(Coin4!$A285,Correspondance!$G:$H,2,FALSE),Coin2!$A:$A,0),4)</f>
        <v>37.992275618487284</v>
      </c>
    </row>
    <row r="286" spans="1:4" x14ac:dyDescent="0.35">
      <c r="A286">
        <f t="shared" si="4"/>
        <v>1785</v>
      </c>
      <c r="B286">
        <f>2*$I$1-INDEX(Coin2!$A:$D,MATCH(VLOOKUP(Coin4!$A286,Correspondance!$G:$H,2,FALSE),Coin2!$A:$A,0),2)</f>
        <v>69.425000000000011</v>
      </c>
      <c r="C286">
        <f>INDEX(Coin2!$A:$D,MATCH(VLOOKUP(Coin4!$A286,Correspondance!$G:$H,2,FALSE),Coin2!$A:$A,0),3)</f>
        <v>91.573000000000008</v>
      </c>
      <c r="D286">
        <f>INDEX(Coin2!$A:$D,MATCH(VLOOKUP(Coin4!$A286,Correspondance!$G:$H,2,FALSE),Coin2!$A:$A,0),4)</f>
        <v>37.992275618487284</v>
      </c>
    </row>
    <row r="287" spans="1:4" x14ac:dyDescent="0.35">
      <c r="A287">
        <f t="shared" si="4"/>
        <v>1786</v>
      </c>
      <c r="B287">
        <f>2*$I$1-INDEX(Coin2!$A:$D,MATCH(VLOOKUP(Coin4!$A287,Correspondance!$G:$H,2,FALSE),Coin2!$A:$A,0),2)</f>
        <v>69.425000000000011</v>
      </c>
      <c r="C287">
        <f>INDEX(Coin2!$A:$D,MATCH(VLOOKUP(Coin4!$A287,Correspondance!$G:$H,2,FALSE),Coin2!$A:$A,0),3)</f>
        <v>94.26700000000001</v>
      </c>
      <c r="D287">
        <f>INDEX(Coin2!$A:$D,MATCH(VLOOKUP(Coin4!$A287,Correspondance!$G:$H,2,FALSE),Coin2!$A:$A,0),4)</f>
        <v>37.992275618487284</v>
      </c>
    </row>
    <row r="288" spans="1:4" x14ac:dyDescent="0.35">
      <c r="A288">
        <f t="shared" si="4"/>
        <v>1787</v>
      </c>
      <c r="B288">
        <f>2*$I$1-INDEX(Coin2!$A:$D,MATCH(VLOOKUP(Coin4!$A288,Correspondance!$G:$H,2,FALSE),Coin2!$A:$A,0),2)</f>
        <v>61.136000000000003</v>
      </c>
      <c r="C288">
        <f>INDEX(Coin2!$A:$D,MATCH(VLOOKUP(Coin4!$A288,Correspondance!$G:$H,2,FALSE),Coin2!$A:$A,0),3)</f>
        <v>96.960000000000008</v>
      </c>
      <c r="D288">
        <f>INDEX(Coin2!$A:$D,MATCH(VLOOKUP(Coin4!$A288,Correspondance!$G:$H,2,FALSE),Coin2!$A:$A,0),4)</f>
        <v>37.992275618487284</v>
      </c>
    </row>
    <row r="289" spans="1:4" x14ac:dyDescent="0.35">
      <c r="A289">
        <f t="shared" si="4"/>
        <v>1788</v>
      </c>
      <c r="B289">
        <f>2*$I$1-INDEX(Coin2!$A:$D,MATCH(VLOOKUP(Coin4!$A289,Correspondance!$G:$H,2,FALSE),Coin2!$A:$A,0),2)</f>
        <v>61.309000000000005</v>
      </c>
      <c r="C289">
        <f>INDEX(Coin2!$A:$D,MATCH(VLOOKUP(Coin4!$A289,Correspondance!$G:$H,2,FALSE),Coin2!$A:$A,0),3)</f>
        <v>96.960000000000008</v>
      </c>
      <c r="D289">
        <f>INDEX(Coin2!$A:$D,MATCH(VLOOKUP(Coin4!$A289,Correspondance!$G:$H,2,FALSE),Coin2!$A:$A,0),4)</f>
        <v>37.992275618487284</v>
      </c>
    </row>
    <row r="290" spans="1:4" x14ac:dyDescent="0.35">
      <c r="A290">
        <f t="shared" si="4"/>
        <v>1789</v>
      </c>
      <c r="B290">
        <f>2*$I$1-INDEX(Coin2!$A:$D,MATCH(VLOOKUP(Coin4!$A290,Correspondance!$G:$H,2,FALSE),Coin2!$A:$A,0),2)</f>
        <v>69.425000000000011</v>
      </c>
      <c r="C290">
        <f>INDEX(Coin2!$A:$D,MATCH(VLOOKUP(Coin4!$A290,Correspondance!$G:$H,2,FALSE),Coin2!$A:$A,0),3)</f>
        <v>96.960000000000008</v>
      </c>
      <c r="D290">
        <f>INDEX(Coin2!$A:$D,MATCH(VLOOKUP(Coin4!$A290,Correspondance!$G:$H,2,FALSE),Coin2!$A:$A,0),4)</f>
        <v>37.992275618487284</v>
      </c>
    </row>
    <row r="291" spans="1:4" x14ac:dyDescent="0.35">
      <c r="A291">
        <f t="shared" si="4"/>
        <v>1790</v>
      </c>
      <c r="B291">
        <f>2*$I$1-INDEX(Coin2!$A:$D,MATCH(VLOOKUP(Coin4!$A291,Correspondance!$G:$H,2,FALSE),Coin2!$A:$A,0),2)</f>
        <v>51.06205127018923</v>
      </c>
      <c r="C291">
        <f>INDEX(Coin2!$A:$D,MATCH(VLOOKUP(Coin4!$A291,Correspondance!$G:$H,2,FALSE),Coin2!$A:$A,0),3)</f>
        <v>97.31</v>
      </c>
      <c r="D291">
        <f>INDEX(Coin2!$A:$D,MATCH(VLOOKUP(Coin4!$A291,Correspondance!$G:$H,2,FALSE),Coin2!$A:$A,0),4)</f>
        <v>37.992275618487284</v>
      </c>
    </row>
    <row r="292" spans="1:4" x14ac:dyDescent="0.35">
      <c r="A292">
        <f t="shared" si="4"/>
        <v>1791</v>
      </c>
      <c r="B292">
        <f>2*$I$1-INDEX(Coin2!$A:$D,MATCH(VLOOKUP(Coin4!$A292,Correspondance!$G:$H,2,FALSE),Coin2!$A:$A,0),2)</f>
        <v>57.777948729810781</v>
      </c>
      <c r="C292">
        <f>INDEX(Coin2!$A:$D,MATCH(VLOOKUP(Coin4!$A292,Correspondance!$G:$H,2,FALSE),Coin2!$A:$A,0),3)</f>
        <v>97.31</v>
      </c>
      <c r="D292">
        <f>INDEX(Coin2!$A:$D,MATCH(VLOOKUP(Coin4!$A292,Correspondance!$G:$H,2,FALSE),Coin2!$A:$A,0),4)</f>
        <v>37.992275618487284</v>
      </c>
    </row>
    <row r="293" spans="1:4" x14ac:dyDescent="0.35">
      <c r="A293">
        <f t="shared" si="4"/>
        <v>1792</v>
      </c>
      <c r="B293">
        <f>2*$I$1-INDEX(Coin2!$A:$D,MATCH(VLOOKUP(Coin4!$A293,Correspondance!$G:$H,2,FALSE),Coin2!$A:$A,0),2)</f>
        <v>61.136000000000003</v>
      </c>
      <c r="C293">
        <f>INDEX(Coin2!$A:$D,MATCH(VLOOKUP(Coin4!$A293,Correspondance!$G:$H,2,FALSE),Coin2!$A:$A,0),3)</f>
        <v>97.31</v>
      </c>
      <c r="D293">
        <f>INDEX(Coin2!$A:$D,MATCH(VLOOKUP(Coin4!$A293,Correspondance!$G:$H,2,FALSE),Coin2!$A:$A,0),4)</f>
        <v>37.992275618487284</v>
      </c>
    </row>
    <row r="294" spans="1:4" x14ac:dyDescent="0.35">
      <c r="A294">
        <f t="shared" si="4"/>
        <v>1793</v>
      </c>
      <c r="B294">
        <f>2*$I$1-INDEX(Coin2!$A:$D,MATCH(VLOOKUP(Coin4!$A294,Correspondance!$G:$H,2,FALSE),Coin2!$A:$A,0),2)</f>
        <v>61.309000000000005</v>
      </c>
      <c r="C294">
        <f>INDEX(Coin2!$A:$D,MATCH(VLOOKUP(Coin4!$A294,Correspondance!$G:$H,2,FALSE),Coin2!$A:$A,0),3)</f>
        <v>97.31</v>
      </c>
      <c r="D294">
        <f>INDEX(Coin2!$A:$D,MATCH(VLOOKUP(Coin4!$A294,Correspondance!$G:$H,2,FALSE),Coin2!$A:$A,0),4)</f>
        <v>37.992275618487284</v>
      </c>
    </row>
    <row r="295" spans="1:4" x14ac:dyDescent="0.35">
      <c r="A295">
        <f t="shared" si="4"/>
        <v>1794</v>
      </c>
      <c r="B295">
        <f>2*$I$1-INDEX(Coin2!$A:$D,MATCH(VLOOKUP(Coin4!$A295,Correspondance!$G:$H,2,FALSE),Coin2!$A:$A,0),2)</f>
        <v>64.667051270189233</v>
      </c>
      <c r="C295">
        <f>INDEX(Coin2!$A:$D,MATCH(VLOOKUP(Coin4!$A295,Correspondance!$G:$H,2,FALSE),Coin2!$A:$A,0),3)</f>
        <v>97.31</v>
      </c>
      <c r="D295">
        <f>INDEX(Coin2!$A:$D,MATCH(VLOOKUP(Coin4!$A295,Correspondance!$G:$H,2,FALSE),Coin2!$A:$A,0),4)</f>
        <v>37.992275618487284</v>
      </c>
    </row>
    <row r="296" spans="1:4" x14ac:dyDescent="0.35">
      <c r="A296">
        <f t="shared" si="4"/>
        <v>1795</v>
      </c>
      <c r="B296">
        <f>2*$I$1-INDEX(Coin2!$A:$D,MATCH(VLOOKUP(Coin4!$A296,Correspondance!$G:$H,2,FALSE),Coin2!$A:$A,0),2)</f>
        <v>69.425000000000011</v>
      </c>
      <c r="C296">
        <f>INDEX(Coin2!$A:$D,MATCH(VLOOKUP(Coin4!$A296,Correspondance!$G:$H,2,FALSE),Coin2!$A:$A,0),3)</f>
        <v>97.31</v>
      </c>
      <c r="D296">
        <f>INDEX(Coin2!$A:$D,MATCH(VLOOKUP(Coin4!$A296,Correspondance!$G:$H,2,FALSE),Coin2!$A:$A,0),4)</f>
        <v>37.992275618487284</v>
      </c>
    </row>
    <row r="297" spans="1:4" x14ac:dyDescent="0.35">
      <c r="A297">
        <f t="shared" si="4"/>
        <v>1796</v>
      </c>
      <c r="B297">
        <f>2*$I$1-INDEX(Coin2!$A:$D,MATCH(VLOOKUP(Coin4!$A297,Correspondance!$G:$H,2,FALSE),Coin2!$A:$A,0),2)</f>
        <v>61.222500000000004</v>
      </c>
      <c r="C297">
        <f>INDEX(Coin2!$A:$D,MATCH(VLOOKUP(Coin4!$A297,Correspondance!$G:$H,2,FALSE),Coin2!$A:$A,0),3)</f>
        <v>80.800000000000011</v>
      </c>
      <c r="D297">
        <f>INDEX(Coin2!$A:$D,MATCH(VLOOKUP(Coin4!$A297,Correspondance!$G:$H,2,FALSE),Coin2!$A:$A,0),4)</f>
        <v>37.992275618487284</v>
      </c>
    </row>
    <row r="298" spans="1:4" x14ac:dyDescent="0.35">
      <c r="A298">
        <f t="shared" si="4"/>
        <v>1797</v>
      </c>
      <c r="B298">
        <f>2*$I$1-INDEX(Coin2!$A:$D,MATCH(VLOOKUP(Coin4!$A298,Correspondance!$G:$H,2,FALSE),Coin2!$A:$A,0),2)</f>
        <v>61.222500000000004</v>
      </c>
      <c r="C298">
        <f>INDEX(Coin2!$A:$D,MATCH(VLOOKUP(Coin4!$A298,Correspondance!$G:$H,2,FALSE),Coin2!$A:$A,0),3)</f>
        <v>84.84</v>
      </c>
      <c r="D298">
        <f>INDEX(Coin2!$A:$D,MATCH(VLOOKUP(Coin4!$A298,Correspondance!$G:$H,2,FALSE),Coin2!$A:$A,0),4)</f>
        <v>37.992275618487284</v>
      </c>
    </row>
    <row r="299" spans="1:4" x14ac:dyDescent="0.35">
      <c r="A299">
        <f t="shared" si="4"/>
        <v>1798</v>
      </c>
      <c r="B299">
        <f>2*$I$1-INDEX(Coin2!$A:$D,MATCH(VLOOKUP(Coin4!$A299,Correspondance!$G:$H,2,FALSE),Coin2!$A:$A,0),2)</f>
        <v>61.222500000000004</v>
      </c>
      <c r="C299">
        <f>INDEX(Coin2!$A:$D,MATCH(VLOOKUP(Coin4!$A299,Correspondance!$G:$H,2,FALSE),Coin2!$A:$A,0),3)</f>
        <v>88.88000000000001</v>
      </c>
      <c r="D299">
        <f>INDEX(Coin2!$A:$D,MATCH(VLOOKUP(Coin4!$A299,Correspondance!$G:$H,2,FALSE),Coin2!$A:$A,0),4)</f>
        <v>37.992275618487284</v>
      </c>
    </row>
    <row r="300" spans="1:4" x14ac:dyDescent="0.35">
      <c r="A300">
        <f t="shared" si="4"/>
        <v>1799</v>
      </c>
      <c r="B300">
        <f>2*$I$1-INDEX(Coin2!$A:$D,MATCH(VLOOKUP(Coin4!$A300,Correspondance!$G:$H,2,FALSE),Coin2!$A:$A,0),2)</f>
        <v>61.222500000000004</v>
      </c>
      <c r="C300">
        <f>INDEX(Coin2!$A:$D,MATCH(VLOOKUP(Coin4!$A300,Correspondance!$G:$H,2,FALSE),Coin2!$A:$A,0),3)</f>
        <v>92.92</v>
      </c>
      <c r="D300">
        <f>INDEX(Coin2!$A:$D,MATCH(VLOOKUP(Coin4!$A300,Correspondance!$G:$H,2,FALSE),Coin2!$A:$A,0),4)</f>
        <v>37.992275618487284</v>
      </c>
    </row>
    <row r="301" spans="1:4" x14ac:dyDescent="0.35">
      <c r="A301">
        <f t="shared" si="4"/>
        <v>1800</v>
      </c>
      <c r="B301">
        <f>2*$I$1-INDEX(Coin2!$A:$D,MATCH(VLOOKUP(Coin4!$A301,Correspondance!$G:$H,2,FALSE),Coin2!$A:$A,0),2)</f>
        <v>61.222500000000004</v>
      </c>
      <c r="C301">
        <f>INDEX(Coin2!$A:$D,MATCH(VLOOKUP(Coin4!$A301,Correspondance!$G:$H,2,FALSE),Coin2!$A:$A,0),3)</f>
        <v>96.960000000000008</v>
      </c>
      <c r="D301">
        <f>INDEX(Coin2!$A:$D,MATCH(VLOOKUP(Coin4!$A301,Correspondance!$G:$H,2,FALSE),Coin2!$A:$A,0),4)</f>
        <v>37.992275618487284</v>
      </c>
    </row>
    <row r="302" spans="1:4" x14ac:dyDescent="0.35">
      <c r="A302">
        <f t="shared" si="4"/>
        <v>1801</v>
      </c>
      <c r="B302">
        <f>2*$I$1-INDEX(Coin2!$A:$D,MATCH(VLOOKUP(Coin4!$A302,Correspondance!$G:$H,2,FALSE),Coin2!$A:$A,0),2)</f>
        <v>69.425000000000011</v>
      </c>
      <c r="C302">
        <f>INDEX(Coin2!$A:$D,MATCH(VLOOKUP(Coin4!$A302,Correspondance!$G:$H,2,FALSE),Coin2!$A:$A,0),3)</f>
        <v>96.960000000000008</v>
      </c>
      <c r="D302">
        <f>INDEX(Coin2!$A:$D,MATCH(VLOOKUP(Coin4!$A302,Correspondance!$G:$H,2,FALSE),Coin2!$A:$A,0),4)</f>
        <v>37.992275618487284</v>
      </c>
    </row>
    <row r="303" spans="1:4" x14ac:dyDescent="0.35">
      <c r="A303">
        <f t="shared" si="4"/>
        <v>1802</v>
      </c>
      <c r="B303">
        <f>2*$I$1-INDEX(Coin2!$A:$D,MATCH(VLOOKUP(Coin4!$A303,Correspondance!$G:$H,2,FALSE),Coin2!$A:$A,0),2)</f>
        <v>51.06205127018923</v>
      </c>
      <c r="C303">
        <f>INDEX(Coin2!$A:$D,MATCH(VLOOKUP(Coin4!$A303,Correspondance!$G:$H,2,FALSE),Coin2!$A:$A,0),3)</f>
        <v>97.31</v>
      </c>
      <c r="D303">
        <f>INDEX(Coin2!$A:$D,MATCH(VLOOKUP(Coin4!$A303,Correspondance!$G:$H,2,FALSE),Coin2!$A:$A,0),4)</f>
        <v>37.992275618487284</v>
      </c>
    </row>
    <row r="304" spans="1:4" x14ac:dyDescent="0.35">
      <c r="A304">
        <f t="shared" si="4"/>
        <v>1803</v>
      </c>
      <c r="B304">
        <f>2*$I$1-INDEX(Coin2!$A:$D,MATCH(VLOOKUP(Coin4!$A304,Correspondance!$G:$H,2,FALSE),Coin2!$A:$A,0),2)</f>
        <v>57.777948729810781</v>
      </c>
      <c r="C304">
        <f>INDEX(Coin2!$A:$D,MATCH(VLOOKUP(Coin4!$A304,Correspondance!$G:$H,2,FALSE),Coin2!$A:$A,0),3)</f>
        <v>97.31</v>
      </c>
      <c r="D304">
        <f>INDEX(Coin2!$A:$D,MATCH(VLOOKUP(Coin4!$A304,Correspondance!$G:$H,2,FALSE),Coin2!$A:$A,0),4)</f>
        <v>37.992275618487284</v>
      </c>
    </row>
    <row r="305" spans="1:4" x14ac:dyDescent="0.35">
      <c r="A305">
        <f t="shared" si="4"/>
        <v>1804</v>
      </c>
      <c r="B305">
        <f>2*$I$1-INDEX(Coin2!$A:$D,MATCH(VLOOKUP(Coin4!$A305,Correspondance!$G:$H,2,FALSE),Coin2!$A:$A,0),2)</f>
        <v>61.309000000000005</v>
      </c>
      <c r="C305">
        <f>INDEX(Coin2!$A:$D,MATCH(VLOOKUP(Coin4!$A305,Correspondance!$G:$H,2,FALSE),Coin2!$A:$A,0),3)</f>
        <v>97.31</v>
      </c>
      <c r="D305">
        <f>INDEX(Coin2!$A:$D,MATCH(VLOOKUP(Coin4!$A305,Correspondance!$G:$H,2,FALSE),Coin2!$A:$A,0),4)</f>
        <v>37.992275618487284</v>
      </c>
    </row>
    <row r="306" spans="1:4" x14ac:dyDescent="0.35">
      <c r="A306">
        <f t="shared" si="4"/>
        <v>1805</v>
      </c>
      <c r="B306">
        <f>2*$I$1-INDEX(Coin2!$A:$D,MATCH(VLOOKUP(Coin4!$A306,Correspondance!$G:$H,2,FALSE),Coin2!$A:$A,0),2)</f>
        <v>64.667051270189233</v>
      </c>
      <c r="C306">
        <f>INDEX(Coin2!$A:$D,MATCH(VLOOKUP(Coin4!$A306,Correspondance!$G:$H,2,FALSE),Coin2!$A:$A,0),3)</f>
        <v>97.31</v>
      </c>
      <c r="D306">
        <f>INDEX(Coin2!$A:$D,MATCH(VLOOKUP(Coin4!$A306,Correspondance!$G:$H,2,FALSE),Coin2!$A:$A,0),4)</f>
        <v>37.992275618487284</v>
      </c>
    </row>
    <row r="307" spans="1:4" x14ac:dyDescent="0.35">
      <c r="A307">
        <f t="shared" si="4"/>
        <v>1806</v>
      </c>
      <c r="B307">
        <f>2*$I$1-INDEX(Coin2!$A:$D,MATCH(VLOOKUP(Coin4!$A307,Correspondance!$G:$H,2,FALSE),Coin2!$A:$A,0),2)</f>
        <v>69.425000000000011</v>
      </c>
      <c r="C307">
        <f>INDEX(Coin2!$A:$D,MATCH(VLOOKUP(Coin4!$A307,Correspondance!$G:$H,2,FALSE),Coin2!$A:$A,0),3)</f>
        <v>97.31</v>
      </c>
      <c r="D307">
        <f>INDEX(Coin2!$A:$D,MATCH(VLOOKUP(Coin4!$A307,Correspondance!$G:$H,2,FALSE),Coin2!$A:$A,0),4)</f>
        <v>37.992275618487284</v>
      </c>
    </row>
    <row r="308" spans="1:4" x14ac:dyDescent="0.35">
      <c r="A308">
        <f t="shared" si="4"/>
        <v>1807</v>
      </c>
      <c r="B308">
        <f>2*$I$1-INDEX(Coin2!$A:$D,MATCH(VLOOKUP(Coin4!$A308,Correspondance!$G:$H,2,FALSE),Coin2!$A:$A,0),2)</f>
        <v>69.425000000000011</v>
      </c>
      <c r="C308">
        <f>INDEX(Coin2!$A:$D,MATCH(VLOOKUP(Coin4!$A308,Correspondance!$G:$H,2,FALSE),Coin2!$A:$A,0),3)</f>
        <v>80.800000000000011</v>
      </c>
      <c r="D308">
        <f>INDEX(Coin2!$A:$D,MATCH(VLOOKUP(Coin4!$A308,Correspondance!$G:$H,2,FALSE),Coin2!$A:$A,0),4)</f>
        <v>38.14227561848729</v>
      </c>
    </row>
    <row r="309" spans="1:4" x14ac:dyDescent="0.35">
      <c r="A309">
        <f t="shared" si="4"/>
        <v>1808</v>
      </c>
      <c r="B309">
        <f>2*$I$1-INDEX(Coin2!$A:$D,MATCH(VLOOKUP(Coin4!$A309,Correspondance!$G:$H,2,FALSE),Coin2!$A:$A,0),2)</f>
        <v>69.425000000000011</v>
      </c>
      <c r="C309">
        <f>INDEX(Coin2!$A:$D,MATCH(VLOOKUP(Coin4!$A309,Correspondance!$G:$H,2,FALSE),Coin2!$A:$A,0),3)</f>
        <v>83.493000000000009</v>
      </c>
      <c r="D309">
        <f>INDEX(Coin2!$A:$D,MATCH(VLOOKUP(Coin4!$A309,Correspondance!$G:$H,2,FALSE),Coin2!$A:$A,0),4)</f>
        <v>38.14227561848729</v>
      </c>
    </row>
    <row r="310" spans="1:4" x14ac:dyDescent="0.35">
      <c r="A310">
        <f t="shared" si="4"/>
        <v>1809</v>
      </c>
      <c r="B310">
        <f>2*$I$1-INDEX(Coin2!$A:$D,MATCH(VLOOKUP(Coin4!$A310,Correspondance!$G:$H,2,FALSE),Coin2!$A:$A,0),2)</f>
        <v>69.425000000000011</v>
      </c>
      <c r="C310">
        <f>INDEX(Coin2!$A:$D,MATCH(VLOOKUP(Coin4!$A310,Correspondance!$G:$H,2,FALSE),Coin2!$A:$A,0),3)</f>
        <v>86.187000000000012</v>
      </c>
      <c r="D310">
        <f>INDEX(Coin2!$A:$D,MATCH(VLOOKUP(Coin4!$A310,Correspondance!$G:$H,2,FALSE),Coin2!$A:$A,0),4)</f>
        <v>38.14227561848729</v>
      </c>
    </row>
    <row r="311" spans="1:4" x14ac:dyDescent="0.35">
      <c r="A311">
        <f t="shared" si="4"/>
        <v>1810</v>
      </c>
      <c r="B311">
        <f>2*$I$1-INDEX(Coin2!$A:$D,MATCH(VLOOKUP(Coin4!$A311,Correspondance!$G:$H,2,FALSE),Coin2!$A:$A,0),2)</f>
        <v>69.425000000000011</v>
      </c>
      <c r="C311">
        <f>INDEX(Coin2!$A:$D,MATCH(VLOOKUP(Coin4!$A311,Correspondance!$G:$H,2,FALSE),Coin2!$A:$A,0),3)</f>
        <v>88.88000000000001</v>
      </c>
      <c r="D311">
        <f>INDEX(Coin2!$A:$D,MATCH(VLOOKUP(Coin4!$A311,Correspondance!$G:$H,2,FALSE),Coin2!$A:$A,0),4)</f>
        <v>38.14227561848729</v>
      </c>
    </row>
    <row r="312" spans="1:4" x14ac:dyDescent="0.35">
      <c r="A312">
        <f t="shared" si="4"/>
        <v>1811</v>
      </c>
      <c r="B312">
        <f>2*$I$1-INDEX(Coin2!$A:$D,MATCH(VLOOKUP(Coin4!$A312,Correspondance!$G:$H,2,FALSE),Coin2!$A:$A,0),2)</f>
        <v>69.425000000000011</v>
      </c>
      <c r="C312">
        <f>INDEX(Coin2!$A:$D,MATCH(VLOOKUP(Coin4!$A312,Correspondance!$G:$H,2,FALSE),Coin2!$A:$A,0),3)</f>
        <v>91.573000000000008</v>
      </c>
      <c r="D312">
        <f>INDEX(Coin2!$A:$D,MATCH(VLOOKUP(Coin4!$A312,Correspondance!$G:$H,2,FALSE),Coin2!$A:$A,0),4)</f>
        <v>38.14227561848729</v>
      </c>
    </row>
    <row r="313" spans="1:4" x14ac:dyDescent="0.35">
      <c r="A313">
        <f t="shared" si="4"/>
        <v>1812</v>
      </c>
      <c r="B313">
        <f>2*$I$1-INDEX(Coin2!$A:$D,MATCH(VLOOKUP(Coin4!$A313,Correspondance!$G:$H,2,FALSE),Coin2!$A:$A,0),2)</f>
        <v>69.425000000000011</v>
      </c>
      <c r="C313">
        <f>INDEX(Coin2!$A:$D,MATCH(VLOOKUP(Coin4!$A313,Correspondance!$G:$H,2,FALSE),Coin2!$A:$A,0),3)</f>
        <v>94.26700000000001</v>
      </c>
      <c r="D313">
        <f>INDEX(Coin2!$A:$D,MATCH(VLOOKUP(Coin4!$A313,Correspondance!$G:$H,2,FALSE),Coin2!$A:$A,0),4)</f>
        <v>38.14227561848729</v>
      </c>
    </row>
    <row r="314" spans="1:4" x14ac:dyDescent="0.35">
      <c r="A314">
        <f t="shared" si="4"/>
        <v>1813</v>
      </c>
      <c r="B314">
        <f>2*$I$1-INDEX(Coin2!$A:$D,MATCH(VLOOKUP(Coin4!$A314,Correspondance!$G:$H,2,FALSE),Coin2!$A:$A,0),2)</f>
        <v>69.425000000000011</v>
      </c>
      <c r="C314">
        <f>INDEX(Coin2!$A:$D,MATCH(VLOOKUP(Coin4!$A314,Correspondance!$G:$H,2,FALSE),Coin2!$A:$A,0),3)</f>
        <v>96.960000000000008</v>
      </c>
      <c r="D314">
        <f>INDEX(Coin2!$A:$D,MATCH(VLOOKUP(Coin4!$A314,Correspondance!$G:$H,2,FALSE),Coin2!$A:$A,0),4)</f>
        <v>38.14227561848729</v>
      </c>
    </row>
    <row r="315" spans="1:4" x14ac:dyDescent="0.35">
      <c r="A315">
        <f t="shared" si="4"/>
        <v>1814</v>
      </c>
      <c r="B315">
        <f>2*$I$1-INDEX(Coin2!$A:$D,MATCH(VLOOKUP(Coin4!$A315,Correspondance!$G:$H,2,FALSE),Coin2!$A:$A,0),2)</f>
        <v>61.222500000000004</v>
      </c>
      <c r="C315">
        <f>INDEX(Coin2!$A:$D,MATCH(VLOOKUP(Coin4!$A315,Correspondance!$G:$H,2,FALSE),Coin2!$A:$A,0),3)</f>
        <v>80.800000000000011</v>
      </c>
      <c r="D315">
        <f>INDEX(Coin2!$A:$D,MATCH(VLOOKUP(Coin4!$A315,Correspondance!$G:$H,2,FALSE),Coin2!$A:$A,0),4)</f>
        <v>38.292275618487288</v>
      </c>
    </row>
    <row r="316" spans="1:4" x14ac:dyDescent="0.35">
      <c r="A316">
        <f t="shared" si="4"/>
        <v>1815</v>
      </c>
      <c r="B316">
        <f>2*$I$1-INDEX(Coin2!$A:$D,MATCH(VLOOKUP(Coin4!$A316,Correspondance!$G:$H,2,FALSE),Coin2!$A:$A,0),2)</f>
        <v>61.222500000000004</v>
      </c>
      <c r="C316">
        <f>INDEX(Coin2!$A:$D,MATCH(VLOOKUP(Coin4!$A316,Correspondance!$G:$H,2,FALSE),Coin2!$A:$A,0),3)</f>
        <v>83.493000000000009</v>
      </c>
      <c r="D316">
        <f>INDEX(Coin2!$A:$D,MATCH(VLOOKUP(Coin4!$A316,Correspondance!$G:$H,2,FALSE),Coin2!$A:$A,0),4)</f>
        <v>38.292275618487288</v>
      </c>
    </row>
    <row r="317" spans="1:4" x14ac:dyDescent="0.35">
      <c r="A317">
        <f t="shared" si="4"/>
        <v>1816</v>
      </c>
      <c r="B317">
        <f>2*$I$1-INDEX(Coin2!$A:$D,MATCH(VLOOKUP(Coin4!$A317,Correspondance!$G:$H,2,FALSE),Coin2!$A:$A,0),2)</f>
        <v>61.222500000000004</v>
      </c>
      <c r="C317">
        <f>INDEX(Coin2!$A:$D,MATCH(VLOOKUP(Coin4!$A317,Correspondance!$G:$H,2,FALSE),Coin2!$A:$A,0),3)</f>
        <v>86.187000000000012</v>
      </c>
      <c r="D317">
        <f>INDEX(Coin2!$A:$D,MATCH(VLOOKUP(Coin4!$A317,Correspondance!$G:$H,2,FALSE),Coin2!$A:$A,0),4)</f>
        <v>38.292275618487288</v>
      </c>
    </row>
    <row r="318" spans="1:4" x14ac:dyDescent="0.35">
      <c r="A318">
        <f t="shared" si="4"/>
        <v>1817</v>
      </c>
      <c r="B318">
        <f>2*$I$1-INDEX(Coin2!$A:$D,MATCH(VLOOKUP(Coin4!$A318,Correspondance!$G:$H,2,FALSE),Coin2!$A:$A,0),2)</f>
        <v>61.222500000000004</v>
      </c>
      <c r="C318">
        <f>INDEX(Coin2!$A:$D,MATCH(VLOOKUP(Coin4!$A318,Correspondance!$G:$H,2,FALSE),Coin2!$A:$A,0),3)</f>
        <v>88.88000000000001</v>
      </c>
      <c r="D318">
        <f>INDEX(Coin2!$A:$D,MATCH(VLOOKUP(Coin4!$A318,Correspondance!$G:$H,2,FALSE),Coin2!$A:$A,0),4)</f>
        <v>38.292275618487288</v>
      </c>
    </row>
    <row r="319" spans="1:4" x14ac:dyDescent="0.35">
      <c r="A319">
        <f t="shared" si="4"/>
        <v>1818</v>
      </c>
      <c r="B319">
        <f>2*$I$1-INDEX(Coin2!$A:$D,MATCH(VLOOKUP(Coin4!$A319,Correspondance!$G:$H,2,FALSE),Coin2!$A:$A,0),2)</f>
        <v>61.222500000000004</v>
      </c>
      <c r="C319">
        <f>INDEX(Coin2!$A:$D,MATCH(VLOOKUP(Coin4!$A319,Correspondance!$G:$H,2,FALSE),Coin2!$A:$A,0),3)</f>
        <v>91.573000000000008</v>
      </c>
      <c r="D319">
        <f>INDEX(Coin2!$A:$D,MATCH(VLOOKUP(Coin4!$A319,Correspondance!$G:$H,2,FALSE),Coin2!$A:$A,0),4)</f>
        <v>38.292275618487288</v>
      </c>
    </row>
    <row r="320" spans="1:4" x14ac:dyDescent="0.35">
      <c r="A320">
        <f t="shared" si="4"/>
        <v>1819</v>
      </c>
      <c r="B320">
        <f>2*$I$1-INDEX(Coin2!$A:$D,MATCH(VLOOKUP(Coin4!$A320,Correspondance!$G:$H,2,FALSE),Coin2!$A:$A,0),2)</f>
        <v>61.222500000000004</v>
      </c>
      <c r="C320">
        <f>INDEX(Coin2!$A:$D,MATCH(VLOOKUP(Coin4!$A320,Correspondance!$G:$H,2,FALSE),Coin2!$A:$A,0),3)</f>
        <v>94.26700000000001</v>
      </c>
      <c r="D320">
        <f>INDEX(Coin2!$A:$D,MATCH(VLOOKUP(Coin4!$A320,Correspondance!$G:$H,2,FALSE),Coin2!$A:$A,0),4)</f>
        <v>38.292275618487288</v>
      </c>
    </row>
    <row r="321" spans="1:4" x14ac:dyDescent="0.35">
      <c r="A321">
        <f>A320+1</f>
        <v>1820</v>
      </c>
      <c r="B321">
        <f>2*$I$1-INDEX(Coin2!$A:$D,MATCH(VLOOKUP(Coin4!$A321,Correspondance!$G:$H,2,FALSE),Coin2!$A:$A,0),2)</f>
        <v>61.222500000000004</v>
      </c>
      <c r="C321">
        <f>INDEX(Coin2!$A:$D,MATCH(VLOOKUP(Coin4!$A321,Correspondance!$G:$H,2,FALSE),Coin2!$A:$A,0),3)</f>
        <v>96.960000000000008</v>
      </c>
      <c r="D321">
        <f>INDEX(Coin2!$A:$D,MATCH(VLOOKUP(Coin4!$A321,Correspondance!$G:$H,2,FALSE),Coin2!$A:$A,0),4)</f>
        <v>38.292275618487288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E1278"/>
  <sheetViews>
    <sheetView workbookViewId="0">
      <selection activeCell="H31" sqref="H31"/>
    </sheetView>
  </sheetViews>
  <sheetFormatPr baseColWidth="10" defaultColWidth="8.7265625" defaultRowHeight="14.5" x14ac:dyDescent="0.35"/>
  <sheetData>
    <row r="1" spans="1:5" x14ac:dyDescent="0.35">
      <c r="A1">
        <f>Coin1!A2</f>
        <v>1</v>
      </c>
      <c r="B1">
        <f>Coin1!B2</f>
        <v>0</v>
      </c>
      <c r="C1">
        <f>Coin1!C2</f>
        <v>0</v>
      </c>
      <c r="D1">
        <f>Coin1!D2</f>
        <v>0</v>
      </c>
      <c r="E1" t="s">
        <v>45</v>
      </c>
    </row>
    <row r="2" spans="1:5" x14ac:dyDescent="0.35">
      <c r="A2">
        <f>Coin1!A3</f>
        <v>2</v>
      </c>
      <c r="B2">
        <f>Coin1!B3</f>
        <v>13.605</v>
      </c>
      <c r="C2">
        <f>Coin1!C3</f>
        <v>0</v>
      </c>
      <c r="D2">
        <f>Coin1!D3</f>
        <v>0</v>
      </c>
      <c r="E2" t="s">
        <v>45</v>
      </c>
    </row>
    <row r="3" spans="1:5" x14ac:dyDescent="0.35">
      <c r="A3">
        <f>Coin1!A4</f>
        <v>3</v>
      </c>
      <c r="B3">
        <f>Coin1!B4</f>
        <v>0</v>
      </c>
      <c r="C3">
        <f>Coin1!C4</f>
        <v>16.16</v>
      </c>
      <c r="D3">
        <f>Coin1!D4</f>
        <v>0</v>
      </c>
      <c r="E3" t="s">
        <v>45</v>
      </c>
    </row>
    <row r="4" spans="1:5" x14ac:dyDescent="0.35">
      <c r="A4">
        <f>Coin1!A5</f>
        <v>4</v>
      </c>
      <c r="B4">
        <f>Coin1!B5</f>
        <v>13.605</v>
      </c>
      <c r="C4">
        <f>Coin1!C5</f>
        <v>16.16</v>
      </c>
      <c r="D4">
        <f>Coin1!D5</f>
        <v>0</v>
      </c>
      <c r="E4" t="s">
        <v>45</v>
      </c>
    </row>
    <row r="5" spans="1:5" x14ac:dyDescent="0.35">
      <c r="A5">
        <f>Coin1!A6</f>
        <v>5</v>
      </c>
      <c r="B5">
        <f>Coin1!B6</f>
        <v>0</v>
      </c>
      <c r="C5">
        <f>Coin1!C6</f>
        <v>0</v>
      </c>
      <c r="D5">
        <f>Coin1!D6</f>
        <v>8.85</v>
      </c>
      <c r="E5" t="s">
        <v>45</v>
      </c>
    </row>
    <row r="6" spans="1:5" x14ac:dyDescent="0.35">
      <c r="A6">
        <f>Coin1!A7</f>
        <v>6</v>
      </c>
      <c r="B6">
        <f>Coin1!B7</f>
        <v>6.8029999999999999</v>
      </c>
      <c r="C6">
        <f>Coin1!C7</f>
        <v>0</v>
      </c>
      <c r="D6">
        <f>Coin1!D7</f>
        <v>8.85</v>
      </c>
      <c r="E6" t="s">
        <v>45</v>
      </c>
    </row>
    <row r="7" spans="1:5" x14ac:dyDescent="0.35">
      <c r="A7">
        <f>Coin1!A8</f>
        <v>7</v>
      </c>
      <c r="B7">
        <f>Coin1!B8</f>
        <v>13.605</v>
      </c>
      <c r="C7">
        <f>Coin1!C8</f>
        <v>0</v>
      </c>
      <c r="D7">
        <f>Coin1!D8</f>
        <v>8.85</v>
      </c>
      <c r="E7" t="s">
        <v>45</v>
      </c>
    </row>
    <row r="8" spans="1:5" x14ac:dyDescent="0.35">
      <c r="A8">
        <f>Coin1!A9</f>
        <v>8</v>
      </c>
      <c r="B8">
        <f>Coin1!B9</f>
        <v>0</v>
      </c>
      <c r="C8">
        <f>Coin1!C9</f>
        <v>8.08</v>
      </c>
      <c r="D8">
        <f>Coin1!D9</f>
        <v>8.85</v>
      </c>
      <c r="E8" t="s">
        <v>45</v>
      </c>
    </row>
    <row r="9" spans="1:5" x14ac:dyDescent="0.35">
      <c r="A9">
        <f>Coin1!A10</f>
        <v>9</v>
      </c>
      <c r="B9">
        <f>Coin1!B10</f>
        <v>13.605</v>
      </c>
      <c r="C9">
        <f>Coin1!C10</f>
        <v>8.08</v>
      </c>
      <c r="D9">
        <f>Coin1!D10</f>
        <v>8.85</v>
      </c>
      <c r="E9" t="s">
        <v>45</v>
      </c>
    </row>
    <row r="10" spans="1:5" x14ac:dyDescent="0.35">
      <c r="A10">
        <f>Coin1!A11</f>
        <v>10</v>
      </c>
      <c r="B10">
        <f>Coin1!B11</f>
        <v>0</v>
      </c>
      <c r="C10">
        <f>Coin1!C11</f>
        <v>16.16</v>
      </c>
      <c r="D10">
        <f>Coin1!D11</f>
        <v>8.85</v>
      </c>
      <c r="E10" t="s">
        <v>45</v>
      </c>
    </row>
    <row r="11" spans="1:5" x14ac:dyDescent="0.35">
      <c r="A11">
        <f>Coin1!A12</f>
        <v>11</v>
      </c>
      <c r="B11">
        <f>Coin1!B12</f>
        <v>6.8029999999999999</v>
      </c>
      <c r="C11">
        <f>Coin1!C12</f>
        <v>16.16</v>
      </c>
      <c r="D11">
        <f>Coin1!D12</f>
        <v>8.85</v>
      </c>
      <c r="E11" t="s">
        <v>45</v>
      </c>
    </row>
    <row r="12" spans="1:5" x14ac:dyDescent="0.35">
      <c r="A12">
        <f>Coin1!A13</f>
        <v>12</v>
      </c>
      <c r="B12">
        <f>Coin1!B13</f>
        <v>13.605</v>
      </c>
      <c r="C12">
        <f>Coin1!C13</f>
        <v>16.16</v>
      </c>
      <c r="D12">
        <f>Coin1!D13</f>
        <v>8.85</v>
      </c>
      <c r="E12" t="s">
        <v>45</v>
      </c>
    </row>
    <row r="13" spans="1:5" x14ac:dyDescent="0.35">
      <c r="A13">
        <f>Coin1!A14</f>
        <v>13</v>
      </c>
      <c r="B13">
        <f>Coin1!B14</f>
        <v>0</v>
      </c>
      <c r="C13">
        <f>Coin1!C14</f>
        <v>0</v>
      </c>
      <c r="D13">
        <f>Coin1!D14</f>
        <v>17.7</v>
      </c>
      <c r="E13" t="s">
        <v>45</v>
      </c>
    </row>
    <row r="14" spans="1:5" x14ac:dyDescent="0.35">
      <c r="A14">
        <f>Coin1!A15</f>
        <v>14</v>
      </c>
      <c r="B14">
        <f>Coin1!B15</f>
        <v>6.8029999999999999</v>
      </c>
      <c r="C14">
        <f>Coin1!C15</f>
        <v>0</v>
      </c>
      <c r="D14">
        <f>Coin1!D15</f>
        <v>17.7</v>
      </c>
      <c r="E14" t="s">
        <v>45</v>
      </c>
    </row>
    <row r="15" spans="1:5" x14ac:dyDescent="0.35">
      <c r="A15">
        <f>Coin1!A16</f>
        <v>15</v>
      </c>
      <c r="B15">
        <f>Coin1!B16</f>
        <v>13.605</v>
      </c>
      <c r="C15">
        <f>Coin1!C16</f>
        <v>0</v>
      </c>
      <c r="D15">
        <f>Coin1!D16</f>
        <v>17.7</v>
      </c>
      <c r="E15" t="s">
        <v>45</v>
      </c>
    </row>
    <row r="16" spans="1:5" x14ac:dyDescent="0.35">
      <c r="A16">
        <f>Coin1!A17</f>
        <v>16</v>
      </c>
      <c r="B16">
        <f>Coin1!B17</f>
        <v>0</v>
      </c>
      <c r="C16">
        <f>Coin1!C17</f>
        <v>8.08</v>
      </c>
      <c r="D16">
        <f>Coin1!D17</f>
        <v>17.7</v>
      </c>
      <c r="E16" t="s">
        <v>45</v>
      </c>
    </row>
    <row r="17" spans="1:5" x14ac:dyDescent="0.35">
      <c r="A17">
        <f>Coin1!A18</f>
        <v>17</v>
      </c>
      <c r="B17">
        <f>Coin1!B18</f>
        <v>13.605</v>
      </c>
      <c r="C17">
        <f>Coin1!C18</f>
        <v>8.08</v>
      </c>
      <c r="D17">
        <f>Coin1!D18</f>
        <v>17.7</v>
      </c>
      <c r="E17" t="s">
        <v>45</v>
      </c>
    </row>
    <row r="18" spans="1:5" x14ac:dyDescent="0.35">
      <c r="A18">
        <f>Coin1!A19</f>
        <v>18</v>
      </c>
      <c r="B18">
        <f>Coin1!B19</f>
        <v>0</v>
      </c>
      <c r="C18">
        <f>Coin1!C19</f>
        <v>16.16</v>
      </c>
      <c r="D18">
        <f>Coin1!D19</f>
        <v>17.7</v>
      </c>
      <c r="E18" t="s">
        <v>45</v>
      </c>
    </row>
    <row r="19" spans="1:5" x14ac:dyDescent="0.35">
      <c r="A19">
        <f>Coin1!A20</f>
        <v>19</v>
      </c>
      <c r="B19">
        <f>Coin1!B20</f>
        <v>6.8029999999999999</v>
      </c>
      <c r="C19">
        <f>Coin1!C20</f>
        <v>16.16</v>
      </c>
      <c r="D19">
        <f>Coin1!D20</f>
        <v>17.7</v>
      </c>
      <c r="E19" t="s">
        <v>45</v>
      </c>
    </row>
    <row r="20" spans="1:5" x14ac:dyDescent="0.35">
      <c r="A20">
        <f>Coin1!A21</f>
        <v>20</v>
      </c>
      <c r="B20">
        <f>Coin1!B21</f>
        <v>13.605</v>
      </c>
      <c r="C20">
        <f>Coin1!C21</f>
        <v>16.16</v>
      </c>
      <c r="D20">
        <f>Coin1!D21</f>
        <v>17.7</v>
      </c>
      <c r="E20" t="s">
        <v>45</v>
      </c>
    </row>
    <row r="21" spans="1:5" x14ac:dyDescent="0.35">
      <c r="A21">
        <f>Coin1!A22</f>
        <v>21</v>
      </c>
      <c r="B21">
        <f>Coin1!B22</f>
        <v>0</v>
      </c>
      <c r="C21">
        <f>Coin1!C22</f>
        <v>0</v>
      </c>
      <c r="D21">
        <f>Coin1!D22</f>
        <v>24.96</v>
      </c>
      <c r="E21" t="s">
        <v>45</v>
      </c>
    </row>
    <row r="22" spans="1:5" x14ac:dyDescent="0.35">
      <c r="A22">
        <f>Coin1!A23</f>
        <v>22</v>
      </c>
      <c r="B22">
        <f>Coin1!B23</f>
        <v>13.605</v>
      </c>
      <c r="C22">
        <f>Coin1!C23</f>
        <v>0</v>
      </c>
      <c r="D22">
        <f>Coin1!D23</f>
        <v>24.96</v>
      </c>
      <c r="E22" t="s">
        <v>45</v>
      </c>
    </row>
    <row r="23" spans="1:5" x14ac:dyDescent="0.35">
      <c r="A23">
        <f>Coin1!A24</f>
        <v>23</v>
      </c>
      <c r="B23">
        <f>Coin1!B24</f>
        <v>0</v>
      </c>
      <c r="C23">
        <f>Coin1!C24</f>
        <v>16.16</v>
      </c>
      <c r="D23">
        <f>Coin1!D24</f>
        <v>24.96</v>
      </c>
      <c r="E23" t="s">
        <v>45</v>
      </c>
    </row>
    <row r="24" spans="1:5" x14ac:dyDescent="0.35">
      <c r="A24">
        <f>Coin1!A25</f>
        <v>24</v>
      </c>
      <c r="B24">
        <f>Coin1!B25</f>
        <v>13.605</v>
      </c>
      <c r="C24">
        <f>Coin1!C25</f>
        <v>16.16</v>
      </c>
      <c r="D24">
        <f>Coin1!D25</f>
        <v>24.96</v>
      </c>
      <c r="E24" t="s">
        <v>45</v>
      </c>
    </row>
    <row r="25" spans="1:5" x14ac:dyDescent="0.35">
      <c r="A25">
        <f>Coin1!A26</f>
        <v>25</v>
      </c>
      <c r="B25">
        <f>Coin1!B26</f>
        <v>-1.4</v>
      </c>
      <c r="C25">
        <f>Coin1!C26</f>
        <v>-1.6</v>
      </c>
      <c r="D25">
        <f>Coin1!D26</f>
        <v>26.36</v>
      </c>
      <c r="E25" t="s">
        <v>45</v>
      </c>
    </row>
    <row r="26" spans="1:5" x14ac:dyDescent="0.35">
      <c r="A26">
        <f>Coin1!A27</f>
        <v>26</v>
      </c>
      <c r="B26">
        <f>Coin1!B27</f>
        <v>0</v>
      </c>
      <c r="C26">
        <f>Coin1!C27</f>
        <v>-1.6</v>
      </c>
      <c r="D26">
        <f>Coin1!D27</f>
        <v>26.36</v>
      </c>
      <c r="E26" t="s">
        <v>45</v>
      </c>
    </row>
    <row r="27" spans="1:5" x14ac:dyDescent="0.35">
      <c r="A27">
        <f>Coin1!A28</f>
        <v>27</v>
      </c>
      <c r="B27">
        <f>Coin1!B28</f>
        <v>1.1200000000000001</v>
      </c>
      <c r="C27">
        <f>Coin1!C28</f>
        <v>-1.6</v>
      </c>
      <c r="D27">
        <f>Coin1!D28</f>
        <v>26.36</v>
      </c>
      <c r="E27" t="s">
        <v>45</v>
      </c>
    </row>
    <row r="28" spans="1:5" x14ac:dyDescent="0.35">
      <c r="A28">
        <f>Coin1!A29</f>
        <v>28</v>
      </c>
      <c r="B28">
        <f>Coin1!B29</f>
        <v>2.2379487298107779</v>
      </c>
      <c r="C28">
        <f>Coin1!C29</f>
        <v>-1.6</v>
      </c>
      <c r="D28">
        <f>Coin1!D29</f>
        <v>26.36</v>
      </c>
      <c r="E28" t="s">
        <v>45</v>
      </c>
    </row>
    <row r="29" spans="1:5" x14ac:dyDescent="0.35">
      <c r="A29">
        <f>Coin1!A30</f>
        <v>29</v>
      </c>
      <c r="B29">
        <f>Coin1!B30</f>
        <v>3.357948729810778</v>
      </c>
      <c r="C29">
        <f>Coin1!C30</f>
        <v>-1.6</v>
      </c>
      <c r="D29">
        <f>Coin1!D30</f>
        <v>26.36</v>
      </c>
      <c r="E29" t="s">
        <v>45</v>
      </c>
    </row>
    <row r="30" spans="1:5" x14ac:dyDescent="0.35">
      <c r="A30">
        <f>Coin1!A31</f>
        <v>30</v>
      </c>
      <c r="B30">
        <f>Coin1!B31</f>
        <v>4.2979487298107779</v>
      </c>
      <c r="C30">
        <f>Coin1!C31</f>
        <v>-1.6</v>
      </c>
      <c r="D30">
        <f>Coin1!D31</f>
        <v>26.36</v>
      </c>
      <c r="E30" t="s">
        <v>45</v>
      </c>
    </row>
    <row r="31" spans="1:5" x14ac:dyDescent="0.35">
      <c r="A31">
        <f>Coin1!A32</f>
        <v>31</v>
      </c>
      <c r="B31">
        <f>Coin1!B32</f>
        <v>5.2475000000000005</v>
      </c>
      <c r="C31">
        <f>Coin1!C32</f>
        <v>-1.6</v>
      </c>
      <c r="D31">
        <f>Coin1!D32</f>
        <v>26.36</v>
      </c>
      <c r="E31" t="s">
        <v>45</v>
      </c>
    </row>
    <row r="32" spans="1:5" x14ac:dyDescent="0.35">
      <c r="A32">
        <f>Coin1!A33</f>
        <v>32</v>
      </c>
      <c r="B32">
        <f>Coin1!B33</f>
        <v>6.1875</v>
      </c>
      <c r="C32">
        <f>Coin1!C33</f>
        <v>-1.6</v>
      </c>
      <c r="D32">
        <f>Coin1!D33</f>
        <v>26.36</v>
      </c>
      <c r="E32" t="s">
        <v>45</v>
      </c>
    </row>
    <row r="33" spans="1:5" x14ac:dyDescent="0.35">
      <c r="A33">
        <f>Coin1!A34</f>
        <v>33</v>
      </c>
      <c r="B33">
        <f>Coin1!B34</f>
        <v>7.4175000000000004</v>
      </c>
      <c r="C33">
        <f>Coin1!C34</f>
        <v>-1.6</v>
      </c>
      <c r="D33">
        <f>Coin1!D34</f>
        <v>26.36</v>
      </c>
      <c r="E33" t="s">
        <v>45</v>
      </c>
    </row>
    <row r="34" spans="1:5" x14ac:dyDescent="0.35">
      <c r="A34">
        <f>Coin1!A35</f>
        <v>34</v>
      </c>
      <c r="B34">
        <f>Coin1!B35</f>
        <v>8.3574999999999999</v>
      </c>
      <c r="C34">
        <f>Coin1!C35</f>
        <v>-1.6</v>
      </c>
      <c r="D34">
        <f>Coin1!D35</f>
        <v>26.36</v>
      </c>
      <c r="E34" t="s">
        <v>45</v>
      </c>
    </row>
    <row r="35" spans="1:5" x14ac:dyDescent="0.35">
      <c r="A35">
        <f>Coin1!A36</f>
        <v>35</v>
      </c>
      <c r="B35">
        <f>Coin1!B36</f>
        <v>9.3070512701892234</v>
      </c>
      <c r="C35">
        <f>Coin1!C36</f>
        <v>-1.6</v>
      </c>
      <c r="D35">
        <f>Coin1!D36</f>
        <v>26.36</v>
      </c>
      <c r="E35" t="s">
        <v>45</v>
      </c>
    </row>
    <row r="36" spans="1:5" x14ac:dyDescent="0.35">
      <c r="A36">
        <f>Coin1!A37</f>
        <v>36</v>
      </c>
      <c r="B36">
        <f>Coin1!B37</f>
        <v>10.247051270189223</v>
      </c>
      <c r="C36">
        <f>Coin1!C37</f>
        <v>-1.6</v>
      </c>
      <c r="D36">
        <f>Coin1!D37</f>
        <v>26.36</v>
      </c>
      <c r="E36" t="s">
        <v>45</v>
      </c>
    </row>
    <row r="37" spans="1:5" x14ac:dyDescent="0.35">
      <c r="A37">
        <f>Coin1!A38</f>
        <v>37</v>
      </c>
      <c r="B37">
        <f>Coin1!B38</f>
        <v>11.367051270189224</v>
      </c>
      <c r="C37">
        <f>Coin1!C38</f>
        <v>-1.6</v>
      </c>
      <c r="D37">
        <f>Coin1!D38</f>
        <v>26.36</v>
      </c>
      <c r="E37" t="s">
        <v>45</v>
      </c>
    </row>
    <row r="38" spans="1:5" x14ac:dyDescent="0.35">
      <c r="A38">
        <f>Coin1!A39</f>
        <v>38</v>
      </c>
      <c r="B38">
        <f>Coin1!B39</f>
        <v>12.484999999999999</v>
      </c>
      <c r="C38">
        <f>Coin1!C39</f>
        <v>-1.6</v>
      </c>
      <c r="D38">
        <f>Coin1!D39</f>
        <v>26.36</v>
      </c>
      <c r="E38" t="s">
        <v>45</v>
      </c>
    </row>
    <row r="39" spans="1:5" x14ac:dyDescent="0.35">
      <c r="A39">
        <f>Coin1!A40</f>
        <v>39</v>
      </c>
      <c r="B39">
        <f>Coin1!B40</f>
        <v>13.605</v>
      </c>
      <c r="C39">
        <f>Coin1!C40</f>
        <v>-1.6</v>
      </c>
      <c r="D39">
        <f>Coin1!D40</f>
        <v>26.36</v>
      </c>
      <c r="E39" t="s">
        <v>45</v>
      </c>
    </row>
    <row r="40" spans="1:5" x14ac:dyDescent="0.35">
      <c r="A40">
        <f>Coin1!A41</f>
        <v>40</v>
      </c>
      <c r="B40">
        <f>Coin1!B41</f>
        <v>-1.4</v>
      </c>
      <c r="C40">
        <f>Coin1!C41</f>
        <v>-0.35</v>
      </c>
      <c r="D40">
        <f>Coin1!D41</f>
        <v>26.36</v>
      </c>
      <c r="E40" t="s">
        <v>45</v>
      </c>
    </row>
    <row r="41" spans="1:5" x14ac:dyDescent="0.35">
      <c r="A41">
        <f>Coin1!A42</f>
        <v>41</v>
      </c>
      <c r="B41">
        <f>Coin1!B42</f>
        <v>0</v>
      </c>
      <c r="C41">
        <f>Coin1!C42</f>
        <v>-0.35</v>
      </c>
      <c r="D41">
        <f>Coin1!D42</f>
        <v>26.36</v>
      </c>
      <c r="E41" t="s">
        <v>45</v>
      </c>
    </row>
    <row r="42" spans="1:5" x14ac:dyDescent="0.35">
      <c r="A42">
        <f>Coin1!A43</f>
        <v>42</v>
      </c>
      <c r="B42">
        <f>Coin1!B43</f>
        <v>3.357948729810778</v>
      </c>
      <c r="C42">
        <f>Coin1!C43</f>
        <v>-0.35</v>
      </c>
      <c r="D42">
        <f>Coin1!D43</f>
        <v>26.36</v>
      </c>
      <c r="E42" t="s">
        <v>45</v>
      </c>
    </row>
    <row r="43" spans="1:5" x14ac:dyDescent="0.35">
      <c r="A43">
        <f>Coin1!A44</f>
        <v>43</v>
      </c>
      <c r="B43">
        <f>Coin1!B44</f>
        <v>6.1875</v>
      </c>
      <c r="C43">
        <f>Coin1!C44</f>
        <v>-0.35</v>
      </c>
      <c r="D43">
        <f>Coin1!D44</f>
        <v>26.36</v>
      </c>
      <c r="E43" t="s">
        <v>45</v>
      </c>
    </row>
    <row r="44" spans="1:5" x14ac:dyDescent="0.35">
      <c r="A44">
        <f>Coin1!A45</f>
        <v>44</v>
      </c>
      <c r="B44">
        <f>Coin1!B45</f>
        <v>7.4175000000000004</v>
      </c>
      <c r="C44">
        <f>Coin1!C45</f>
        <v>-0.35</v>
      </c>
      <c r="D44">
        <f>Coin1!D45</f>
        <v>26.36</v>
      </c>
      <c r="E44" t="s">
        <v>45</v>
      </c>
    </row>
    <row r="45" spans="1:5" x14ac:dyDescent="0.35">
      <c r="A45">
        <f>Coin1!A46</f>
        <v>45</v>
      </c>
      <c r="B45">
        <f>Coin1!B46</f>
        <v>10.247051270189223</v>
      </c>
      <c r="C45">
        <f>Coin1!C46</f>
        <v>-0.35</v>
      </c>
      <c r="D45">
        <f>Coin1!D46</f>
        <v>26.36</v>
      </c>
      <c r="E45" t="s">
        <v>45</v>
      </c>
    </row>
    <row r="46" spans="1:5" x14ac:dyDescent="0.35">
      <c r="A46">
        <f>Coin1!A47</f>
        <v>46</v>
      </c>
      <c r="B46">
        <f>Coin1!B47</f>
        <v>-1.4</v>
      </c>
      <c r="C46">
        <f>Coin1!C47</f>
        <v>0</v>
      </c>
      <c r="D46">
        <f>Coin1!D47</f>
        <v>26.36</v>
      </c>
      <c r="E46" t="s">
        <v>45</v>
      </c>
    </row>
    <row r="47" spans="1:5" x14ac:dyDescent="0.35">
      <c r="A47">
        <f>Coin1!A48</f>
        <v>47</v>
      </c>
      <c r="B47">
        <f>Coin1!B48</f>
        <v>0</v>
      </c>
      <c r="C47">
        <f>Coin1!C48</f>
        <v>0</v>
      </c>
      <c r="D47">
        <f>Coin1!D48</f>
        <v>26.36</v>
      </c>
      <c r="E47" t="s">
        <v>45</v>
      </c>
    </row>
    <row r="48" spans="1:5" x14ac:dyDescent="0.35">
      <c r="A48">
        <f>Coin1!A49</f>
        <v>48</v>
      </c>
      <c r="B48">
        <f>Coin1!B49</f>
        <v>1.1200000000000001</v>
      </c>
      <c r="C48">
        <f>Coin1!C49</f>
        <v>0</v>
      </c>
      <c r="D48">
        <f>Coin1!D49</f>
        <v>26.36</v>
      </c>
      <c r="E48" t="s">
        <v>45</v>
      </c>
    </row>
    <row r="49" spans="1:5" x14ac:dyDescent="0.35">
      <c r="A49">
        <f>Coin1!A50</f>
        <v>49</v>
      </c>
      <c r="B49">
        <f>Coin1!B50</f>
        <v>2.0546244626566232</v>
      </c>
      <c r="C49">
        <f>Coin1!C50</f>
        <v>0</v>
      </c>
      <c r="D49">
        <f>Coin1!D50</f>
        <v>26.36</v>
      </c>
      <c r="E49" t="s">
        <v>45</v>
      </c>
    </row>
    <row r="50" spans="1:5" x14ac:dyDescent="0.35">
      <c r="A50">
        <f>Coin1!A51</f>
        <v>50</v>
      </c>
      <c r="B50">
        <f>Coin1!B51</f>
        <v>2.2379487298107779</v>
      </c>
      <c r="C50">
        <f>Coin1!C51</f>
        <v>0</v>
      </c>
      <c r="D50">
        <f>Coin1!D51</f>
        <v>26.36</v>
      </c>
      <c r="E50" t="s">
        <v>45</v>
      </c>
    </row>
    <row r="51" spans="1:5" x14ac:dyDescent="0.35">
      <c r="A51">
        <f>Coin1!A52</f>
        <v>51</v>
      </c>
      <c r="B51">
        <f>Coin1!B52</f>
        <v>3.357948729810778</v>
      </c>
      <c r="C51">
        <f>Coin1!C52</f>
        <v>0</v>
      </c>
      <c r="D51">
        <f>Coin1!D52</f>
        <v>26.36</v>
      </c>
      <c r="E51" t="s">
        <v>45</v>
      </c>
    </row>
    <row r="52" spans="1:5" x14ac:dyDescent="0.35">
      <c r="A52">
        <f>Coin1!A53</f>
        <v>52</v>
      </c>
      <c r="B52">
        <f>Coin1!B53</f>
        <v>4.1092489253132465</v>
      </c>
      <c r="C52">
        <f>Coin1!C53</f>
        <v>0</v>
      </c>
      <c r="D52">
        <f>Coin1!D53</f>
        <v>26.36</v>
      </c>
      <c r="E52" t="s">
        <v>45</v>
      </c>
    </row>
    <row r="53" spans="1:5" x14ac:dyDescent="0.35">
      <c r="A53">
        <f>Coin1!A54</f>
        <v>53</v>
      </c>
      <c r="B53">
        <f>Coin1!B54</f>
        <v>4.2979487298107779</v>
      </c>
      <c r="C53">
        <f>Coin1!C54</f>
        <v>0</v>
      </c>
      <c r="D53">
        <f>Coin1!D54</f>
        <v>26.36</v>
      </c>
      <c r="E53" t="s">
        <v>45</v>
      </c>
    </row>
    <row r="54" spans="1:5" x14ac:dyDescent="0.35">
      <c r="A54">
        <f>Coin1!A55</f>
        <v>54</v>
      </c>
      <c r="B54">
        <f>Coin1!B55</f>
        <v>5.2475000000000005</v>
      </c>
      <c r="C54">
        <f>Coin1!C55</f>
        <v>0</v>
      </c>
      <c r="D54">
        <f>Coin1!D55</f>
        <v>26.36</v>
      </c>
      <c r="E54" t="s">
        <v>45</v>
      </c>
    </row>
    <row r="55" spans="1:5" x14ac:dyDescent="0.35">
      <c r="A55">
        <f>Coin1!A56</f>
        <v>55</v>
      </c>
      <c r="B55">
        <f>Coin1!B56</f>
        <v>6.1638733879698702</v>
      </c>
      <c r="C55">
        <f>Coin1!C56</f>
        <v>0</v>
      </c>
      <c r="D55">
        <f>Coin1!D56</f>
        <v>26.36</v>
      </c>
      <c r="E55" t="s">
        <v>45</v>
      </c>
    </row>
    <row r="56" spans="1:5" x14ac:dyDescent="0.35">
      <c r="A56">
        <f>Coin1!A57</f>
        <v>56</v>
      </c>
      <c r="B56">
        <f>Coin1!B57</f>
        <v>5.9525000000000006</v>
      </c>
      <c r="C56">
        <f>Coin1!C57</f>
        <v>0</v>
      </c>
      <c r="D56">
        <f>Coin1!D57</f>
        <v>26.36</v>
      </c>
      <c r="E56" t="s">
        <v>45</v>
      </c>
    </row>
    <row r="57" spans="1:5" x14ac:dyDescent="0.35">
      <c r="A57">
        <f>Coin1!A58</f>
        <v>57</v>
      </c>
      <c r="B57">
        <f>Coin1!B58</f>
        <v>6.1875</v>
      </c>
      <c r="C57">
        <f>Coin1!C58</f>
        <v>0</v>
      </c>
      <c r="D57">
        <f>Coin1!D58</f>
        <v>26.36</v>
      </c>
      <c r="E57" t="s">
        <v>45</v>
      </c>
    </row>
    <row r="58" spans="1:5" x14ac:dyDescent="0.35">
      <c r="A58">
        <f>Coin1!A59</f>
        <v>58</v>
      </c>
      <c r="B58">
        <f>Coin1!B59</f>
        <v>6.8025000000000002</v>
      </c>
      <c r="C58">
        <f>Coin1!C59</f>
        <v>0</v>
      </c>
      <c r="D58">
        <f>Coin1!D59</f>
        <v>26.36</v>
      </c>
      <c r="E58" t="s">
        <v>45</v>
      </c>
    </row>
    <row r="59" spans="1:5" x14ac:dyDescent="0.35">
      <c r="A59">
        <f>Coin1!A60</f>
        <v>59</v>
      </c>
      <c r="B59">
        <f>Coin1!B60</f>
        <v>7.4175000000000004</v>
      </c>
      <c r="C59">
        <f>Coin1!C60</f>
        <v>0</v>
      </c>
      <c r="D59">
        <f>Coin1!D60</f>
        <v>26.36</v>
      </c>
      <c r="E59" t="s">
        <v>45</v>
      </c>
    </row>
    <row r="60" spans="1:5" x14ac:dyDescent="0.35">
      <c r="A60">
        <f>Coin1!A61</f>
        <v>60</v>
      </c>
      <c r="B60">
        <f>Coin1!B61</f>
        <v>7.6524999999999999</v>
      </c>
      <c r="C60">
        <f>Coin1!C61</f>
        <v>0</v>
      </c>
      <c r="D60">
        <f>Coin1!D61</f>
        <v>26.36</v>
      </c>
      <c r="E60" t="s">
        <v>45</v>
      </c>
    </row>
    <row r="61" spans="1:5" x14ac:dyDescent="0.35">
      <c r="A61">
        <f>Coin1!A62</f>
        <v>61</v>
      </c>
      <c r="B61">
        <f>Coin1!B62</f>
        <v>7.441126612030132</v>
      </c>
      <c r="C61">
        <f>Coin1!C62</f>
        <v>0</v>
      </c>
      <c r="D61">
        <f>Coin1!D62</f>
        <v>26.36</v>
      </c>
      <c r="E61" t="s">
        <v>45</v>
      </c>
    </row>
    <row r="62" spans="1:5" x14ac:dyDescent="0.35">
      <c r="A62">
        <f>Coin1!A63</f>
        <v>62</v>
      </c>
      <c r="B62">
        <f>Coin1!B63</f>
        <v>8.3574999999999999</v>
      </c>
      <c r="C62">
        <f>Coin1!C63</f>
        <v>0</v>
      </c>
      <c r="D62">
        <f>Coin1!D63</f>
        <v>26.36</v>
      </c>
      <c r="E62" t="s">
        <v>45</v>
      </c>
    </row>
    <row r="63" spans="1:5" x14ac:dyDescent="0.35">
      <c r="A63">
        <f>Coin1!A64</f>
        <v>63</v>
      </c>
      <c r="B63">
        <f>Coin1!B64</f>
        <v>9.3070512701892234</v>
      </c>
      <c r="C63">
        <f>Coin1!C64</f>
        <v>0</v>
      </c>
      <c r="D63">
        <f>Coin1!D64</f>
        <v>26.36</v>
      </c>
      <c r="E63" t="s">
        <v>45</v>
      </c>
    </row>
    <row r="64" spans="1:5" x14ac:dyDescent="0.35">
      <c r="A64">
        <f>Coin1!A65</f>
        <v>64</v>
      </c>
      <c r="B64">
        <f>Coin1!B65</f>
        <v>9.4957510746867548</v>
      </c>
      <c r="C64">
        <f>Coin1!C65</f>
        <v>0</v>
      </c>
      <c r="D64">
        <f>Coin1!D65</f>
        <v>26.36</v>
      </c>
      <c r="E64" t="s">
        <v>45</v>
      </c>
    </row>
    <row r="65" spans="1:5" x14ac:dyDescent="0.35">
      <c r="A65">
        <f>Coin1!A66</f>
        <v>65</v>
      </c>
      <c r="B65">
        <f>Coin1!B66</f>
        <v>10.247051270189223</v>
      </c>
      <c r="C65">
        <f>Coin1!C66</f>
        <v>0</v>
      </c>
      <c r="D65">
        <f>Coin1!D66</f>
        <v>26.36</v>
      </c>
      <c r="E65" t="s">
        <v>45</v>
      </c>
    </row>
    <row r="66" spans="1:5" x14ac:dyDescent="0.35">
      <c r="A66">
        <f>Coin1!A67</f>
        <v>66</v>
      </c>
      <c r="B66">
        <f>Coin1!B67</f>
        <v>11.367051270189224</v>
      </c>
      <c r="C66">
        <f>Coin1!C67</f>
        <v>0</v>
      </c>
      <c r="D66">
        <f>Coin1!D67</f>
        <v>26.36</v>
      </c>
      <c r="E66" t="s">
        <v>45</v>
      </c>
    </row>
    <row r="67" spans="1:5" x14ac:dyDescent="0.35">
      <c r="A67">
        <f>Coin1!A68</f>
        <v>67</v>
      </c>
      <c r="B67">
        <f>Coin1!B68</f>
        <v>11.550375537343378</v>
      </c>
      <c r="C67">
        <f>Coin1!C68</f>
        <v>0</v>
      </c>
      <c r="D67">
        <f>Coin1!D68</f>
        <v>26.36</v>
      </c>
      <c r="E67" t="s">
        <v>45</v>
      </c>
    </row>
    <row r="68" spans="1:5" x14ac:dyDescent="0.35">
      <c r="A68">
        <f>Coin1!A69</f>
        <v>68</v>
      </c>
      <c r="B68">
        <f>Coin1!B69</f>
        <v>12.484999999999999</v>
      </c>
      <c r="C68">
        <f>Coin1!C69</f>
        <v>0</v>
      </c>
      <c r="D68">
        <f>Coin1!D69</f>
        <v>26.36</v>
      </c>
      <c r="E68" t="s">
        <v>45</v>
      </c>
    </row>
    <row r="69" spans="1:5" x14ac:dyDescent="0.35">
      <c r="A69">
        <f>Coin1!A70</f>
        <v>69</v>
      </c>
      <c r="B69">
        <f>Coin1!B70</f>
        <v>13.605</v>
      </c>
      <c r="C69">
        <f>Coin1!C70</f>
        <v>0</v>
      </c>
      <c r="D69">
        <f>Coin1!D70</f>
        <v>26.36</v>
      </c>
      <c r="E69" t="s">
        <v>45</v>
      </c>
    </row>
    <row r="70" spans="1:5" x14ac:dyDescent="0.35">
      <c r="A70">
        <f>Coin1!A71</f>
        <v>70</v>
      </c>
      <c r="B70">
        <f>Coin1!B71</f>
        <v>4.2488733879698692</v>
      </c>
      <c r="C70">
        <f>Coin1!C71</f>
        <v>1.9150000000000005</v>
      </c>
      <c r="D70">
        <f>Coin1!D71</f>
        <v>26.36</v>
      </c>
      <c r="E70" t="s">
        <v>45</v>
      </c>
    </row>
    <row r="71" spans="1:5" x14ac:dyDescent="0.35">
      <c r="A71">
        <f>Coin1!A72</f>
        <v>71</v>
      </c>
      <c r="B71">
        <f>Coin1!B72</f>
        <v>6.8025000000000002</v>
      </c>
      <c r="C71">
        <f>Coin1!C72</f>
        <v>1.9150000000000005</v>
      </c>
      <c r="D71">
        <f>Coin1!D72</f>
        <v>26.36</v>
      </c>
      <c r="E71" t="s">
        <v>45</v>
      </c>
    </row>
    <row r="72" spans="1:5" x14ac:dyDescent="0.35">
      <c r="A72">
        <f>Coin1!A73</f>
        <v>72</v>
      </c>
      <c r="B72">
        <f>Coin1!B73</f>
        <v>9.3561266120301312</v>
      </c>
      <c r="C72">
        <f>Coin1!C73</f>
        <v>1.9150000000000005</v>
      </c>
      <c r="D72">
        <f>Coin1!D73</f>
        <v>26.36</v>
      </c>
      <c r="E72" t="s">
        <v>45</v>
      </c>
    </row>
    <row r="73" spans="1:5" x14ac:dyDescent="0.35">
      <c r="A73">
        <f>Coin1!A74</f>
        <v>73</v>
      </c>
      <c r="B73">
        <f>Coin1!B74</f>
        <v>6.8025000000000002</v>
      </c>
      <c r="C73">
        <f>Coin1!C74</f>
        <v>2.2300000000000004</v>
      </c>
      <c r="D73">
        <f>Coin1!D74</f>
        <v>26.36</v>
      </c>
      <c r="E73" t="s">
        <v>45</v>
      </c>
    </row>
    <row r="74" spans="1:5" x14ac:dyDescent="0.35">
      <c r="A74">
        <f>Coin1!A75</f>
        <v>74</v>
      </c>
      <c r="B74">
        <f>Coin1!B75</f>
        <v>0</v>
      </c>
      <c r="C74">
        <f>Coin1!C75</f>
        <v>2.0546244626566232</v>
      </c>
      <c r="D74">
        <f>Coin1!D75</f>
        <v>26.36</v>
      </c>
      <c r="E74" t="s">
        <v>45</v>
      </c>
    </row>
    <row r="75" spans="1:5" x14ac:dyDescent="0.35">
      <c r="A75">
        <f>Coin1!A76</f>
        <v>75</v>
      </c>
      <c r="B75">
        <f>Coin1!B76</f>
        <v>13.605</v>
      </c>
      <c r="C75">
        <f>Coin1!C76</f>
        <v>2.0546244626566232</v>
      </c>
      <c r="D75">
        <f>Coin1!D76</f>
        <v>26.36</v>
      </c>
      <c r="E75" t="s">
        <v>45</v>
      </c>
    </row>
    <row r="76" spans="1:5" x14ac:dyDescent="0.35">
      <c r="A76">
        <f>Coin1!A77</f>
        <v>76</v>
      </c>
      <c r="B76">
        <f>Coin1!B77</f>
        <v>1.4155000000000006</v>
      </c>
      <c r="C76">
        <f>Coin1!C77</f>
        <v>2.6930000000000005</v>
      </c>
      <c r="D76">
        <f>Coin1!D77</f>
        <v>26.36</v>
      </c>
      <c r="E76" t="s">
        <v>45</v>
      </c>
    </row>
    <row r="77" spans="1:5" x14ac:dyDescent="0.35">
      <c r="A77">
        <f>Coin1!A78</f>
        <v>77</v>
      </c>
      <c r="B77">
        <f>Coin1!B78</f>
        <v>12.189499999999999</v>
      </c>
      <c r="C77">
        <f>Coin1!C78</f>
        <v>2.6930000000000005</v>
      </c>
      <c r="D77">
        <f>Coin1!D78</f>
        <v>26.36</v>
      </c>
      <c r="E77" t="s">
        <v>45</v>
      </c>
    </row>
    <row r="78" spans="1:5" x14ac:dyDescent="0.35">
      <c r="A78">
        <f>Coin1!A79</f>
        <v>78</v>
      </c>
      <c r="B78">
        <f>Coin1!B79</f>
        <v>-1.4</v>
      </c>
      <c r="C78">
        <f>Coin1!C79</f>
        <v>2.6930000000000001</v>
      </c>
      <c r="D78">
        <f>Coin1!D79</f>
        <v>26.36</v>
      </c>
      <c r="E78" t="s">
        <v>45</v>
      </c>
    </row>
    <row r="79" spans="1:5" x14ac:dyDescent="0.35">
      <c r="A79">
        <f>Coin1!A80</f>
        <v>79</v>
      </c>
      <c r="B79">
        <f>Coin1!B80</f>
        <v>0</v>
      </c>
      <c r="C79">
        <f>Coin1!C80</f>
        <v>2.6930000000000001</v>
      </c>
      <c r="D79">
        <f>Coin1!D80</f>
        <v>26.36</v>
      </c>
      <c r="E79" t="s">
        <v>45</v>
      </c>
    </row>
    <row r="80" spans="1:5" x14ac:dyDescent="0.35">
      <c r="A80">
        <f>Coin1!A81</f>
        <v>80</v>
      </c>
      <c r="B80">
        <f>Coin1!B81</f>
        <v>2.4435000000000002</v>
      </c>
      <c r="C80">
        <f>Coin1!C81</f>
        <v>3.7210000000000001</v>
      </c>
      <c r="D80">
        <f>Coin1!D81</f>
        <v>26.36</v>
      </c>
      <c r="E80" t="s">
        <v>45</v>
      </c>
    </row>
    <row r="81" spans="1:5" x14ac:dyDescent="0.35">
      <c r="A81">
        <f>Coin1!A82</f>
        <v>81</v>
      </c>
      <c r="B81">
        <f>Coin1!B82</f>
        <v>11.1615</v>
      </c>
      <c r="C81">
        <f>Coin1!C82</f>
        <v>3.7210000000000001</v>
      </c>
      <c r="D81">
        <f>Coin1!D82</f>
        <v>26.36</v>
      </c>
      <c r="E81" t="s">
        <v>45</v>
      </c>
    </row>
    <row r="82" spans="1:5" x14ac:dyDescent="0.35">
      <c r="A82">
        <f>Coin1!A83</f>
        <v>82</v>
      </c>
      <c r="B82">
        <f>Coin1!B83</f>
        <v>2.6655000000000006</v>
      </c>
      <c r="C82">
        <f>Coin1!C83</f>
        <v>3.9430000000000005</v>
      </c>
      <c r="D82">
        <f>Coin1!D83</f>
        <v>26.36</v>
      </c>
      <c r="E82" t="s">
        <v>45</v>
      </c>
    </row>
    <row r="83" spans="1:5" x14ac:dyDescent="0.35">
      <c r="A83">
        <f>Coin1!A84</f>
        <v>83</v>
      </c>
      <c r="B83">
        <f>Coin1!B84</f>
        <v>10.939499999999999</v>
      </c>
      <c r="C83">
        <f>Coin1!C84</f>
        <v>3.9430000000000005</v>
      </c>
      <c r="D83">
        <f>Coin1!D84</f>
        <v>26.36</v>
      </c>
      <c r="E83" t="s">
        <v>45</v>
      </c>
    </row>
    <row r="84" spans="1:5" x14ac:dyDescent="0.35">
      <c r="A84">
        <f>Coin1!A85</f>
        <v>84</v>
      </c>
      <c r="B84">
        <f>Coin1!B85</f>
        <v>0</v>
      </c>
      <c r="C84">
        <f>Coin1!C85</f>
        <v>4.1092489253132465</v>
      </c>
      <c r="D84">
        <f>Coin1!D85</f>
        <v>26.36</v>
      </c>
      <c r="E84" t="s">
        <v>45</v>
      </c>
    </row>
    <row r="85" spans="1:5" x14ac:dyDescent="0.35">
      <c r="A85">
        <f>Coin1!A86</f>
        <v>85</v>
      </c>
      <c r="B85">
        <f>Coin1!B86</f>
        <v>13.605</v>
      </c>
      <c r="C85">
        <f>Coin1!C86</f>
        <v>4.1092489253132465</v>
      </c>
      <c r="D85">
        <f>Coin1!D86</f>
        <v>26.36</v>
      </c>
      <c r="E85" t="s">
        <v>45</v>
      </c>
    </row>
    <row r="86" spans="1:5" x14ac:dyDescent="0.35">
      <c r="A86">
        <f>Coin1!A87</f>
        <v>86</v>
      </c>
      <c r="B86">
        <f>Coin1!B87</f>
        <v>0.63750000000000062</v>
      </c>
      <c r="C86">
        <f>Coin1!C87</f>
        <v>5.5263733879698691</v>
      </c>
      <c r="D86">
        <f>Coin1!D87</f>
        <v>26.36</v>
      </c>
      <c r="E86" t="s">
        <v>45</v>
      </c>
    </row>
    <row r="87" spans="1:5" x14ac:dyDescent="0.35">
      <c r="A87">
        <f>Coin1!A88</f>
        <v>87</v>
      </c>
      <c r="B87">
        <f>Coin1!B88</f>
        <v>12.967499999999999</v>
      </c>
      <c r="C87">
        <f>Coin1!C88</f>
        <v>5.5263733879698691</v>
      </c>
      <c r="D87">
        <f>Coin1!D88</f>
        <v>26.36</v>
      </c>
      <c r="E87" t="s">
        <v>45</v>
      </c>
    </row>
    <row r="88" spans="1:5" x14ac:dyDescent="0.35">
      <c r="A88">
        <f>Coin1!A89</f>
        <v>88</v>
      </c>
      <c r="B88">
        <f>Coin1!B89</f>
        <v>-1.4</v>
      </c>
      <c r="C88">
        <f>Coin1!C89</f>
        <v>5.3869999999999996</v>
      </c>
      <c r="D88">
        <f>Coin1!D89</f>
        <v>26.36</v>
      </c>
      <c r="E88" t="s">
        <v>45</v>
      </c>
    </row>
    <row r="89" spans="1:5" x14ac:dyDescent="0.35">
      <c r="A89">
        <f>Coin1!A90</f>
        <v>89</v>
      </c>
      <c r="B89">
        <f>Coin1!B90</f>
        <v>0</v>
      </c>
      <c r="C89">
        <f>Coin1!C90</f>
        <v>5.3869999999999996</v>
      </c>
      <c r="D89">
        <f>Coin1!D90</f>
        <v>26.36</v>
      </c>
      <c r="E89" t="s">
        <v>45</v>
      </c>
    </row>
    <row r="90" spans="1:5" x14ac:dyDescent="0.35">
      <c r="A90">
        <f>Coin1!A91</f>
        <v>90</v>
      </c>
      <c r="B90">
        <f>Coin1!B91</f>
        <v>0</v>
      </c>
      <c r="C90">
        <f>Coin1!C91</f>
        <v>6.1638733879698702</v>
      </c>
      <c r="D90">
        <f>Coin1!D91</f>
        <v>26.36</v>
      </c>
      <c r="E90" t="s">
        <v>45</v>
      </c>
    </row>
    <row r="91" spans="1:5" x14ac:dyDescent="0.35">
      <c r="A91">
        <f>Coin1!A92</f>
        <v>91</v>
      </c>
      <c r="B91">
        <f>Coin1!B92</f>
        <v>13.605</v>
      </c>
      <c r="C91">
        <f>Coin1!C92</f>
        <v>6.1638733879698702</v>
      </c>
      <c r="D91">
        <f>Coin1!D92</f>
        <v>26.36</v>
      </c>
      <c r="E91" t="s">
        <v>45</v>
      </c>
    </row>
    <row r="92" spans="1:5" x14ac:dyDescent="0.35">
      <c r="A92">
        <f>Coin1!A93</f>
        <v>92</v>
      </c>
      <c r="B92">
        <f>Coin1!B93</f>
        <v>-1.4</v>
      </c>
      <c r="C92">
        <f>Coin1!C93</f>
        <v>8.08</v>
      </c>
      <c r="D92">
        <f>Coin1!D93</f>
        <v>26.36</v>
      </c>
      <c r="E92" t="s">
        <v>45</v>
      </c>
    </row>
    <row r="93" spans="1:5" x14ac:dyDescent="0.35">
      <c r="A93">
        <f>Coin1!A94</f>
        <v>93</v>
      </c>
      <c r="B93">
        <f>Coin1!B94</f>
        <v>0</v>
      </c>
      <c r="C93">
        <f>Coin1!C94</f>
        <v>8.08</v>
      </c>
      <c r="D93">
        <f>Coin1!D94</f>
        <v>26.36</v>
      </c>
      <c r="E93" t="s">
        <v>45</v>
      </c>
    </row>
    <row r="94" spans="1:5" x14ac:dyDescent="0.35">
      <c r="A94">
        <f>Coin1!A95</f>
        <v>94</v>
      </c>
      <c r="B94">
        <f>Coin1!B95</f>
        <v>0.63750000000000062</v>
      </c>
      <c r="C94">
        <f>Coin1!C95</f>
        <v>8.08</v>
      </c>
      <c r="D94">
        <f>Coin1!D95</f>
        <v>26.36</v>
      </c>
      <c r="E94" t="s">
        <v>45</v>
      </c>
    </row>
    <row r="95" spans="1:5" x14ac:dyDescent="0.35">
      <c r="A95">
        <f>Coin1!A96</f>
        <v>95</v>
      </c>
      <c r="B95">
        <f>Coin1!B96</f>
        <v>0.95250000000000057</v>
      </c>
      <c r="C95">
        <f>Coin1!C96</f>
        <v>8.08</v>
      </c>
      <c r="D95">
        <f>Coin1!D96</f>
        <v>26.36</v>
      </c>
      <c r="E95" t="s">
        <v>45</v>
      </c>
    </row>
    <row r="96" spans="1:5" x14ac:dyDescent="0.35">
      <c r="A96">
        <f>Coin1!A97</f>
        <v>96</v>
      </c>
      <c r="B96">
        <f>Coin1!B97</f>
        <v>12.6525</v>
      </c>
      <c r="C96">
        <f>Coin1!C97</f>
        <v>8.08</v>
      </c>
      <c r="D96">
        <f>Coin1!D97</f>
        <v>26.36</v>
      </c>
      <c r="E96" t="s">
        <v>45</v>
      </c>
    </row>
    <row r="97" spans="1:5" x14ac:dyDescent="0.35">
      <c r="A97">
        <f>Coin1!A98</f>
        <v>97</v>
      </c>
      <c r="B97">
        <f>Coin1!B98</f>
        <v>12.967499999999999</v>
      </c>
      <c r="C97">
        <f>Coin1!C98</f>
        <v>8.08</v>
      </c>
      <c r="D97">
        <f>Coin1!D98</f>
        <v>26.36</v>
      </c>
      <c r="E97" t="s">
        <v>45</v>
      </c>
    </row>
    <row r="98" spans="1:5" x14ac:dyDescent="0.35">
      <c r="A98">
        <f>Coin1!A99</f>
        <v>98</v>
      </c>
      <c r="B98">
        <f>Coin1!B99</f>
        <v>13.605</v>
      </c>
      <c r="C98">
        <f>Coin1!C99</f>
        <v>8.08</v>
      </c>
      <c r="D98">
        <f>Coin1!D99</f>
        <v>26.36</v>
      </c>
      <c r="E98" t="s">
        <v>45</v>
      </c>
    </row>
    <row r="99" spans="1:5" x14ac:dyDescent="0.35">
      <c r="A99">
        <f>Coin1!A100</f>
        <v>99</v>
      </c>
      <c r="B99">
        <f>Coin1!B100</f>
        <v>0</v>
      </c>
      <c r="C99">
        <f>Coin1!C100</f>
        <v>9.9961266120301318</v>
      </c>
      <c r="D99">
        <f>Coin1!D100</f>
        <v>26.36</v>
      </c>
      <c r="E99" t="s">
        <v>45</v>
      </c>
    </row>
    <row r="100" spans="1:5" x14ac:dyDescent="0.35">
      <c r="A100">
        <f>Coin1!A101</f>
        <v>100</v>
      </c>
      <c r="B100">
        <f>Coin1!B101</f>
        <v>13.605</v>
      </c>
      <c r="C100">
        <f>Coin1!C101</f>
        <v>9.9961266120301318</v>
      </c>
      <c r="D100">
        <f>Coin1!D101</f>
        <v>26.36</v>
      </c>
      <c r="E100" t="s">
        <v>45</v>
      </c>
    </row>
    <row r="101" spans="1:5" x14ac:dyDescent="0.35">
      <c r="A101">
        <f>Coin1!A102</f>
        <v>101</v>
      </c>
      <c r="B101">
        <f>Coin1!B102</f>
        <v>-1.4</v>
      </c>
      <c r="C101">
        <f>Coin1!C102</f>
        <v>10.773</v>
      </c>
      <c r="D101">
        <f>Coin1!D102</f>
        <v>26.36</v>
      </c>
      <c r="E101" t="s">
        <v>45</v>
      </c>
    </row>
    <row r="102" spans="1:5" x14ac:dyDescent="0.35">
      <c r="A102">
        <f>Coin1!A103</f>
        <v>102</v>
      </c>
      <c r="B102">
        <f>Coin1!B103</f>
        <v>0</v>
      </c>
      <c r="C102">
        <f>Coin1!C103</f>
        <v>10.773</v>
      </c>
      <c r="D102">
        <f>Coin1!D103</f>
        <v>26.36</v>
      </c>
      <c r="E102" t="s">
        <v>45</v>
      </c>
    </row>
    <row r="103" spans="1:5" x14ac:dyDescent="0.35">
      <c r="A103">
        <f>Coin1!A104</f>
        <v>103</v>
      </c>
      <c r="B103">
        <f>Coin1!B104</f>
        <v>0.63750000000000062</v>
      </c>
      <c r="C103">
        <f>Coin1!C104</f>
        <v>10.633626612030131</v>
      </c>
      <c r="D103">
        <f>Coin1!D104</f>
        <v>26.36</v>
      </c>
      <c r="E103" t="s">
        <v>45</v>
      </c>
    </row>
    <row r="104" spans="1:5" x14ac:dyDescent="0.35">
      <c r="A104">
        <f>Coin1!A105</f>
        <v>104</v>
      </c>
      <c r="B104">
        <f>Coin1!B105</f>
        <v>12.967499999999999</v>
      </c>
      <c r="C104">
        <f>Coin1!C105</f>
        <v>10.633626612030131</v>
      </c>
      <c r="D104">
        <f>Coin1!D105</f>
        <v>26.36</v>
      </c>
      <c r="E104" t="s">
        <v>45</v>
      </c>
    </row>
    <row r="105" spans="1:5" x14ac:dyDescent="0.35">
      <c r="A105">
        <f>Coin1!A106</f>
        <v>105</v>
      </c>
      <c r="B105">
        <f>Coin1!B106</f>
        <v>0</v>
      </c>
      <c r="C105">
        <f>Coin1!C106</f>
        <v>12.050751074686755</v>
      </c>
      <c r="D105">
        <f>Coin1!D106</f>
        <v>26.36</v>
      </c>
      <c r="E105" t="s">
        <v>45</v>
      </c>
    </row>
    <row r="106" spans="1:5" x14ac:dyDescent="0.35">
      <c r="A106">
        <f>Coin1!A107</f>
        <v>106</v>
      </c>
      <c r="B106">
        <f>Coin1!B107</f>
        <v>13.605</v>
      </c>
      <c r="C106">
        <f>Coin1!C107</f>
        <v>12.050751074686755</v>
      </c>
      <c r="D106">
        <f>Coin1!D107</f>
        <v>26.36</v>
      </c>
      <c r="E106" t="s">
        <v>45</v>
      </c>
    </row>
    <row r="107" spans="1:5" x14ac:dyDescent="0.35">
      <c r="A107">
        <f>Coin1!A108</f>
        <v>107</v>
      </c>
      <c r="B107">
        <f>Coin1!B108</f>
        <v>2.6655000000000006</v>
      </c>
      <c r="C107">
        <f>Coin1!C108</f>
        <v>12.216999999999999</v>
      </c>
      <c r="D107">
        <f>Coin1!D108</f>
        <v>26.36</v>
      </c>
      <c r="E107" t="s">
        <v>45</v>
      </c>
    </row>
    <row r="108" spans="1:5" x14ac:dyDescent="0.35">
      <c r="A108">
        <f>Coin1!A109</f>
        <v>108</v>
      </c>
      <c r="B108">
        <f>Coin1!B109</f>
        <v>10.939499999999999</v>
      </c>
      <c r="C108">
        <f>Coin1!C109</f>
        <v>12.216999999999999</v>
      </c>
      <c r="D108">
        <f>Coin1!D109</f>
        <v>26.36</v>
      </c>
      <c r="E108" t="s">
        <v>45</v>
      </c>
    </row>
    <row r="109" spans="1:5" x14ac:dyDescent="0.35">
      <c r="A109">
        <f>Coin1!A110</f>
        <v>109</v>
      </c>
      <c r="B109">
        <f>Coin1!B110</f>
        <v>2.4435000000000002</v>
      </c>
      <c r="C109">
        <f>Coin1!C110</f>
        <v>12.439</v>
      </c>
      <c r="D109">
        <f>Coin1!D110</f>
        <v>26.36</v>
      </c>
      <c r="E109" t="s">
        <v>45</v>
      </c>
    </row>
    <row r="110" spans="1:5" x14ac:dyDescent="0.35">
      <c r="A110">
        <f>Coin1!A111</f>
        <v>110</v>
      </c>
      <c r="B110">
        <f>Coin1!B111</f>
        <v>11.1615</v>
      </c>
      <c r="C110">
        <f>Coin1!C111</f>
        <v>12.439</v>
      </c>
      <c r="D110">
        <f>Coin1!D111</f>
        <v>26.36</v>
      </c>
      <c r="E110" t="s">
        <v>45</v>
      </c>
    </row>
    <row r="111" spans="1:5" x14ac:dyDescent="0.35">
      <c r="A111">
        <f>Coin1!A112</f>
        <v>111</v>
      </c>
      <c r="B111">
        <f>Coin1!B112</f>
        <v>-1.4</v>
      </c>
      <c r="C111">
        <f>Coin1!C112</f>
        <v>13.467000000000001</v>
      </c>
      <c r="D111">
        <f>Coin1!D112</f>
        <v>26.36</v>
      </c>
      <c r="E111" t="s">
        <v>45</v>
      </c>
    </row>
    <row r="112" spans="1:5" x14ac:dyDescent="0.35">
      <c r="A112">
        <f>Coin1!A113</f>
        <v>112</v>
      </c>
      <c r="B112">
        <f>Coin1!B113</f>
        <v>0</v>
      </c>
      <c r="C112">
        <f>Coin1!C113</f>
        <v>13.467000000000001</v>
      </c>
      <c r="D112">
        <f>Coin1!D113</f>
        <v>26.36</v>
      </c>
      <c r="E112" t="s">
        <v>45</v>
      </c>
    </row>
    <row r="113" spans="1:5" x14ac:dyDescent="0.35">
      <c r="A113">
        <f>Coin1!A114</f>
        <v>113</v>
      </c>
      <c r="B113">
        <f>Coin1!B114</f>
        <v>1.4155000000000006</v>
      </c>
      <c r="C113">
        <f>Coin1!C114</f>
        <v>13.466999999999999</v>
      </c>
      <c r="D113">
        <f>Coin1!D114</f>
        <v>26.36</v>
      </c>
      <c r="E113" t="s">
        <v>45</v>
      </c>
    </row>
    <row r="114" spans="1:5" x14ac:dyDescent="0.35">
      <c r="A114">
        <f>Coin1!A115</f>
        <v>114</v>
      </c>
      <c r="B114">
        <f>Coin1!B115</f>
        <v>12.189499999999999</v>
      </c>
      <c r="C114">
        <f>Coin1!C115</f>
        <v>13.466999999999999</v>
      </c>
      <c r="D114">
        <f>Coin1!D115</f>
        <v>26.36</v>
      </c>
      <c r="E114" t="s">
        <v>45</v>
      </c>
    </row>
    <row r="115" spans="1:5" x14ac:dyDescent="0.35">
      <c r="A115">
        <f>Coin1!A116</f>
        <v>115</v>
      </c>
      <c r="B115">
        <f>Coin1!B116</f>
        <v>0</v>
      </c>
      <c r="C115">
        <f>Coin1!C116</f>
        <v>14.105375537343377</v>
      </c>
      <c r="D115">
        <f>Coin1!D116</f>
        <v>26.36</v>
      </c>
      <c r="E115" t="s">
        <v>45</v>
      </c>
    </row>
    <row r="116" spans="1:5" x14ac:dyDescent="0.35">
      <c r="A116">
        <f>Coin1!A117</f>
        <v>116</v>
      </c>
      <c r="B116">
        <f>Coin1!B117</f>
        <v>13.605</v>
      </c>
      <c r="C116">
        <f>Coin1!C117</f>
        <v>14.105375537343377</v>
      </c>
      <c r="D116">
        <f>Coin1!D117</f>
        <v>26.36</v>
      </c>
      <c r="E116" t="s">
        <v>45</v>
      </c>
    </row>
    <row r="117" spans="1:5" x14ac:dyDescent="0.35">
      <c r="A117">
        <f>Coin1!A118</f>
        <v>117</v>
      </c>
      <c r="B117">
        <f>Coin1!B118</f>
        <v>6.8025000000000002</v>
      </c>
      <c r="C117">
        <f>Coin1!C118</f>
        <v>13.93</v>
      </c>
      <c r="D117">
        <f>Coin1!D118</f>
        <v>26.36</v>
      </c>
      <c r="E117" t="s">
        <v>45</v>
      </c>
    </row>
    <row r="118" spans="1:5" x14ac:dyDescent="0.35">
      <c r="A118">
        <f>Coin1!A119</f>
        <v>118</v>
      </c>
      <c r="B118">
        <f>Coin1!B119</f>
        <v>4.2488733879698692</v>
      </c>
      <c r="C118">
        <f>Coin1!C119</f>
        <v>14.244999999999999</v>
      </c>
      <c r="D118">
        <f>Coin1!D119</f>
        <v>26.36</v>
      </c>
      <c r="E118" t="s">
        <v>45</v>
      </c>
    </row>
    <row r="119" spans="1:5" x14ac:dyDescent="0.35">
      <c r="A119">
        <f>Coin1!A120</f>
        <v>119</v>
      </c>
      <c r="B119">
        <f>Coin1!B120</f>
        <v>6.8025000000000002</v>
      </c>
      <c r="C119">
        <f>Coin1!C120</f>
        <v>14.244999999999999</v>
      </c>
      <c r="D119">
        <f>Coin1!D120</f>
        <v>26.36</v>
      </c>
      <c r="E119" t="s">
        <v>45</v>
      </c>
    </row>
    <row r="120" spans="1:5" x14ac:dyDescent="0.35">
      <c r="A120">
        <f>Coin1!A121</f>
        <v>120</v>
      </c>
      <c r="B120">
        <f>Coin1!B121</f>
        <v>9.3561266120301312</v>
      </c>
      <c r="C120">
        <f>Coin1!C121</f>
        <v>14.244999999999999</v>
      </c>
      <c r="D120">
        <f>Coin1!D121</f>
        <v>26.36</v>
      </c>
      <c r="E120" t="s">
        <v>45</v>
      </c>
    </row>
    <row r="121" spans="1:5" x14ac:dyDescent="0.35">
      <c r="A121">
        <f>Coin1!A122</f>
        <v>121</v>
      </c>
      <c r="B121">
        <f>Coin1!B122</f>
        <v>-1.4</v>
      </c>
      <c r="C121">
        <f>Coin1!C122</f>
        <v>16.16</v>
      </c>
      <c r="D121">
        <f>Coin1!D122</f>
        <v>26.36</v>
      </c>
      <c r="E121" t="s">
        <v>45</v>
      </c>
    </row>
    <row r="122" spans="1:5" x14ac:dyDescent="0.35">
      <c r="A122">
        <f>Coin1!A123</f>
        <v>122</v>
      </c>
      <c r="B122">
        <f>Coin1!B123</f>
        <v>0</v>
      </c>
      <c r="C122">
        <f>Coin1!C123</f>
        <v>16.16</v>
      </c>
      <c r="D122">
        <f>Coin1!D123</f>
        <v>26.36</v>
      </c>
      <c r="E122" t="s">
        <v>45</v>
      </c>
    </row>
    <row r="123" spans="1:5" x14ac:dyDescent="0.35">
      <c r="A123">
        <f>Coin1!A124</f>
        <v>123</v>
      </c>
      <c r="B123">
        <f>Coin1!B124</f>
        <v>2.0546244626566232</v>
      </c>
      <c r="C123">
        <f>Coin1!C124</f>
        <v>16.16</v>
      </c>
      <c r="D123">
        <f>Coin1!D124</f>
        <v>26.36</v>
      </c>
      <c r="E123" t="s">
        <v>45</v>
      </c>
    </row>
    <row r="124" spans="1:5" x14ac:dyDescent="0.35">
      <c r="A124">
        <f>Coin1!A125</f>
        <v>124</v>
      </c>
      <c r="B124">
        <f>Coin1!B125</f>
        <v>4.1092489253132465</v>
      </c>
      <c r="C124">
        <f>Coin1!C125</f>
        <v>16.16</v>
      </c>
      <c r="D124">
        <f>Coin1!D125</f>
        <v>26.36</v>
      </c>
      <c r="E124" t="s">
        <v>45</v>
      </c>
    </row>
    <row r="125" spans="1:5" x14ac:dyDescent="0.35">
      <c r="A125">
        <f>Coin1!A126</f>
        <v>125</v>
      </c>
      <c r="B125">
        <f>Coin1!B126</f>
        <v>6.1638733879698702</v>
      </c>
      <c r="C125">
        <f>Coin1!C126</f>
        <v>16.16</v>
      </c>
      <c r="D125">
        <f>Coin1!D126</f>
        <v>26.36</v>
      </c>
      <c r="E125" t="s">
        <v>45</v>
      </c>
    </row>
    <row r="126" spans="1:5" x14ac:dyDescent="0.35">
      <c r="A126">
        <f>Coin1!A127</f>
        <v>126</v>
      </c>
      <c r="B126">
        <f>Coin1!B127</f>
        <v>5.9525000000000006</v>
      </c>
      <c r="C126">
        <f>Coin1!C127</f>
        <v>16.16</v>
      </c>
      <c r="D126">
        <f>Coin1!D127</f>
        <v>26.36</v>
      </c>
      <c r="E126" t="s">
        <v>45</v>
      </c>
    </row>
    <row r="127" spans="1:5" x14ac:dyDescent="0.35">
      <c r="A127">
        <f>Coin1!A128</f>
        <v>127</v>
      </c>
      <c r="B127">
        <f>Coin1!B128</f>
        <v>6.1875</v>
      </c>
      <c r="C127">
        <f>Coin1!C128</f>
        <v>16.16</v>
      </c>
      <c r="D127">
        <f>Coin1!D128</f>
        <v>26.36</v>
      </c>
      <c r="E127" t="s">
        <v>45</v>
      </c>
    </row>
    <row r="128" spans="1:5" x14ac:dyDescent="0.35">
      <c r="A128">
        <f>Coin1!A129</f>
        <v>128</v>
      </c>
      <c r="B128">
        <f>Coin1!B129</f>
        <v>6.8025000000000002</v>
      </c>
      <c r="C128">
        <f>Coin1!C129</f>
        <v>16.16</v>
      </c>
      <c r="D128">
        <f>Coin1!D129</f>
        <v>26.36</v>
      </c>
      <c r="E128" t="s">
        <v>45</v>
      </c>
    </row>
    <row r="129" spans="1:5" x14ac:dyDescent="0.35">
      <c r="A129">
        <f>Coin1!A130</f>
        <v>129</v>
      </c>
      <c r="B129">
        <f>Coin1!B130</f>
        <v>7.4175000000000004</v>
      </c>
      <c r="C129">
        <f>Coin1!C130</f>
        <v>16.16</v>
      </c>
      <c r="D129">
        <f>Coin1!D130</f>
        <v>26.36</v>
      </c>
      <c r="E129" t="s">
        <v>45</v>
      </c>
    </row>
    <row r="130" spans="1:5" x14ac:dyDescent="0.35">
      <c r="A130">
        <f>Coin1!A131</f>
        <v>130</v>
      </c>
      <c r="B130">
        <f>Coin1!B131</f>
        <v>7.6524999999999999</v>
      </c>
      <c r="C130">
        <f>Coin1!C131</f>
        <v>16.16</v>
      </c>
      <c r="D130">
        <f>Coin1!D131</f>
        <v>26.36</v>
      </c>
      <c r="E130" t="s">
        <v>45</v>
      </c>
    </row>
    <row r="131" spans="1:5" x14ac:dyDescent="0.35">
      <c r="A131">
        <f>Coin1!A132</f>
        <v>131</v>
      </c>
      <c r="B131">
        <f>Coin1!B132</f>
        <v>7.441126612030132</v>
      </c>
      <c r="C131">
        <f>Coin1!C132</f>
        <v>16.16</v>
      </c>
      <c r="D131">
        <f>Coin1!D132</f>
        <v>26.36</v>
      </c>
      <c r="E131" t="s">
        <v>45</v>
      </c>
    </row>
    <row r="132" spans="1:5" x14ac:dyDescent="0.35">
      <c r="A132">
        <f>Coin1!A133</f>
        <v>132</v>
      </c>
      <c r="B132">
        <f>Coin1!B133</f>
        <v>9.4957510746867548</v>
      </c>
      <c r="C132">
        <f>Coin1!C133</f>
        <v>16.16</v>
      </c>
      <c r="D132">
        <f>Coin1!D133</f>
        <v>26.36</v>
      </c>
      <c r="E132" t="s">
        <v>45</v>
      </c>
    </row>
    <row r="133" spans="1:5" x14ac:dyDescent="0.35">
      <c r="A133">
        <f>Coin1!A134</f>
        <v>133</v>
      </c>
      <c r="B133">
        <f>Coin1!B134</f>
        <v>11.550375537343378</v>
      </c>
      <c r="C133">
        <f>Coin1!C134</f>
        <v>16.16</v>
      </c>
      <c r="D133">
        <f>Coin1!D134</f>
        <v>26.36</v>
      </c>
      <c r="E133" t="s">
        <v>45</v>
      </c>
    </row>
    <row r="134" spans="1:5" x14ac:dyDescent="0.35">
      <c r="A134">
        <f>Coin1!A135</f>
        <v>134</v>
      </c>
      <c r="B134">
        <f>Coin1!B135</f>
        <v>13.605</v>
      </c>
      <c r="C134">
        <f>Coin1!C135</f>
        <v>16.16</v>
      </c>
      <c r="D134">
        <f>Coin1!D135</f>
        <v>26.36</v>
      </c>
      <c r="E134" t="s">
        <v>45</v>
      </c>
    </row>
    <row r="135" spans="1:5" x14ac:dyDescent="0.35">
      <c r="A135">
        <f>Coin1!A136</f>
        <v>135</v>
      </c>
      <c r="B135">
        <f>Coin1!B136</f>
        <v>5.9525000000000006</v>
      </c>
      <c r="C135">
        <f>Coin1!C136</f>
        <v>7.3750000000000009</v>
      </c>
      <c r="D135">
        <f>Coin1!D136</f>
        <v>27.25</v>
      </c>
      <c r="E135" t="s">
        <v>45</v>
      </c>
    </row>
    <row r="136" spans="1:5" x14ac:dyDescent="0.35">
      <c r="A136">
        <f>Coin1!A137</f>
        <v>136</v>
      </c>
      <c r="B136">
        <f>Coin1!B137</f>
        <v>6.3525</v>
      </c>
      <c r="C136">
        <f>Coin1!C137</f>
        <v>7.3750000000000009</v>
      </c>
      <c r="D136">
        <f>Coin1!D137</f>
        <v>27.25</v>
      </c>
      <c r="E136" t="s">
        <v>45</v>
      </c>
    </row>
    <row r="137" spans="1:5" x14ac:dyDescent="0.35">
      <c r="A137">
        <f>Coin1!A138</f>
        <v>137</v>
      </c>
      <c r="B137">
        <f>Coin1!B138</f>
        <v>7.2525000000000004</v>
      </c>
      <c r="C137">
        <f>Coin1!C138</f>
        <v>7.3750000000000009</v>
      </c>
      <c r="D137">
        <f>Coin1!D138</f>
        <v>27.25</v>
      </c>
      <c r="E137" t="s">
        <v>45</v>
      </c>
    </row>
    <row r="138" spans="1:5" x14ac:dyDescent="0.35">
      <c r="A138">
        <f>Coin1!A139</f>
        <v>138</v>
      </c>
      <c r="B138">
        <f>Coin1!B139</f>
        <v>7.6524999999999999</v>
      </c>
      <c r="C138">
        <f>Coin1!C139</f>
        <v>7.3750000000000009</v>
      </c>
      <c r="D138">
        <f>Coin1!D139</f>
        <v>27.25</v>
      </c>
      <c r="E138" t="s">
        <v>45</v>
      </c>
    </row>
    <row r="139" spans="1:5" x14ac:dyDescent="0.35">
      <c r="A139">
        <f>Coin1!A140</f>
        <v>139</v>
      </c>
      <c r="B139">
        <f>Coin1!B140</f>
        <v>6.8025000000000002</v>
      </c>
      <c r="C139">
        <f>Coin1!C140</f>
        <v>8.08</v>
      </c>
      <c r="D139">
        <f>Coin1!D140</f>
        <v>27.25</v>
      </c>
      <c r="E139" t="s">
        <v>45</v>
      </c>
    </row>
    <row r="140" spans="1:5" x14ac:dyDescent="0.35">
      <c r="A140">
        <f>Coin1!A141</f>
        <v>140</v>
      </c>
      <c r="B140">
        <f>Coin1!B141</f>
        <v>5.9525000000000006</v>
      </c>
      <c r="C140">
        <f>Coin1!C141</f>
        <v>8.7849999999999984</v>
      </c>
      <c r="D140">
        <f>Coin1!D141</f>
        <v>27.25</v>
      </c>
      <c r="E140" t="s">
        <v>45</v>
      </c>
    </row>
    <row r="141" spans="1:5" x14ac:dyDescent="0.35">
      <c r="A141">
        <f>Coin1!A142</f>
        <v>141</v>
      </c>
      <c r="B141">
        <f>Coin1!B142</f>
        <v>6.3525</v>
      </c>
      <c r="C141">
        <f>Coin1!C142</f>
        <v>8.7849999999999984</v>
      </c>
      <c r="D141">
        <f>Coin1!D142</f>
        <v>27.25</v>
      </c>
      <c r="E141" t="s">
        <v>45</v>
      </c>
    </row>
    <row r="142" spans="1:5" x14ac:dyDescent="0.35">
      <c r="A142">
        <f>Coin1!A143</f>
        <v>142</v>
      </c>
      <c r="B142">
        <f>Coin1!B143</f>
        <v>7.2525000000000004</v>
      </c>
      <c r="C142">
        <f>Coin1!C143</f>
        <v>8.7849999999999984</v>
      </c>
      <c r="D142">
        <f>Coin1!D143</f>
        <v>27.25</v>
      </c>
      <c r="E142" t="s">
        <v>45</v>
      </c>
    </row>
    <row r="143" spans="1:5" x14ac:dyDescent="0.35">
      <c r="A143">
        <f>Coin1!A144</f>
        <v>143</v>
      </c>
      <c r="B143">
        <f>Coin1!B144</f>
        <v>7.6524999999999999</v>
      </c>
      <c r="C143">
        <f>Coin1!C144</f>
        <v>8.7849999999999984</v>
      </c>
      <c r="D143">
        <f>Coin1!D144</f>
        <v>27.25</v>
      </c>
      <c r="E143" t="s">
        <v>45</v>
      </c>
    </row>
    <row r="144" spans="1:5" x14ac:dyDescent="0.35">
      <c r="A144">
        <f>Coin1!A145</f>
        <v>144</v>
      </c>
      <c r="B144">
        <f>Coin1!B145</f>
        <v>5.9525000000000006</v>
      </c>
      <c r="C144">
        <f>Coin1!C145</f>
        <v>0</v>
      </c>
      <c r="D144">
        <f>Coin1!D145</f>
        <v>27.55</v>
      </c>
      <c r="E144" t="s">
        <v>45</v>
      </c>
    </row>
    <row r="145" spans="1:5" x14ac:dyDescent="0.35">
      <c r="A145">
        <f>Coin1!A146</f>
        <v>145</v>
      </c>
      <c r="B145">
        <f>Coin1!B146</f>
        <v>7.6524999999999999</v>
      </c>
      <c r="C145">
        <f>Coin1!C146</f>
        <v>0</v>
      </c>
      <c r="D145">
        <f>Coin1!D146</f>
        <v>27.55</v>
      </c>
      <c r="E145" t="s">
        <v>45</v>
      </c>
    </row>
    <row r="146" spans="1:5" x14ac:dyDescent="0.35">
      <c r="A146">
        <f>Coin1!A147</f>
        <v>146</v>
      </c>
      <c r="B146">
        <f>Coin1!B147</f>
        <v>5.9525000000000006</v>
      </c>
      <c r="C146">
        <f>Coin1!C147</f>
        <v>0.4</v>
      </c>
      <c r="D146">
        <f>Coin1!D147</f>
        <v>27.55</v>
      </c>
      <c r="E146" t="s">
        <v>45</v>
      </c>
    </row>
    <row r="147" spans="1:5" x14ac:dyDescent="0.35">
      <c r="A147">
        <f>Coin1!A148</f>
        <v>147</v>
      </c>
      <c r="B147">
        <f>Coin1!B148</f>
        <v>7.6524999999999999</v>
      </c>
      <c r="C147">
        <f>Coin1!C148</f>
        <v>0.4</v>
      </c>
      <c r="D147">
        <f>Coin1!D148</f>
        <v>27.55</v>
      </c>
      <c r="E147" t="s">
        <v>45</v>
      </c>
    </row>
    <row r="148" spans="1:5" x14ac:dyDescent="0.35">
      <c r="A148">
        <f>Coin1!A149</f>
        <v>148</v>
      </c>
      <c r="B148">
        <f>Coin1!B149</f>
        <v>5.9525000000000006</v>
      </c>
      <c r="C148">
        <f>Coin1!C149</f>
        <v>2.4249999999999998</v>
      </c>
      <c r="D148">
        <f>Coin1!D149</f>
        <v>27.55</v>
      </c>
      <c r="E148" t="s">
        <v>45</v>
      </c>
    </row>
    <row r="149" spans="1:5" x14ac:dyDescent="0.35">
      <c r="A149">
        <f>Coin1!A150</f>
        <v>149</v>
      </c>
      <c r="B149">
        <f>Coin1!B150</f>
        <v>7.6524999999999999</v>
      </c>
      <c r="C149">
        <f>Coin1!C150</f>
        <v>2.4249999999999998</v>
      </c>
      <c r="D149">
        <f>Coin1!D150</f>
        <v>27.55</v>
      </c>
      <c r="E149" t="s">
        <v>45</v>
      </c>
    </row>
    <row r="150" spans="1:5" x14ac:dyDescent="0.35">
      <c r="A150">
        <f>Coin1!A151</f>
        <v>150</v>
      </c>
      <c r="B150">
        <f>Coin1!B151</f>
        <v>5.9525000000000006</v>
      </c>
      <c r="C150">
        <f>Coin1!C151</f>
        <v>4.45</v>
      </c>
      <c r="D150">
        <f>Coin1!D151</f>
        <v>27.55</v>
      </c>
      <c r="E150" t="s">
        <v>45</v>
      </c>
    </row>
    <row r="151" spans="1:5" x14ac:dyDescent="0.35">
      <c r="A151">
        <f>Coin1!A152</f>
        <v>151</v>
      </c>
      <c r="B151">
        <f>Coin1!B152</f>
        <v>7.6524999999999999</v>
      </c>
      <c r="C151">
        <f>Coin1!C152</f>
        <v>4.45</v>
      </c>
      <c r="D151">
        <f>Coin1!D152</f>
        <v>27.55</v>
      </c>
      <c r="E151" t="s">
        <v>45</v>
      </c>
    </row>
    <row r="152" spans="1:5" x14ac:dyDescent="0.35">
      <c r="A152">
        <f>Coin1!A153</f>
        <v>152</v>
      </c>
      <c r="B152">
        <f>Coin1!B153</f>
        <v>5.9525000000000006</v>
      </c>
      <c r="C152">
        <f>Coin1!C153</f>
        <v>6.4750000000000005</v>
      </c>
      <c r="D152">
        <f>Coin1!D153</f>
        <v>27.55</v>
      </c>
      <c r="E152" t="s">
        <v>45</v>
      </c>
    </row>
    <row r="153" spans="1:5" x14ac:dyDescent="0.35">
      <c r="A153">
        <f>Coin1!A154</f>
        <v>153</v>
      </c>
      <c r="B153">
        <f>Coin1!B154</f>
        <v>7.6524999999999999</v>
      </c>
      <c r="C153">
        <f>Coin1!C154</f>
        <v>6.4750000000000005</v>
      </c>
      <c r="D153">
        <f>Coin1!D154</f>
        <v>27.55</v>
      </c>
      <c r="E153" t="s">
        <v>45</v>
      </c>
    </row>
    <row r="154" spans="1:5" x14ac:dyDescent="0.35">
      <c r="A154">
        <f>Coin1!A155</f>
        <v>154</v>
      </c>
      <c r="B154">
        <f>Coin1!B155</f>
        <v>5.9525000000000006</v>
      </c>
      <c r="C154">
        <f>Coin1!C155</f>
        <v>7.3750000000000009</v>
      </c>
      <c r="D154">
        <f>Coin1!D155</f>
        <v>27.55</v>
      </c>
      <c r="E154" t="s">
        <v>45</v>
      </c>
    </row>
    <row r="155" spans="1:5" x14ac:dyDescent="0.35">
      <c r="A155">
        <f>Coin1!A156</f>
        <v>155</v>
      </c>
      <c r="B155">
        <f>Coin1!B156</f>
        <v>7.6524999999999999</v>
      </c>
      <c r="C155">
        <f>Coin1!C156</f>
        <v>7.3750000000000009</v>
      </c>
      <c r="D155">
        <f>Coin1!D156</f>
        <v>27.55</v>
      </c>
      <c r="E155" t="s">
        <v>45</v>
      </c>
    </row>
    <row r="156" spans="1:5" x14ac:dyDescent="0.35">
      <c r="A156">
        <f>Coin1!A157</f>
        <v>156</v>
      </c>
      <c r="B156">
        <f>Coin1!B157</f>
        <v>5.9525000000000006</v>
      </c>
      <c r="C156">
        <f>Coin1!C157</f>
        <v>8.7849999999999984</v>
      </c>
      <c r="D156">
        <f>Coin1!D157</f>
        <v>27.55</v>
      </c>
      <c r="E156" t="s">
        <v>45</v>
      </c>
    </row>
    <row r="157" spans="1:5" x14ac:dyDescent="0.35">
      <c r="A157">
        <f>Coin1!A158</f>
        <v>157</v>
      </c>
      <c r="B157">
        <f>Coin1!B158</f>
        <v>7.6524999999999999</v>
      </c>
      <c r="C157">
        <f>Coin1!C158</f>
        <v>8.7849999999999984</v>
      </c>
      <c r="D157">
        <f>Coin1!D158</f>
        <v>27.55</v>
      </c>
      <c r="E157" t="s">
        <v>45</v>
      </c>
    </row>
    <row r="158" spans="1:5" x14ac:dyDescent="0.35">
      <c r="A158">
        <f>Coin1!A159</f>
        <v>158</v>
      </c>
      <c r="B158">
        <f>Coin1!B159</f>
        <v>5.9525000000000006</v>
      </c>
      <c r="C158">
        <f>Coin1!C159</f>
        <v>9.6849999999999987</v>
      </c>
      <c r="D158">
        <f>Coin1!D159</f>
        <v>27.55</v>
      </c>
      <c r="E158" t="s">
        <v>45</v>
      </c>
    </row>
    <row r="159" spans="1:5" x14ac:dyDescent="0.35">
      <c r="A159">
        <f>Coin1!A160</f>
        <v>159</v>
      </c>
      <c r="B159">
        <f>Coin1!B160</f>
        <v>7.6524999999999999</v>
      </c>
      <c r="C159">
        <f>Coin1!C160</f>
        <v>9.6849999999999987</v>
      </c>
      <c r="D159">
        <f>Coin1!D160</f>
        <v>27.55</v>
      </c>
      <c r="E159" t="s">
        <v>45</v>
      </c>
    </row>
    <row r="160" spans="1:5" x14ac:dyDescent="0.35">
      <c r="A160">
        <f>Coin1!A161</f>
        <v>160</v>
      </c>
      <c r="B160">
        <f>Coin1!B161</f>
        <v>5.9525000000000006</v>
      </c>
      <c r="C160">
        <f>Coin1!C161</f>
        <v>11.71</v>
      </c>
      <c r="D160">
        <f>Coin1!D161</f>
        <v>27.55</v>
      </c>
      <c r="E160" t="s">
        <v>45</v>
      </c>
    </row>
    <row r="161" spans="1:5" x14ac:dyDescent="0.35">
      <c r="A161">
        <f>Coin1!A162</f>
        <v>161</v>
      </c>
      <c r="B161">
        <f>Coin1!B162</f>
        <v>7.6524999999999999</v>
      </c>
      <c r="C161">
        <f>Coin1!C162</f>
        <v>11.71</v>
      </c>
      <c r="D161">
        <f>Coin1!D162</f>
        <v>27.55</v>
      </c>
      <c r="E161" t="s">
        <v>45</v>
      </c>
    </row>
    <row r="162" spans="1:5" x14ac:dyDescent="0.35">
      <c r="A162">
        <f>Coin1!A163</f>
        <v>162</v>
      </c>
      <c r="B162">
        <f>Coin1!B163</f>
        <v>5.9525000000000006</v>
      </c>
      <c r="C162">
        <f>Coin1!C163</f>
        <v>13.734999999999999</v>
      </c>
      <c r="D162">
        <f>Coin1!D163</f>
        <v>27.55</v>
      </c>
      <c r="E162" t="s">
        <v>45</v>
      </c>
    </row>
    <row r="163" spans="1:5" x14ac:dyDescent="0.35">
      <c r="A163">
        <f>Coin1!A164</f>
        <v>163</v>
      </c>
      <c r="B163">
        <f>Coin1!B164</f>
        <v>7.6524999999999999</v>
      </c>
      <c r="C163">
        <f>Coin1!C164</f>
        <v>13.734999999999999</v>
      </c>
      <c r="D163">
        <f>Coin1!D164</f>
        <v>27.55</v>
      </c>
      <c r="E163" t="s">
        <v>45</v>
      </c>
    </row>
    <row r="164" spans="1:5" x14ac:dyDescent="0.35">
      <c r="A164">
        <f>Coin1!A165</f>
        <v>164</v>
      </c>
      <c r="B164">
        <f>Coin1!B165</f>
        <v>5.9525000000000006</v>
      </c>
      <c r="C164">
        <f>Coin1!C165</f>
        <v>15.76</v>
      </c>
      <c r="D164">
        <f>Coin1!D165</f>
        <v>27.55</v>
      </c>
      <c r="E164" t="s">
        <v>45</v>
      </c>
    </row>
    <row r="165" spans="1:5" x14ac:dyDescent="0.35">
      <c r="A165">
        <f>Coin1!A166</f>
        <v>165</v>
      </c>
      <c r="B165">
        <f>Coin1!B166</f>
        <v>7.6524999999999999</v>
      </c>
      <c r="C165">
        <f>Coin1!C166</f>
        <v>15.76</v>
      </c>
      <c r="D165">
        <f>Coin1!D166</f>
        <v>27.55</v>
      </c>
      <c r="E165" t="s">
        <v>45</v>
      </c>
    </row>
    <row r="166" spans="1:5" x14ac:dyDescent="0.35">
      <c r="A166">
        <f>Coin1!A167</f>
        <v>166</v>
      </c>
      <c r="B166">
        <f>Coin1!B167</f>
        <v>5.9525000000000006</v>
      </c>
      <c r="C166">
        <f>Coin1!C167</f>
        <v>16.16</v>
      </c>
      <c r="D166">
        <f>Coin1!D167</f>
        <v>27.55</v>
      </c>
      <c r="E166" t="s">
        <v>45</v>
      </c>
    </row>
    <row r="167" spans="1:5" x14ac:dyDescent="0.35">
      <c r="A167">
        <f>Coin1!A168</f>
        <v>167</v>
      </c>
      <c r="B167">
        <f>Coin1!B168</f>
        <v>7.6524999999999999</v>
      </c>
      <c r="C167">
        <f>Coin1!C168</f>
        <v>16.16</v>
      </c>
      <c r="D167">
        <f>Coin1!D168</f>
        <v>27.55</v>
      </c>
      <c r="E167" t="s">
        <v>45</v>
      </c>
    </row>
    <row r="168" spans="1:5" x14ac:dyDescent="0.35">
      <c r="A168">
        <f>Coin1!A169</f>
        <v>168</v>
      </c>
      <c r="B168">
        <f>Coin1!B169</f>
        <v>0.91200000000000003</v>
      </c>
      <c r="C168">
        <f>Coin1!C169</f>
        <v>0</v>
      </c>
      <c r="D168">
        <f>Coin1!D169</f>
        <v>27.939999999999998</v>
      </c>
      <c r="E168" t="s">
        <v>45</v>
      </c>
    </row>
    <row r="169" spans="1:5" x14ac:dyDescent="0.35">
      <c r="A169">
        <f>Coin1!A170</f>
        <v>169</v>
      </c>
      <c r="B169">
        <f>Coin1!B170</f>
        <v>12.693</v>
      </c>
      <c r="C169">
        <f>Coin1!C170</f>
        <v>0</v>
      </c>
      <c r="D169">
        <f>Coin1!D170</f>
        <v>27.939999999999998</v>
      </c>
      <c r="E169" t="s">
        <v>45</v>
      </c>
    </row>
    <row r="170" spans="1:5" x14ac:dyDescent="0.35">
      <c r="A170">
        <f>Coin1!A171</f>
        <v>170</v>
      </c>
      <c r="B170">
        <f>Coin1!B171</f>
        <v>0.91200000000000003</v>
      </c>
      <c r="C170">
        <f>Coin1!C171</f>
        <v>8.08</v>
      </c>
      <c r="D170">
        <f>Coin1!D171</f>
        <v>27.939999999999998</v>
      </c>
      <c r="E170" t="s">
        <v>45</v>
      </c>
    </row>
    <row r="171" spans="1:5" x14ac:dyDescent="0.35">
      <c r="A171">
        <f>Coin1!A172</f>
        <v>171</v>
      </c>
      <c r="B171">
        <f>Coin1!B172</f>
        <v>12.693</v>
      </c>
      <c r="C171">
        <f>Coin1!C172</f>
        <v>8.08</v>
      </c>
      <c r="D171">
        <f>Coin1!D172</f>
        <v>27.939999999999998</v>
      </c>
      <c r="E171" t="s">
        <v>45</v>
      </c>
    </row>
    <row r="172" spans="1:5" x14ac:dyDescent="0.35">
      <c r="A172">
        <f>Coin1!A173</f>
        <v>172</v>
      </c>
      <c r="B172">
        <f>Coin1!B173</f>
        <v>0.91200000000000003</v>
      </c>
      <c r="C172">
        <f>Coin1!C173</f>
        <v>16.16</v>
      </c>
      <c r="D172">
        <f>Coin1!D173</f>
        <v>27.939999999999998</v>
      </c>
      <c r="E172" t="s">
        <v>45</v>
      </c>
    </row>
    <row r="173" spans="1:5" x14ac:dyDescent="0.35">
      <c r="A173">
        <f>Coin1!A174</f>
        <v>173</v>
      </c>
      <c r="B173">
        <f>Coin1!B174</f>
        <v>12.693</v>
      </c>
      <c r="C173">
        <f>Coin1!C174</f>
        <v>16.16</v>
      </c>
      <c r="D173">
        <f>Coin1!D174</f>
        <v>27.939999999999998</v>
      </c>
      <c r="E173" t="s">
        <v>45</v>
      </c>
    </row>
    <row r="174" spans="1:5" x14ac:dyDescent="0.35">
      <c r="A174">
        <f>Coin1!A175</f>
        <v>174</v>
      </c>
      <c r="B174">
        <f>Coin1!B175</f>
        <v>-1.4</v>
      </c>
      <c r="C174">
        <f>Coin1!C175</f>
        <v>-0.35</v>
      </c>
      <c r="D174">
        <f>Coin1!D175</f>
        <v>29.268068904621821</v>
      </c>
      <c r="E174" t="s">
        <v>45</v>
      </c>
    </row>
    <row r="175" spans="1:5" x14ac:dyDescent="0.35">
      <c r="A175">
        <f>Coin1!A176</f>
        <v>175</v>
      </c>
      <c r="B175">
        <f>Coin1!B176</f>
        <v>0</v>
      </c>
      <c r="C175">
        <f>Coin1!C176</f>
        <v>-0.35</v>
      </c>
      <c r="D175">
        <f>Coin1!D176</f>
        <v>29.268068904621821</v>
      </c>
      <c r="E175" t="s">
        <v>45</v>
      </c>
    </row>
    <row r="176" spans="1:5" x14ac:dyDescent="0.35">
      <c r="A176">
        <f>Coin1!A177</f>
        <v>176</v>
      </c>
      <c r="B176">
        <f>Coin1!B177</f>
        <v>1.679</v>
      </c>
      <c r="C176">
        <f>Coin1!C177</f>
        <v>-0.35</v>
      </c>
      <c r="D176">
        <f>Coin1!D177</f>
        <v>29.268068904621821</v>
      </c>
      <c r="E176" t="s">
        <v>45</v>
      </c>
    </row>
    <row r="177" spans="1:5" x14ac:dyDescent="0.35">
      <c r="A177">
        <f>Coin1!A178</f>
        <v>177</v>
      </c>
      <c r="B177">
        <f>Coin1!B178</f>
        <v>3.357948729810778</v>
      </c>
      <c r="C177">
        <f>Coin1!C178</f>
        <v>-0.35</v>
      </c>
      <c r="D177">
        <f>Coin1!D178</f>
        <v>29.268068904621821</v>
      </c>
      <c r="E177" t="s">
        <v>45</v>
      </c>
    </row>
    <row r="178" spans="1:5" x14ac:dyDescent="0.35">
      <c r="A178">
        <f>Coin1!A179</f>
        <v>178</v>
      </c>
      <c r="B178">
        <f>Coin1!B179</f>
        <v>6.1875</v>
      </c>
      <c r="C178">
        <f>Coin1!C179</f>
        <v>-0.35</v>
      </c>
      <c r="D178">
        <f>Coin1!D179</f>
        <v>29.268068904621821</v>
      </c>
      <c r="E178" t="s">
        <v>45</v>
      </c>
    </row>
    <row r="179" spans="1:5" x14ac:dyDescent="0.35">
      <c r="A179">
        <f>Coin1!A180</f>
        <v>179</v>
      </c>
      <c r="B179">
        <f>Coin1!B180</f>
        <v>7.4175000000000004</v>
      </c>
      <c r="C179">
        <f>Coin1!C180</f>
        <v>-0.35</v>
      </c>
      <c r="D179">
        <f>Coin1!D180</f>
        <v>29.268068904621821</v>
      </c>
      <c r="E179" t="s">
        <v>45</v>
      </c>
    </row>
    <row r="180" spans="1:5" x14ac:dyDescent="0.35">
      <c r="A180">
        <f>Coin1!A181</f>
        <v>180</v>
      </c>
      <c r="B180">
        <f>Coin1!B181</f>
        <v>10.247051270189223</v>
      </c>
      <c r="C180">
        <f>Coin1!C181</f>
        <v>-0.35</v>
      </c>
      <c r="D180">
        <f>Coin1!D181</f>
        <v>29.268068904621821</v>
      </c>
      <c r="E180" t="s">
        <v>45</v>
      </c>
    </row>
    <row r="181" spans="1:5" x14ac:dyDescent="0.35">
      <c r="A181">
        <f>Coin1!A182</f>
        <v>181</v>
      </c>
      <c r="B181">
        <f>Coin1!B182</f>
        <v>11.926</v>
      </c>
      <c r="C181">
        <f>Coin1!C182</f>
        <v>-0.35</v>
      </c>
      <c r="D181">
        <f>Coin1!D182</f>
        <v>29.268068904621821</v>
      </c>
      <c r="E181" t="s">
        <v>45</v>
      </c>
    </row>
    <row r="182" spans="1:5" x14ac:dyDescent="0.35">
      <c r="A182">
        <f>Coin1!A183</f>
        <v>182</v>
      </c>
      <c r="B182">
        <f>Coin1!B183</f>
        <v>12.990000000000002</v>
      </c>
      <c r="C182">
        <f>Coin1!C183</f>
        <v>-0.35</v>
      </c>
      <c r="D182">
        <f>Coin1!D183</f>
        <v>29.268068904621821</v>
      </c>
      <c r="E182" t="s">
        <v>45</v>
      </c>
    </row>
    <row r="183" spans="1:5" x14ac:dyDescent="0.35">
      <c r="A183">
        <f>Coin1!A184</f>
        <v>183</v>
      </c>
      <c r="B183">
        <f>Coin1!B184</f>
        <v>14.220000000000002</v>
      </c>
      <c r="C183">
        <f>Coin1!C184</f>
        <v>-0.35</v>
      </c>
      <c r="D183">
        <f>Coin1!D184</f>
        <v>29.268068904621821</v>
      </c>
      <c r="E183" t="s">
        <v>45</v>
      </c>
    </row>
    <row r="184" spans="1:5" x14ac:dyDescent="0.35">
      <c r="A184">
        <f>Coin1!A185</f>
        <v>184</v>
      </c>
      <c r="B184">
        <f>Coin1!B185</f>
        <v>-1.4</v>
      </c>
      <c r="C184">
        <f>Coin1!C185</f>
        <v>0</v>
      </c>
      <c r="D184">
        <f>Coin1!D185</f>
        <v>29.268068904621821</v>
      </c>
      <c r="E184" t="s">
        <v>45</v>
      </c>
    </row>
    <row r="185" spans="1:5" x14ac:dyDescent="0.35">
      <c r="A185">
        <f>Coin1!A186</f>
        <v>185</v>
      </c>
      <c r="B185">
        <f>Coin1!B186</f>
        <v>1.679</v>
      </c>
      <c r="C185">
        <f>Coin1!C186</f>
        <v>0</v>
      </c>
      <c r="D185">
        <f>Coin1!D186</f>
        <v>29.268068904621821</v>
      </c>
      <c r="E185" t="s">
        <v>45</v>
      </c>
    </row>
    <row r="186" spans="1:5" x14ac:dyDescent="0.35">
      <c r="A186">
        <f>Coin1!A187</f>
        <v>186</v>
      </c>
      <c r="B186">
        <f>Coin1!B187</f>
        <v>11.926</v>
      </c>
      <c r="C186">
        <f>Coin1!C187</f>
        <v>0</v>
      </c>
      <c r="D186">
        <f>Coin1!D187</f>
        <v>29.268068904621821</v>
      </c>
      <c r="E186" t="s">
        <v>45</v>
      </c>
    </row>
    <row r="187" spans="1:5" x14ac:dyDescent="0.35">
      <c r="A187">
        <f>Coin1!A188</f>
        <v>187</v>
      </c>
      <c r="B187">
        <f>Coin1!B188</f>
        <v>-1.4</v>
      </c>
      <c r="C187">
        <f>Coin1!C188</f>
        <v>2.6930000000000001</v>
      </c>
      <c r="D187">
        <f>Coin1!D188</f>
        <v>29.268068904621821</v>
      </c>
      <c r="E187" t="s">
        <v>45</v>
      </c>
    </row>
    <row r="188" spans="1:5" x14ac:dyDescent="0.35">
      <c r="A188">
        <f>Coin1!A189</f>
        <v>188</v>
      </c>
      <c r="B188">
        <f>Coin1!B189</f>
        <v>-1.4</v>
      </c>
      <c r="C188">
        <f>Coin1!C189</f>
        <v>5.3869999999999996</v>
      </c>
      <c r="D188">
        <f>Coin1!D189</f>
        <v>29.268068904621821</v>
      </c>
      <c r="E188" t="s">
        <v>45</v>
      </c>
    </row>
    <row r="189" spans="1:5" x14ac:dyDescent="0.35">
      <c r="A189">
        <f>Coin1!A190</f>
        <v>189</v>
      </c>
      <c r="B189">
        <f>Coin1!B190</f>
        <v>-1.4</v>
      </c>
      <c r="C189">
        <f>Coin1!C190</f>
        <v>8.08</v>
      </c>
      <c r="D189">
        <f>Coin1!D190</f>
        <v>29.268068904621821</v>
      </c>
      <c r="E189" t="s">
        <v>45</v>
      </c>
    </row>
    <row r="190" spans="1:5" x14ac:dyDescent="0.35">
      <c r="A190">
        <f>Coin1!A191</f>
        <v>190</v>
      </c>
      <c r="B190">
        <f>Coin1!B191</f>
        <v>1.679</v>
      </c>
      <c r="C190">
        <f>Coin1!C191</f>
        <v>8.08</v>
      </c>
      <c r="D190">
        <f>Coin1!D191</f>
        <v>29.268068904621821</v>
      </c>
      <c r="E190" t="s">
        <v>45</v>
      </c>
    </row>
    <row r="191" spans="1:5" x14ac:dyDescent="0.35">
      <c r="A191">
        <f>Coin1!A192</f>
        <v>191</v>
      </c>
      <c r="B191">
        <f>Coin1!B192</f>
        <v>11.926</v>
      </c>
      <c r="C191">
        <f>Coin1!C192</f>
        <v>8.08</v>
      </c>
      <c r="D191">
        <f>Coin1!D192</f>
        <v>29.268068904621821</v>
      </c>
      <c r="E191" t="s">
        <v>45</v>
      </c>
    </row>
    <row r="192" spans="1:5" x14ac:dyDescent="0.35">
      <c r="A192">
        <f>Coin1!A193</f>
        <v>192</v>
      </c>
      <c r="B192">
        <f>Coin1!B193</f>
        <v>-1.4</v>
      </c>
      <c r="C192">
        <f>Coin1!C193</f>
        <v>10.773</v>
      </c>
      <c r="D192">
        <f>Coin1!D193</f>
        <v>29.268068904621821</v>
      </c>
      <c r="E192" t="s">
        <v>45</v>
      </c>
    </row>
    <row r="193" spans="1:5" x14ac:dyDescent="0.35">
      <c r="A193">
        <f>Coin1!A194</f>
        <v>193</v>
      </c>
      <c r="B193">
        <f>Coin1!B194</f>
        <v>-1.4</v>
      </c>
      <c r="C193">
        <f>Coin1!C194</f>
        <v>13.467000000000001</v>
      </c>
      <c r="D193">
        <f>Coin1!D194</f>
        <v>29.268068904621821</v>
      </c>
      <c r="E193" t="s">
        <v>45</v>
      </c>
    </row>
    <row r="194" spans="1:5" x14ac:dyDescent="0.35">
      <c r="A194">
        <f>Coin1!A195</f>
        <v>194</v>
      </c>
      <c r="B194">
        <f>Coin1!B195</f>
        <v>-1.4</v>
      </c>
      <c r="C194">
        <f>Coin1!C195</f>
        <v>16.16</v>
      </c>
      <c r="D194">
        <f>Coin1!D195</f>
        <v>29.268068904621821</v>
      </c>
      <c r="E194" t="s">
        <v>45</v>
      </c>
    </row>
    <row r="195" spans="1:5" x14ac:dyDescent="0.35">
      <c r="A195">
        <f>Coin1!A196</f>
        <v>195</v>
      </c>
      <c r="B195">
        <f>Coin1!B196</f>
        <v>1.679</v>
      </c>
      <c r="C195">
        <f>Coin1!C196</f>
        <v>16.16</v>
      </c>
      <c r="D195">
        <f>Coin1!D196</f>
        <v>29.268068904621821</v>
      </c>
      <c r="E195" t="s">
        <v>45</v>
      </c>
    </row>
    <row r="196" spans="1:5" x14ac:dyDescent="0.35">
      <c r="A196">
        <f>Coin1!A197</f>
        <v>196</v>
      </c>
      <c r="B196">
        <f>Coin1!B197</f>
        <v>6.1875</v>
      </c>
      <c r="C196">
        <f>Coin1!C197</f>
        <v>16.16</v>
      </c>
      <c r="D196">
        <f>Coin1!D197</f>
        <v>29.268068904621821</v>
      </c>
      <c r="E196" t="s">
        <v>45</v>
      </c>
    </row>
    <row r="197" spans="1:5" x14ac:dyDescent="0.35">
      <c r="A197">
        <f>Coin1!A198</f>
        <v>197</v>
      </c>
      <c r="B197">
        <f>Coin1!B198</f>
        <v>7.4175000000000004</v>
      </c>
      <c r="C197">
        <f>Coin1!C198</f>
        <v>16.16</v>
      </c>
      <c r="D197">
        <f>Coin1!D198</f>
        <v>29.268068904621821</v>
      </c>
      <c r="E197" t="s">
        <v>45</v>
      </c>
    </row>
    <row r="198" spans="1:5" x14ac:dyDescent="0.35">
      <c r="A198">
        <f>Coin1!A199</f>
        <v>198</v>
      </c>
      <c r="B198">
        <f>Coin1!B199</f>
        <v>11.926</v>
      </c>
      <c r="C198">
        <f>Coin1!C199</f>
        <v>16.16</v>
      </c>
      <c r="D198">
        <f>Coin1!D199</f>
        <v>29.268068904621821</v>
      </c>
      <c r="E198" t="s">
        <v>45</v>
      </c>
    </row>
    <row r="199" spans="1:5" x14ac:dyDescent="0.35">
      <c r="A199">
        <f>Coin1!A200</f>
        <v>199</v>
      </c>
      <c r="B199">
        <f>Coin1!B200</f>
        <v>6.1875</v>
      </c>
      <c r="C199">
        <f>Coin1!C200</f>
        <v>-0.35</v>
      </c>
      <c r="D199">
        <f>Coin1!D200</f>
        <v>29.75</v>
      </c>
      <c r="E199" t="s">
        <v>45</v>
      </c>
    </row>
    <row r="200" spans="1:5" x14ac:dyDescent="0.35">
      <c r="A200">
        <f>Coin1!A201</f>
        <v>200</v>
      </c>
      <c r="B200">
        <f>Coin1!B201</f>
        <v>7.4175000000000004</v>
      </c>
      <c r="C200">
        <f>Coin1!C201</f>
        <v>-0.35</v>
      </c>
      <c r="D200">
        <f>Coin1!D201</f>
        <v>29.75</v>
      </c>
      <c r="E200" t="s">
        <v>45</v>
      </c>
    </row>
    <row r="201" spans="1:5" x14ac:dyDescent="0.35">
      <c r="A201">
        <f>Coin1!A202</f>
        <v>201</v>
      </c>
      <c r="B201">
        <f>Coin1!B202</f>
        <v>6.1875</v>
      </c>
      <c r="C201">
        <f>Coin1!C202</f>
        <v>16.16</v>
      </c>
      <c r="D201">
        <f>Coin1!D202</f>
        <v>29.75</v>
      </c>
      <c r="E201" t="s">
        <v>45</v>
      </c>
    </row>
    <row r="202" spans="1:5" x14ac:dyDescent="0.35">
      <c r="A202">
        <f>Coin1!A203</f>
        <v>202</v>
      </c>
      <c r="B202">
        <f>Coin1!B203</f>
        <v>7.4175000000000004</v>
      </c>
      <c r="C202">
        <f>Coin1!C203</f>
        <v>16.16</v>
      </c>
      <c r="D202">
        <f>Coin1!D203</f>
        <v>29.75</v>
      </c>
      <c r="E202" t="s">
        <v>45</v>
      </c>
    </row>
    <row r="203" spans="1:5" x14ac:dyDescent="0.35">
      <c r="A203">
        <f>Coin1!A204</f>
        <v>203</v>
      </c>
      <c r="B203">
        <f>Coin1!B204</f>
        <v>-1.4</v>
      </c>
      <c r="C203">
        <f>Coin1!C204</f>
        <v>-0.35</v>
      </c>
      <c r="D203">
        <f>Coin1!D204</f>
        <v>32.176137809243642</v>
      </c>
      <c r="E203" t="s">
        <v>45</v>
      </c>
    </row>
    <row r="204" spans="1:5" x14ac:dyDescent="0.35">
      <c r="A204">
        <f>Coin1!A205</f>
        <v>204</v>
      </c>
      <c r="B204">
        <f>Coin1!B205</f>
        <v>3.3580000000000001</v>
      </c>
      <c r="C204">
        <f>Coin1!C205</f>
        <v>-0.35</v>
      </c>
      <c r="D204">
        <f>Coin1!D205</f>
        <v>32.176137809243642</v>
      </c>
      <c r="E204" t="s">
        <v>45</v>
      </c>
    </row>
    <row r="205" spans="1:5" x14ac:dyDescent="0.35">
      <c r="A205">
        <f>Coin1!A206</f>
        <v>205</v>
      </c>
      <c r="B205">
        <f>Coin1!B206</f>
        <v>3.357948729810778</v>
      </c>
      <c r="C205">
        <f>Coin1!C206</f>
        <v>-0.35</v>
      </c>
      <c r="D205">
        <f>Coin1!D206</f>
        <v>32.176137809243642</v>
      </c>
      <c r="E205" t="s">
        <v>45</v>
      </c>
    </row>
    <row r="206" spans="1:5" x14ac:dyDescent="0.35">
      <c r="A206">
        <f>Coin1!A207</f>
        <v>206</v>
      </c>
      <c r="B206">
        <f>Coin1!B207</f>
        <v>6.1875</v>
      </c>
      <c r="C206">
        <f>Coin1!C207</f>
        <v>-0.35</v>
      </c>
      <c r="D206">
        <f>Coin1!D207</f>
        <v>32.176137809243642</v>
      </c>
      <c r="E206" t="s">
        <v>45</v>
      </c>
    </row>
    <row r="207" spans="1:5" x14ac:dyDescent="0.35">
      <c r="A207">
        <f>Coin1!A208</f>
        <v>207</v>
      </c>
      <c r="B207">
        <f>Coin1!B208</f>
        <v>7.4175000000000004</v>
      </c>
      <c r="C207">
        <f>Coin1!C208</f>
        <v>-0.35</v>
      </c>
      <c r="D207">
        <f>Coin1!D208</f>
        <v>32.176137809243642</v>
      </c>
      <c r="E207" t="s">
        <v>45</v>
      </c>
    </row>
    <row r="208" spans="1:5" x14ac:dyDescent="0.35">
      <c r="A208">
        <f>Coin1!A209</f>
        <v>208</v>
      </c>
      <c r="B208">
        <f>Coin1!B209</f>
        <v>10.247051270189223</v>
      </c>
      <c r="C208">
        <f>Coin1!C209</f>
        <v>-0.35</v>
      </c>
      <c r="D208">
        <f>Coin1!D209</f>
        <v>32.176137809243642</v>
      </c>
      <c r="E208" t="s">
        <v>45</v>
      </c>
    </row>
    <row r="209" spans="1:5" x14ac:dyDescent="0.35">
      <c r="A209">
        <f>Coin1!A210</f>
        <v>209</v>
      </c>
      <c r="B209">
        <f>Coin1!B210</f>
        <v>10.247</v>
      </c>
      <c r="C209">
        <f>Coin1!C210</f>
        <v>-0.35</v>
      </c>
      <c r="D209">
        <f>Coin1!D210</f>
        <v>32.176137809243642</v>
      </c>
      <c r="E209" t="s">
        <v>45</v>
      </c>
    </row>
    <row r="210" spans="1:5" x14ac:dyDescent="0.35">
      <c r="A210">
        <f>Coin1!A211</f>
        <v>210</v>
      </c>
      <c r="B210">
        <f>Coin1!B211</f>
        <v>12.990000000000002</v>
      </c>
      <c r="C210">
        <f>Coin1!C211</f>
        <v>-0.35</v>
      </c>
      <c r="D210">
        <f>Coin1!D211</f>
        <v>32.176137809243642</v>
      </c>
      <c r="E210" t="s">
        <v>45</v>
      </c>
    </row>
    <row r="211" spans="1:5" x14ac:dyDescent="0.35">
      <c r="A211">
        <f>Coin1!A212</f>
        <v>211</v>
      </c>
      <c r="B211">
        <f>Coin1!B212</f>
        <v>-1.4</v>
      </c>
      <c r="C211">
        <f>Coin1!C212</f>
        <v>0</v>
      </c>
      <c r="D211">
        <f>Coin1!D212</f>
        <v>32.176137809243642</v>
      </c>
      <c r="E211" t="s">
        <v>45</v>
      </c>
    </row>
    <row r="212" spans="1:5" x14ac:dyDescent="0.35">
      <c r="A212">
        <f>Coin1!A213</f>
        <v>212</v>
      </c>
      <c r="B212">
        <f>Coin1!B213</f>
        <v>3.3580000000000001</v>
      </c>
      <c r="C212">
        <f>Coin1!C213</f>
        <v>0</v>
      </c>
      <c r="D212">
        <f>Coin1!D213</f>
        <v>32.176137809243642</v>
      </c>
      <c r="E212" t="s">
        <v>45</v>
      </c>
    </row>
    <row r="213" spans="1:5" x14ac:dyDescent="0.35">
      <c r="A213">
        <f>Coin1!A214</f>
        <v>213</v>
      </c>
      <c r="B213">
        <f>Coin1!B214</f>
        <v>10.247</v>
      </c>
      <c r="C213">
        <f>Coin1!C214</f>
        <v>0</v>
      </c>
      <c r="D213">
        <f>Coin1!D214</f>
        <v>32.176137809243642</v>
      </c>
      <c r="E213" t="s">
        <v>45</v>
      </c>
    </row>
    <row r="214" spans="1:5" x14ac:dyDescent="0.35">
      <c r="A214">
        <f>Coin1!A215</f>
        <v>214</v>
      </c>
      <c r="B214">
        <f>Coin1!B215</f>
        <v>-1.4</v>
      </c>
      <c r="C214">
        <f>Coin1!C215</f>
        <v>2.6930000000000001</v>
      </c>
      <c r="D214">
        <f>Coin1!D215</f>
        <v>32.176137809243642</v>
      </c>
      <c r="E214" t="s">
        <v>45</v>
      </c>
    </row>
    <row r="215" spans="1:5" x14ac:dyDescent="0.35">
      <c r="A215">
        <f>Coin1!A216</f>
        <v>215</v>
      </c>
      <c r="B215">
        <f>Coin1!B216</f>
        <v>-1.4</v>
      </c>
      <c r="C215">
        <f>Coin1!C216</f>
        <v>5.3869999999999996</v>
      </c>
      <c r="D215">
        <f>Coin1!D216</f>
        <v>32.176137809243642</v>
      </c>
      <c r="E215" t="s">
        <v>45</v>
      </c>
    </row>
    <row r="216" spans="1:5" x14ac:dyDescent="0.35">
      <c r="A216">
        <f>Coin1!A217</f>
        <v>216</v>
      </c>
      <c r="B216">
        <f>Coin1!B217</f>
        <v>-1.4</v>
      </c>
      <c r="C216">
        <f>Coin1!C217</f>
        <v>8.08</v>
      </c>
      <c r="D216">
        <f>Coin1!D217</f>
        <v>32.176137809243642</v>
      </c>
      <c r="E216" t="s">
        <v>45</v>
      </c>
    </row>
    <row r="217" spans="1:5" x14ac:dyDescent="0.35">
      <c r="A217">
        <f>Coin1!A218</f>
        <v>217</v>
      </c>
      <c r="B217">
        <f>Coin1!B218</f>
        <v>3.3580000000000001</v>
      </c>
      <c r="C217">
        <f>Coin1!C218</f>
        <v>8.08</v>
      </c>
      <c r="D217">
        <f>Coin1!D218</f>
        <v>32.176137809243642</v>
      </c>
      <c r="E217" t="s">
        <v>45</v>
      </c>
    </row>
    <row r="218" spans="1:5" x14ac:dyDescent="0.35">
      <c r="A218">
        <f>Coin1!A219</f>
        <v>218</v>
      </c>
      <c r="B218">
        <f>Coin1!B219</f>
        <v>10.247</v>
      </c>
      <c r="C218">
        <f>Coin1!C219</f>
        <v>8.08</v>
      </c>
      <c r="D218">
        <f>Coin1!D219</f>
        <v>32.176137809243642</v>
      </c>
      <c r="E218" t="s">
        <v>45</v>
      </c>
    </row>
    <row r="219" spans="1:5" x14ac:dyDescent="0.35">
      <c r="A219">
        <f>Coin1!A220</f>
        <v>219</v>
      </c>
      <c r="B219">
        <f>Coin1!B220</f>
        <v>-1.4</v>
      </c>
      <c r="C219">
        <f>Coin1!C220</f>
        <v>10.773</v>
      </c>
      <c r="D219">
        <f>Coin1!D220</f>
        <v>32.176137809243642</v>
      </c>
      <c r="E219" t="s">
        <v>45</v>
      </c>
    </row>
    <row r="220" spans="1:5" x14ac:dyDescent="0.35">
      <c r="A220">
        <f>Coin1!A221</f>
        <v>220</v>
      </c>
      <c r="B220">
        <f>Coin1!B221</f>
        <v>-1.4</v>
      </c>
      <c r="C220">
        <f>Coin1!C221</f>
        <v>13.467000000000001</v>
      </c>
      <c r="D220">
        <f>Coin1!D221</f>
        <v>32.176137809243642</v>
      </c>
      <c r="E220" t="s">
        <v>45</v>
      </c>
    </row>
    <row r="221" spans="1:5" x14ac:dyDescent="0.35">
      <c r="A221">
        <f>Coin1!A222</f>
        <v>221</v>
      </c>
      <c r="B221">
        <f>Coin1!B222</f>
        <v>-1.4</v>
      </c>
      <c r="C221">
        <f>Coin1!C222</f>
        <v>16.16</v>
      </c>
      <c r="D221">
        <f>Coin1!D222</f>
        <v>32.176137809243642</v>
      </c>
      <c r="E221" t="s">
        <v>45</v>
      </c>
    </row>
    <row r="222" spans="1:5" x14ac:dyDescent="0.35">
      <c r="A222">
        <f>Coin1!A223</f>
        <v>222</v>
      </c>
      <c r="B222">
        <f>Coin1!B223</f>
        <v>3.3580000000000001</v>
      </c>
      <c r="C222">
        <f>Coin1!C223</f>
        <v>16.16</v>
      </c>
      <c r="D222">
        <f>Coin1!D223</f>
        <v>32.176137809243642</v>
      </c>
      <c r="E222" t="s">
        <v>45</v>
      </c>
    </row>
    <row r="223" spans="1:5" x14ac:dyDescent="0.35">
      <c r="A223">
        <f>Coin1!A224</f>
        <v>223</v>
      </c>
      <c r="B223">
        <f>Coin1!B224</f>
        <v>6.1875</v>
      </c>
      <c r="C223">
        <f>Coin1!C224</f>
        <v>16.16</v>
      </c>
      <c r="D223">
        <f>Coin1!D224</f>
        <v>32.176137809243642</v>
      </c>
      <c r="E223" t="s">
        <v>45</v>
      </c>
    </row>
    <row r="224" spans="1:5" x14ac:dyDescent="0.35">
      <c r="A224">
        <f>Coin1!A225</f>
        <v>224</v>
      </c>
      <c r="B224">
        <f>Coin1!B225</f>
        <v>7.4175000000000004</v>
      </c>
      <c r="C224">
        <f>Coin1!C225</f>
        <v>16.16</v>
      </c>
      <c r="D224">
        <f>Coin1!D225</f>
        <v>32.176137809243642</v>
      </c>
      <c r="E224" t="s">
        <v>45</v>
      </c>
    </row>
    <row r="225" spans="1:5" x14ac:dyDescent="0.35">
      <c r="A225">
        <f>Coin1!A226</f>
        <v>225</v>
      </c>
      <c r="B225">
        <f>Coin1!B226</f>
        <v>10.247</v>
      </c>
      <c r="C225">
        <f>Coin1!C226</f>
        <v>16.16</v>
      </c>
      <c r="D225">
        <f>Coin1!D226</f>
        <v>32.176137809243642</v>
      </c>
      <c r="E225" t="s">
        <v>45</v>
      </c>
    </row>
    <row r="226" spans="1:5" x14ac:dyDescent="0.35">
      <c r="A226">
        <f>Coin1!A227</f>
        <v>226</v>
      </c>
      <c r="B226">
        <f>Coin1!B227</f>
        <v>-1.4</v>
      </c>
      <c r="C226">
        <f>Coin1!C227</f>
        <v>-0.35</v>
      </c>
      <c r="D226">
        <f>Coin1!D227</f>
        <v>32.176137809243642</v>
      </c>
      <c r="E226" t="s">
        <v>45</v>
      </c>
    </row>
    <row r="227" spans="1:5" x14ac:dyDescent="0.35">
      <c r="A227">
        <f>Coin1!A228</f>
        <v>227</v>
      </c>
      <c r="B227">
        <f>Coin1!B228</f>
        <v>3.357948729810778</v>
      </c>
      <c r="C227">
        <f>Coin1!C228</f>
        <v>-0.35</v>
      </c>
      <c r="D227">
        <f>Coin1!D228</f>
        <v>32.176137809243642</v>
      </c>
      <c r="E227" t="s">
        <v>45</v>
      </c>
    </row>
    <row r="228" spans="1:5" x14ac:dyDescent="0.35">
      <c r="A228">
        <f>Coin1!A229</f>
        <v>228</v>
      </c>
      <c r="B228">
        <f>Coin1!B229</f>
        <v>6.1875</v>
      </c>
      <c r="C228">
        <f>Coin1!C229</f>
        <v>-0.35</v>
      </c>
      <c r="D228">
        <f>Coin1!D229</f>
        <v>32.176137809243642</v>
      </c>
      <c r="E228" t="s">
        <v>45</v>
      </c>
    </row>
    <row r="229" spans="1:5" x14ac:dyDescent="0.35">
      <c r="A229">
        <f>Coin1!A230</f>
        <v>229</v>
      </c>
      <c r="B229">
        <f>Coin1!B230</f>
        <v>7.4175000000000004</v>
      </c>
      <c r="C229">
        <f>Coin1!C230</f>
        <v>-0.35</v>
      </c>
      <c r="D229">
        <f>Coin1!D230</f>
        <v>32.176137809243642</v>
      </c>
      <c r="E229" t="s">
        <v>45</v>
      </c>
    </row>
    <row r="230" spans="1:5" x14ac:dyDescent="0.35">
      <c r="A230">
        <f>Coin1!A231</f>
        <v>230</v>
      </c>
      <c r="B230">
        <f>Coin1!B231</f>
        <v>10.247051270189223</v>
      </c>
      <c r="C230">
        <f>Coin1!C231</f>
        <v>-0.35</v>
      </c>
      <c r="D230">
        <f>Coin1!D231</f>
        <v>32.176137809243642</v>
      </c>
      <c r="E230" t="s">
        <v>45</v>
      </c>
    </row>
    <row r="231" spans="1:5" x14ac:dyDescent="0.35">
      <c r="A231">
        <f>Coin1!A232</f>
        <v>231</v>
      </c>
      <c r="B231">
        <f>Coin1!B232</f>
        <v>12.990000000000002</v>
      </c>
      <c r="C231">
        <f>Coin1!C232</f>
        <v>-0.35</v>
      </c>
      <c r="D231">
        <f>Coin1!D232</f>
        <v>32.176137809243642</v>
      </c>
      <c r="E231" t="s">
        <v>45</v>
      </c>
    </row>
    <row r="232" spans="1:5" x14ac:dyDescent="0.35">
      <c r="A232">
        <f>Coin1!A233</f>
        <v>232</v>
      </c>
      <c r="B232">
        <f>Coin1!B233</f>
        <v>14.220000000000002</v>
      </c>
      <c r="C232">
        <f>Coin1!C233</f>
        <v>-0.35</v>
      </c>
      <c r="D232">
        <f>Coin1!D233</f>
        <v>32.176137809243642</v>
      </c>
      <c r="E232" t="s">
        <v>45</v>
      </c>
    </row>
    <row r="233" spans="1:5" x14ac:dyDescent="0.35">
      <c r="A233">
        <f>Coin1!A234</f>
        <v>233</v>
      </c>
      <c r="B233">
        <f>Coin1!B234</f>
        <v>-1.4</v>
      </c>
      <c r="C233">
        <f>Coin1!C234</f>
        <v>0</v>
      </c>
      <c r="D233">
        <f>Coin1!D234</f>
        <v>32.176137809243642</v>
      </c>
      <c r="E233" t="s">
        <v>45</v>
      </c>
    </row>
    <row r="234" spans="1:5" x14ac:dyDescent="0.35">
      <c r="A234">
        <f>Coin1!A235</f>
        <v>234</v>
      </c>
      <c r="B234">
        <f>Coin1!B235</f>
        <v>3.357948729810778</v>
      </c>
      <c r="C234">
        <f>Coin1!C235</f>
        <v>0</v>
      </c>
      <c r="D234">
        <f>Coin1!D235</f>
        <v>32.176137809243642</v>
      </c>
      <c r="E234" t="s">
        <v>45</v>
      </c>
    </row>
    <row r="235" spans="1:5" x14ac:dyDescent="0.35">
      <c r="A235">
        <f>Coin1!A236</f>
        <v>235</v>
      </c>
      <c r="B235">
        <f>Coin1!B236</f>
        <v>6.1875</v>
      </c>
      <c r="C235">
        <f>Coin1!C236</f>
        <v>0</v>
      </c>
      <c r="D235">
        <f>Coin1!D236</f>
        <v>32.176137809243642</v>
      </c>
      <c r="E235" t="s">
        <v>45</v>
      </c>
    </row>
    <row r="236" spans="1:5" x14ac:dyDescent="0.35">
      <c r="A236">
        <f>Coin1!A237</f>
        <v>236</v>
      </c>
      <c r="B236">
        <f>Coin1!B237</f>
        <v>6.8025000000000002</v>
      </c>
      <c r="C236">
        <f>Coin1!C237</f>
        <v>0</v>
      </c>
      <c r="D236">
        <f>Coin1!D237</f>
        <v>32.176137809243642</v>
      </c>
      <c r="E236" t="s">
        <v>45</v>
      </c>
    </row>
    <row r="237" spans="1:5" x14ac:dyDescent="0.35">
      <c r="A237">
        <f>Coin1!A238</f>
        <v>237</v>
      </c>
      <c r="B237">
        <f>Coin1!B238</f>
        <v>7.4175000000000004</v>
      </c>
      <c r="C237">
        <f>Coin1!C238</f>
        <v>0</v>
      </c>
      <c r="D237">
        <f>Coin1!D238</f>
        <v>32.176137809243642</v>
      </c>
      <c r="E237" t="s">
        <v>45</v>
      </c>
    </row>
    <row r="238" spans="1:5" x14ac:dyDescent="0.35">
      <c r="A238">
        <f>Coin1!A239</f>
        <v>238</v>
      </c>
      <c r="B238">
        <f>Coin1!B239</f>
        <v>10.247051270189223</v>
      </c>
      <c r="C238">
        <f>Coin1!C239</f>
        <v>0</v>
      </c>
      <c r="D238">
        <f>Coin1!D239</f>
        <v>32.176137809243642</v>
      </c>
      <c r="E238" t="s">
        <v>45</v>
      </c>
    </row>
    <row r="239" spans="1:5" x14ac:dyDescent="0.35">
      <c r="A239">
        <f>Coin1!A240</f>
        <v>239</v>
      </c>
      <c r="B239">
        <f>Coin1!B240</f>
        <v>-1.4</v>
      </c>
      <c r="C239">
        <f>Coin1!C240</f>
        <v>2.6930000000000001</v>
      </c>
      <c r="D239">
        <f>Coin1!D240</f>
        <v>32.176137809243642</v>
      </c>
      <c r="E239" t="s">
        <v>45</v>
      </c>
    </row>
    <row r="240" spans="1:5" x14ac:dyDescent="0.35">
      <c r="A240">
        <f>Coin1!A241</f>
        <v>240</v>
      </c>
      <c r="B240">
        <f>Coin1!B241</f>
        <v>6.8025000000000002</v>
      </c>
      <c r="C240">
        <f>Coin1!C241</f>
        <v>4.04</v>
      </c>
      <c r="D240">
        <f>Coin1!D241</f>
        <v>32.176137809243642</v>
      </c>
      <c r="E240" t="s">
        <v>45</v>
      </c>
    </row>
    <row r="241" spans="1:5" x14ac:dyDescent="0.35">
      <c r="A241">
        <f>Coin1!A242</f>
        <v>241</v>
      </c>
      <c r="B241">
        <f>Coin1!B242</f>
        <v>-1.4</v>
      </c>
      <c r="C241">
        <f>Coin1!C242</f>
        <v>5.3869999999999996</v>
      </c>
      <c r="D241">
        <f>Coin1!D242</f>
        <v>32.176137809243642</v>
      </c>
      <c r="E241" t="s">
        <v>45</v>
      </c>
    </row>
    <row r="242" spans="1:5" x14ac:dyDescent="0.35">
      <c r="A242">
        <f>Coin1!A243</f>
        <v>242</v>
      </c>
      <c r="B242">
        <f>Coin1!B243</f>
        <v>-1.4</v>
      </c>
      <c r="C242">
        <f>Coin1!C243</f>
        <v>8.08</v>
      </c>
      <c r="D242">
        <f>Coin1!D243</f>
        <v>32.176137809243642</v>
      </c>
      <c r="E242" t="s">
        <v>45</v>
      </c>
    </row>
    <row r="243" spans="1:5" x14ac:dyDescent="0.35">
      <c r="A243">
        <f>Coin1!A244</f>
        <v>243</v>
      </c>
      <c r="B243">
        <f>Coin1!B244</f>
        <v>3.357948729810778</v>
      </c>
      <c r="C243">
        <f>Coin1!C244</f>
        <v>8.08</v>
      </c>
      <c r="D243">
        <f>Coin1!D244</f>
        <v>32.176137809243642</v>
      </c>
      <c r="E243" t="s">
        <v>45</v>
      </c>
    </row>
    <row r="244" spans="1:5" x14ac:dyDescent="0.35">
      <c r="A244">
        <f>Coin1!A245</f>
        <v>244</v>
      </c>
      <c r="B244">
        <f>Coin1!B245</f>
        <v>6.1875</v>
      </c>
      <c r="C244">
        <f>Coin1!C245</f>
        <v>8.08</v>
      </c>
      <c r="D244">
        <f>Coin1!D245</f>
        <v>32.176137809243642</v>
      </c>
      <c r="E244" t="s">
        <v>45</v>
      </c>
    </row>
    <row r="245" spans="1:5" x14ac:dyDescent="0.35">
      <c r="A245">
        <f>Coin1!A246</f>
        <v>245</v>
      </c>
      <c r="B245">
        <f>Coin1!B246</f>
        <v>6.8025000000000002</v>
      </c>
      <c r="C245">
        <f>Coin1!C246</f>
        <v>8.08</v>
      </c>
      <c r="D245">
        <f>Coin1!D246</f>
        <v>32.176137809243642</v>
      </c>
      <c r="E245" t="s">
        <v>45</v>
      </c>
    </row>
    <row r="246" spans="1:5" x14ac:dyDescent="0.35">
      <c r="A246">
        <f>Coin1!A247</f>
        <v>246</v>
      </c>
      <c r="B246">
        <f>Coin1!B247</f>
        <v>7.4175000000000004</v>
      </c>
      <c r="C246">
        <f>Coin1!C247</f>
        <v>8.08</v>
      </c>
      <c r="D246">
        <f>Coin1!D247</f>
        <v>32.176137809243642</v>
      </c>
      <c r="E246" t="s">
        <v>45</v>
      </c>
    </row>
    <row r="247" spans="1:5" x14ac:dyDescent="0.35">
      <c r="A247">
        <f>Coin1!A248</f>
        <v>247</v>
      </c>
      <c r="B247">
        <f>Coin1!B248</f>
        <v>10.247051270189223</v>
      </c>
      <c r="C247">
        <f>Coin1!C248</f>
        <v>8.08</v>
      </c>
      <c r="D247">
        <f>Coin1!D248</f>
        <v>32.176137809243642</v>
      </c>
      <c r="E247" t="s">
        <v>45</v>
      </c>
    </row>
    <row r="248" spans="1:5" x14ac:dyDescent="0.35">
      <c r="A248">
        <f>Coin1!A249</f>
        <v>248</v>
      </c>
      <c r="B248">
        <f>Coin1!B249</f>
        <v>-1.4</v>
      </c>
      <c r="C248">
        <f>Coin1!C249</f>
        <v>10.773</v>
      </c>
      <c r="D248">
        <f>Coin1!D249</f>
        <v>32.176137809243642</v>
      </c>
      <c r="E248" t="s">
        <v>45</v>
      </c>
    </row>
    <row r="249" spans="1:5" x14ac:dyDescent="0.35">
      <c r="A249">
        <f>Coin1!A250</f>
        <v>249</v>
      </c>
      <c r="B249">
        <f>Coin1!B250</f>
        <v>6.8025000000000002</v>
      </c>
      <c r="C249">
        <f>Coin1!C250</f>
        <v>12.12</v>
      </c>
      <c r="D249">
        <f>Coin1!D250</f>
        <v>32.176137809243642</v>
      </c>
      <c r="E249" t="s">
        <v>45</v>
      </c>
    </row>
    <row r="250" spans="1:5" x14ac:dyDescent="0.35">
      <c r="A250">
        <f>Coin1!A251</f>
        <v>250</v>
      </c>
      <c r="B250">
        <f>Coin1!B251</f>
        <v>-1.4</v>
      </c>
      <c r="C250">
        <f>Coin1!C251</f>
        <v>13.467000000000001</v>
      </c>
      <c r="D250">
        <f>Coin1!D251</f>
        <v>32.176137809243642</v>
      </c>
      <c r="E250" t="s">
        <v>45</v>
      </c>
    </row>
    <row r="251" spans="1:5" x14ac:dyDescent="0.35">
      <c r="A251">
        <f>Coin1!A252</f>
        <v>251</v>
      </c>
      <c r="B251">
        <f>Coin1!B252</f>
        <v>-1.4</v>
      </c>
      <c r="C251">
        <f>Coin1!C252</f>
        <v>16.16</v>
      </c>
      <c r="D251">
        <f>Coin1!D252</f>
        <v>32.176137809243642</v>
      </c>
      <c r="E251" t="s">
        <v>45</v>
      </c>
    </row>
    <row r="252" spans="1:5" x14ac:dyDescent="0.35">
      <c r="A252">
        <f>Coin1!A253</f>
        <v>252</v>
      </c>
      <c r="B252">
        <f>Coin1!B253</f>
        <v>3.357948729810778</v>
      </c>
      <c r="C252">
        <f>Coin1!C253</f>
        <v>16.16</v>
      </c>
      <c r="D252">
        <f>Coin1!D253</f>
        <v>32.176137809243642</v>
      </c>
      <c r="E252" t="s">
        <v>45</v>
      </c>
    </row>
    <row r="253" spans="1:5" x14ac:dyDescent="0.35">
      <c r="A253">
        <f>Coin1!A254</f>
        <v>253</v>
      </c>
      <c r="B253">
        <f>Coin1!B254</f>
        <v>6.1875</v>
      </c>
      <c r="C253">
        <f>Coin1!C254</f>
        <v>16.16</v>
      </c>
      <c r="D253">
        <f>Coin1!D254</f>
        <v>32.176137809243642</v>
      </c>
      <c r="E253" t="s">
        <v>45</v>
      </c>
    </row>
    <row r="254" spans="1:5" x14ac:dyDescent="0.35">
      <c r="A254">
        <f>Coin1!A255</f>
        <v>254</v>
      </c>
      <c r="B254">
        <f>Coin1!B255</f>
        <v>6.8025000000000002</v>
      </c>
      <c r="C254">
        <f>Coin1!C255</f>
        <v>16.16</v>
      </c>
      <c r="D254">
        <f>Coin1!D255</f>
        <v>32.176137809243642</v>
      </c>
      <c r="E254" t="s">
        <v>45</v>
      </c>
    </row>
    <row r="255" spans="1:5" x14ac:dyDescent="0.35">
      <c r="A255">
        <f>Coin1!A256</f>
        <v>255</v>
      </c>
      <c r="B255">
        <f>Coin1!B256</f>
        <v>7.4175000000000004</v>
      </c>
      <c r="C255">
        <f>Coin1!C256</f>
        <v>16.16</v>
      </c>
      <c r="D255">
        <f>Coin1!D256</f>
        <v>32.176137809243642</v>
      </c>
      <c r="E255" t="s">
        <v>45</v>
      </c>
    </row>
    <row r="256" spans="1:5" x14ac:dyDescent="0.35">
      <c r="A256">
        <f>Coin1!A257</f>
        <v>256</v>
      </c>
      <c r="B256">
        <f>Coin1!B257</f>
        <v>10.247051270189223</v>
      </c>
      <c r="C256">
        <f>Coin1!C257</f>
        <v>16.16</v>
      </c>
      <c r="D256">
        <f>Coin1!D257</f>
        <v>32.176137809243642</v>
      </c>
      <c r="E256" t="s">
        <v>45</v>
      </c>
    </row>
    <row r="257" spans="1:5" x14ac:dyDescent="0.35">
      <c r="A257">
        <f>Coin1!A258</f>
        <v>257</v>
      </c>
      <c r="B257">
        <f>Coin1!B258</f>
        <v>-1.4</v>
      </c>
      <c r="C257">
        <f>Coin1!C258</f>
        <v>-0.35</v>
      </c>
      <c r="D257">
        <f>Coin1!D258</f>
        <v>35.084206713865463</v>
      </c>
      <c r="E257" t="s">
        <v>45</v>
      </c>
    </row>
    <row r="258" spans="1:5" x14ac:dyDescent="0.35">
      <c r="A258">
        <f>Coin1!A259</f>
        <v>258</v>
      </c>
      <c r="B258">
        <f>Coin1!B259</f>
        <v>3.357948729810778</v>
      </c>
      <c r="C258">
        <f>Coin1!C259</f>
        <v>-0.35</v>
      </c>
      <c r="D258">
        <f>Coin1!D259</f>
        <v>35.084206713865463</v>
      </c>
      <c r="E258" t="s">
        <v>45</v>
      </c>
    </row>
    <row r="259" spans="1:5" x14ac:dyDescent="0.35">
      <c r="A259">
        <f>Coin1!A260</f>
        <v>259</v>
      </c>
      <c r="B259">
        <f>Coin1!B260</f>
        <v>5.0369999999999999</v>
      </c>
      <c r="C259">
        <f>Coin1!C260</f>
        <v>-0.35</v>
      </c>
      <c r="D259">
        <f>Coin1!D260</f>
        <v>35.084206713865463</v>
      </c>
      <c r="E259" t="s">
        <v>45</v>
      </c>
    </row>
    <row r="260" spans="1:5" x14ac:dyDescent="0.35">
      <c r="A260">
        <f>Coin1!A261</f>
        <v>260</v>
      </c>
      <c r="B260">
        <f>Coin1!B261</f>
        <v>8.5680000000000014</v>
      </c>
      <c r="C260">
        <f>Coin1!C261</f>
        <v>-0.35</v>
      </c>
      <c r="D260">
        <f>Coin1!D261</f>
        <v>35.084206713865463</v>
      </c>
      <c r="E260" t="s">
        <v>45</v>
      </c>
    </row>
    <row r="261" spans="1:5" x14ac:dyDescent="0.35">
      <c r="A261">
        <f>Coin1!A262</f>
        <v>261</v>
      </c>
      <c r="B261">
        <f>Coin1!B262</f>
        <v>10.247051270189223</v>
      </c>
      <c r="C261">
        <f>Coin1!C262</f>
        <v>-0.35</v>
      </c>
      <c r="D261">
        <f>Coin1!D262</f>
        <v>35.084206713865463</v>
      </c>
      <c r="E261" t="s">
        <v>45</v>
      </c>
    </row>
    <row r="262" spans="1:5" x14ac:dyDescent="0.35">
      <c r="A262">
        <f>Coin1!A263</f>
        <v>262</v>
      </c>
      <c r="B262">
        <f>Coin1!B263</f>
        <v>16.96294872981078</v>
      </c>
      <c r="C262">
        <f>Coin1!C263</f>
        <v>-0.35</v>
      </c>
      <c r="D262">
        <f>Coin1!D263</f>
        <v>35.084206713865463</v>
      </c>
      <c r="E262" t="s">
        <v>45</v>
      </c>
    </row>
    <row r="263" spans="1:5" x14ac:dyDescent="0.35">
      <c r="A263">
        <f>Coin1!A264</f>
        <v>263</v>
      </c>
      <c r="B263">
        <f>Coin1!B264</f>
        <v>-1.4</v>
      </c>
      <c r="C263">
        <f>Coin1!C264</f>
        <v>0</v>
      </c>
      <c r="D263">
        <f>Coin1!D264</f>
        <v>35.084206713865463</v>
      </c>
      <c r="E263" t="s">
        <v>45</v>
      </c>
    </row>
    <row r="264" spans="1:5" x14ac:dyDescent="0.35">
      <c r="A264">
        <f>Coin1!A265</f>
        <v>264</v>
      </c>
      <c r="B264">
        <f>Coin1!B265</f>
        <v>5.0369999999999999</v>
      </c>
      <c r="C264">
        <f>Coin1!C265</f>
        <v>0</v>
      </c>
      <c r="D264">
        <f>Coin1!D265</f>
        <v>35.084206713865463</v>
      </c>
      <c r="E264" t="s">
        <v>45</v>
      </c>
    </row>
    <row r="265" spans="1:5" x14ac:dyDescent="0.35">
      <c r="A265">
        <f>Coin1!A266</f>
        <v>265</v>
      </c>
      <c r="B265">
        <f>Coin1!B266</f>
        <v>8.5680000000000014</v>
      </c>
      <c r="C265">
        <f>Coin1!C266</f>
        <v>0</v>
      </c>
      <c r="D265">
        <f>Coin1!D266</f>
        <v>35.084206713865463</v>
      </c>
      <c r="E265" t="s">
        <v>45</v>
      </c>
    </row>
    <row r="266" spans="1:5" x14ac:dyDescent="0.35">
      <c r="A266">
        <f>Coin1!A267</f>
        <v>266</v>
      </c>
      <c r="B266">
        <f>Coin1!B267</f>
        <v>-1.4</v>
      </c>
      <c r="C266">
        <f>Coin1!C267</f>
        <v>2.6930000000000001</v>
      </c>
      <c r="D266">
        <f>Coin1!D267</f>
        <v>35.084206713865463</v>
      </c>
      <c r="E266" t="s">
        <v>45</v>
      </c>
    </row>
    <row r="267" spans="1:5" x14ac:dyDescent="0.35">
      <c r="A267">
        <f>Coin1!A268</f>
        <v>267</v>
      </c>
      <c r="B267">
        <f>Coin1!B268</f>
        <v>-1.4</v>
      </c>
      <c r="C267">
        <f>Coin1!C268</f>
        <v>5.3869999999999996</v>
      </c>
      <c r="D267">
        <f>Coin1!D268</f>
        <v>35.084206713865463</v>
      </c>
      <c r="E267" t="s">
        <v>45</v>
      </c>
    </row>
    <row r="268" spans="1:5" x14ac:dyDescent="0.35">
      <c r="A268">
        <f>Coin1!A269</f>
        <v>268</v>
      </c>
      <c r="B268">
        <f>Coin1!B269</f>
        <v>-1.4</v>
      </c>
      <c r="C268">
        <f>Coin1!C269</f>
        <v>8.08</v>
      </c>
      <c r="D268">
        <f>Coin1!D269</f>
        <v>35.084206713865463</v>
      </c>
      <c r="E268" t="s">
        <v>45</v>
      </c>
    </row>
    <row r="269" spans="1:5" x14ac:dyDescent="0.35">
      <c r="A269">
        <f>Coin1!A270</f>
        <v>269</v>
      </c>
      <c r="B269">
        <f>Coin1!B270</f>
        <v>5.0369999999999999</v>
      </c>
      <c r="C269">
        <f>Coin1!C270</f>
        <v>8.08</v>
      </c>
      <c r="D269">
        <f>Coin1!D270</f>
        <v>35.084206713865463</v>
      </c>
      <c r="E269" t="s">
        <v>45</v>
      </c>
    </row>
    <row r="270" spans="1:5" x14ac:dyDescent="0.35">
      <c r="A270">
        <f>Coin1!A271</f>
        <v>270</v>
      </c>
      <c r="B270">
        <f>Coin1!B271</f>
        <v>8.5680000000000014</v>
      </c>
      <c r="C270">
        <f>Coin1!C271</f>
        <v>8.08</v>
      </c>
      <c r="D270">
        <f>Coin1!D271</f>
        <v>35.084206713865463</v>
      </c>
      <c r="E270" t="s">
        <v>45</v>
      </c>
    </row>
    <row r="271" spans="1:5" x14ac:dyDescent="0.35">
      <c r="A271">
        <f>Coin1!A272</f>
        <v>271</v>
      </c>
      <c r="B271">
        <f>Coin1!B272</f>
        <v>-1.4</v>
      </c>
      <c r="C271">
        <f>Coin1!C272</f>
        <v>10.773</v>
      </c>
      <c r="D271">
        <f>Coin1!D272</f>
        <v>35.084206713865463</v>
      </c>
      <c r="E271" t="s">
        <v>45</v>
      </c>
    </row>
    <row r="272" spans="1:5" x14ac:dyDescent="0.35">
      <c r="A272">
        <f>Coin1!A273</f>
        <v>272</v>
      </c>
      <c r="B272">
        <f>Coin1!B273</f>
        <v>-1.4</v>
      </c>
      <c r="C272">
        <f>Coin1!C273</f>
        <v>13.467000000000001</v>
      </c>
      <c r="D272">
        <f>Coin1!D273</f>
        <v>35.084206713865463</v>
      </c>
      <c r="E272" t="s">
        <v>45</v>
      </c>
    </row>
    <row r="273" spans="1:5" x14ac:dyDescent="0.35">
      <c r="A273">
        <f>Coin1!A274</f>
        <v>273</v>
      </c>
      <c r="B273">
        <f>Coin1!B274</f>
        <v>-1.4</v>
      </c>
      <c r="C273">
        <f>Coin1!C274</f>
        <v>16.16</v>
      </c>
      <c r="D273">
        <f>Coin1!D274</f>
        <v>35.084206713865463</v>
      </c>
      <c r="E273" t="s">
        <v>45</v>
      </c>
    </row>
    <row r="274" spans="1:5" x14ac:dyDescent="0.35">
      <c r="A274">
        <f>Coin1!A275</f>
        <v>274</v>
      </c>
      <c r="B274">
        <f>Coin1!B275</f>
        <v>5.0369999999999999</v>
      </c>
      <c r="C274">
        <f>Coin1!C275</f>
        <v>16.16</v>
      </c>
      <c r="D274">
        <f>Coin1!D275</f>
        <v>35.084206713865463</v>
      </c>
      <c r="E274" t="s">
        <v>45</v>
      </c>
    </row>
    <row r="275" spans="1:5" x14ac:dyDescent="0.35">
      <c r="A275">
        <f>Coin1!A276</f>
        <v>275</v>
      </c>
      <c r="B275">
        <f>Coin1!B276</f>
        <v>8.5680000000000014</v>
      </c>
      <c r="C275">
        <f>Coin1!C276</f>
        <v>16.16</v>
      </c>
      <c r="D275">
        <f>Coin1!D276</f>
        <v>35.084206713865463</v>
      </c>
      <c r="E275" t="s">
        <v>45</v>
      </c>
    </row>
    <row r="276" spans="1:5" x14ac:dyDescent="0.35">
      <c r="A276">
        <f>Coin1!A277</f>
        <v>276</v>
      </c>
      <c r="B276">
        <f>Coin1!B277</f>
        <v>-1.4</v>
      </c>
      <c r="C276">
        <f>Coin1!C277</f>
        <v>-0.35</v>
      </c>
      <c r="D276">
        <f>Coin1!D277</f>
        <v>37.992275618487284</v>
      </c>
      <c r="E276" t="s">
        <v>45</v>
      </c>
    </row>
    <row r="277" spans="1:5" x14ac:dyDescent="0.35">
      <c r="A277">
        <f>Coin1!A278</f>
        <v>277</v>
      </c>
      <c r="B277">
        <f>Coin1!B278</f>
        <v>3.357948729810778</v>
      </c>
      <c r="C277">
        <f>Coin1!C278</f>
        <v>-0.35</v>
      </c>
      <c r="D277">
        <f>Coin1!D278</f>
        <v>37.992275618487284</v>
      </c>
      <c r="E277" t="s">
        <v>45</v>
      </c>
    </row>
    <row r="278" spans="1:5" x14ac:dyDescent="0.35">
      <c r="A278">
        <f>Coin1!A279</f>
        <v>278</v>
      </c>
      <c r="B278">
        <f>Coin1!B279</f>
        <v>6.7160000000000002</v>
      </c>
      <c r="C278">
        <f>Coin1!C279</f>
        <v>-0.35</v>
      </c>
      <c r="D278">
        <f>Coin1!D279</f>
        <v>37.992275618487284</v>
      </c>
      <c r="E278" t="s">
        <v>45</v>
      </c>
    </row>
    <row r="279" spans="1:5" x14ac:dyDescent="0.35">
      <c r="A279">
        <f>Coin1!A280</f>
        <v>279</v>
      </c>
      <c r="B279">
        <f>Coin1!B280</f>
        <v>6.8890000000000002</v>
      </c>
      <c r="C279">
        <f>Coin1!C280</f>
        <v>-0.35</v>
      </c>
      <c r="D279">
        <f>Coin1!D280</f>
        <v>37.992275618487284</v>
      </c>
      <c r="E279" t="s">
        <v>45</v>
      </c>
    </row>
    <row r="280" spans="1:5" x14ac:dyDescent="0.35">
      <c r="A280">
        <f>Coin1!A281</f>
        <v>280</v>
      </c>
      <c r="B280">
        <f>Coin1!B281</f>
        <v>10.247051270189223</v>
      </c>
      <c r="C280">
        <f>Coin1!C281</f>
        <v>-0.35</v>
      </c>
      <c r="D280">
        <f>Coin1!D281</f>
        <v>37.992275618487284</v>
      </c>
      <c r="E280" t="s">
        <v>45</v>
      </c>
    </row>
    <row r="281" spans="1:5" x14ac:dyDescent="0.35">
      <c r="A281">
        <f>Coin1!A282</f>
        <v>281</v>
      </c>
      <c r="B281">
        <f>Coin1!B282</f>
        <v>16.96294872981078</v>
      </c>
      <c r="C281">
        <f>Coin1!C282</f>
        <v>-0.35</v>
      </c>
      <c r="D281">
        <f>Coin1!D282</f>
        <v>37.992275618487284</v>
      </c>
      <c r="E281" t="s">
        <v>45</v>
      </c>
    </row>
    <row r="282" spans="1:5" x14ac:dyDescent="0.35">
      <c r="A282">
        <f>Coin1!A283</f>
        <v>282</v>
      </c>
      <c r="B282">
        <f>Coin1!B283</f>
        <v>-1.4</v>
      </c>
      <c r="C282">
        <f>Coin1!C283</f>
        <v>0</v>
      </c>
      <c r="D282">
        <f>Coin1!D283</f>
        <v>37.992275618487284</v>
      </c>
      <c r="E282" t="s">
        <v>45</v>
      </c>
    </row>
    <row r="283" spans="1:5" x14ac:dyDescent="0.35">
      <c r="A283">
        <f>Coin1!A284</f>
        <v>283</v>
      </c>
      <c r="B283">
        <f>Coin1!B284</f>
        <v>6.7160000000000002</v>
      </c>
      <c r="C283">
        <f>Coin1!C284</f>
        <v>0</v>
      </c>
      <c r="D283">
        <f>Coin1!D284</f>
        <v>37.992275618487284</v>
      </c>
      <c r="E283" t="s">
        <v>45</v>
      </c>
    </row>
    <row r="284" spans="1:5" x14ac:dyDescent="0.35">
      <c r="A284">
        <f>Coin1!A285</f>
        <v>284</v>
      </c>
      <c r="B284">
        <f>Coin1!B285</f>
        <v>6.8890000000000002</v>
      </c>
      <c r="C284">
        <f>Coin1!C285</f>
        <v>0</v>
      </c>
      <c r="D284">
        <f>Coin1!D285</f>
        <v>37.992275618487284</v>
      </c>
      <c r="E284" t="s">
        <v>45</v>
      </c>
    </row>
    <row r="285" spans="1:5" x14ac:dyDescent="0.35">
      <c r="A285">
        <f>Coin1!A286</f>
        <v>285</v>
      </c>
      <c r="B285">
        <f>Coin1!B286</f>
        <v>-1.4</v>
      </c>
      <c r="C285">
        <f>Coin1!C286</f>
        <v>2.6930000000000001</v>
      </c>
      <c r="D285">
        <f>Coin1!D286</f>
        <v>37.992275618487284</v>
      </c>
      <c r="E285" t="s">
        <v>45</v>
      </c>
    </row>
    <row r="286" spans="1:5" x14ac:dyDescent="0.35">
      <c r="A286">
        <f>Coin1!A287</f>
        <v>286</v>
      </c>
      <c r="B286">
        <f>Coin1!B287</f>
        <v>-1.4</v>
      </c>
      <c r="C286">
        <f>Coin1!C287</f>
        <v>5.3869999999999996</v>
      </c>
      <c r="D286">
        <f>Coin1!D287</f>
        <v>37.992275618487284</v>
      </c>
      <c r="E286" t="s">
        <v>45</v>
      </c>
    </row>
    <row r="287" spans="1:5" x14ac:dyDescent="0.35">
      <c r="A287">
        <f>Coin1!A288</f>
        <v>287</v>
      </c>
      <c r="B287">
        <f>Coin1!B288</f>
        <v>-1.4</v>
      </c>
      <c r="C287">
        <f>Coin1!C288</f>
        <v>8.08</v>
      </c>
      <c r="D287">
        <f>Coin1!D288</f>
        <v>37.992275618487284</v>
      </c>
      <c r="E287" t="s">
        <v>45</v>
      </c>
    </row>
    <row r="288" spans="1:5" x14ac:dyDescent="0.35">
      <c r="A288">
        <f>Coin1!A289</f>
        <v>288</v>
      </c>
      <c r="B288">
        <f>Coin1!B289</f>
        <v>6.7160000000000002</v>
      </c>
      <c r="C288">
        <f>Coin1!C289</f>
        <v>8.08</v>
      </c>
      <c r="D288">
        <f>Coin1!D289</f>
        <v>37.992275618487284</v>
      </c>
      <c r="E288" t="s">
        <v>45</v>
      </c>
    </row>
    <row r="289" spans="1:5" x14ac:dyDescent="0.35">
      <c r="A289">
        <f>Coin1!A290</f>
        <v>289</v>
      </c>
      <c r="B289">
        <f>Coin1!B290</f>
        <v>6.8890000000000002</v>
      </c>
      <c r="C289">
        <f>Coin1!C290</f>
        <v>8.08</v>
      </c>
      <c r="D289">
        <f>Coin1!D290</f>
        <v>37.992275618487284</v>
      </c>
      <c r="E289" t="s">
        <v>45</v>
      </c>
    </row>
    <row r="290" spans="1:5" x14ac:dyDescent="0.35">
      <c r="A290">
        <f>Coin1!A291</f>
        <v>290</v>
      </c>
      <c r="B290">
        <f>Coin1!B291</f>
        <v>-1.4</v>
      </c>
      <c r="C290">
        <f>Coin1!C291</f>
        <v>10.773</v>
      </c>
      <c r="D290">
        <f>Coin1!D291</f>
        <v>37.992275618487284</v>
      </c>
      <c r="E290" t="s">
        <v>45</v>
      </c>
    </row>
    <row r="291" spans="1:5" x14ac:dyDescent="0.35">
      <c r="A291">
        <f>Coin1!A292</f>
        <v>291</v>
      </c>
      <c r="B291">
        <f>Coin1!B292</f>
        <v>-1.4</v>
      </c>
      <c r="C291">
        <f>Coin1!C292</f>
        <v>13.467000000000001</v>
      </c>
      <c r="D291">
        <f>Coin1!D292</f>
        <v>37.992275618487284</v>
      </c>
      <c r="E291" t="s">
        <v>45</v>
      </c>
    </row>
    <row r="292" spans="1:5" x14ac:dyDescent="0.35">
      <c r="A292">
        <f>Coin1!A293</f>
        <v>292</v>
      </c>
      <c r="B292">
        <f>Coin1!B293</f>
        <v>-1.4</v>
      </c>
      <c r="C292">
        <f>Coin1!C293</f>
        <v>16.16</v>
      </c>
      <c r="D292">
        <f>Coin1!D293</f>
        <v>37.992275618487284</v>
      </c>
      <c r="E292" t="s">
        <v>45</v>
      </c>
    </row>
    <row r="293" spans="1:5" x14ac:dyDescent="0.35">
      <c r="A293">
        <f>Coin1!A294</f>
        <v>293</v>
      </c>
      <c r="B293">
        <f>Coin1!B294</f>
        <v>6.7160000000000002</v>
      </c>
      <c r="C293">
        <f>Coin1!C294</f>
        <v>16.16</v>
      </c>
      <c r="D293">
        <f>Coin1!D294</f>
        <v>37.992275618487284</v>
      </c>
      <c r="E293" t="s">
        <v>45</v>
      </c>
    </row>
    <row r="294" spans="1:5" x14ac:dyDescent="0.35">
      <c r="A294">
        <f>Coin1!A295</f>
        <v>294</v>
      </c>
      <c r="B294">
        <f>Coin1!B295</f>
        <v>6.8890000000000002</v>
      </c>
      <c r="C294">
        <f>Coin1!C295</f>
        <v>16.16</v>
      </c>
      <c r="D294">
        <f>Coin1!D295</f>
        <v>37.992275618487284</v>
      </c>
      <c r="E294" t="s">
        <v>45</v>
      </c>
    </row>
    <row r="295" spans="1:5" x14ac:dyDescent="0.35">
      <c r="A295">
        <f>Coin1!A296</f>
        <v>295</v>
      </c>
      <c r="B295">
        <f>Coin1!B296</f>
        <v>-1.4</v>
      </c>
      <c r="C295">
        <f>Coin1!C296</f>
        <v>-0.35</v>
      </c>
      <c r="D295">
        <f>Coin1!D296</f>
        <v>37.992275618487284</v>
      </c>
      <c r="E295" t="s">
        <v>45</v>
      </c>
    </row>
    <row r="296" spans="1:5" x14ac:dyDescent="0.35">
      <c r="A296">
        <f>Coin1!A297</f>
        <v>296</v>
      </c>
      <c r="B296">
        <f>Coin1!B297</f>
        <v>3.357948729810778</v>
      </c>
      <c r="C296">
        <f>Coin1!C297</f>
        <v>-0.35</v>
      </c>
      <c r="D296">
        <f>Coin1!D297</f>
        <v>37.992275618487284</v>
      </c>
      <c r="E296" t="s">
        <v>45</v>
      </c>
    </row>
    <row r="297" spans="1:5" x14ac:dyDescent="0.35">
      <c r="A297">
        <f>Coin1!A298</f>
        <v>297</v>
      </c>
      <c r="B297">
        <f>Coin1!B298</f>
        <v>6.7160000000000002</v>
      </c>
      <c r="C297">
        <f>Coin1!C298</f>
        <v>-0.35</v>
      </c>
      <c r="D297">
        <f>Coin1!D298</f>
        <v>37.992275618487284</v>
      </c>
      <c r="E297" t="s">
        <v>45</v>
      </c>
    </row>
    <row r="298" spans="1:5" x14ac:dyDescent="0.35">
      <c r="A298">
        <f>Coin1!A299</f>
        <v>298</v>
      </c>
      <c r="B298">
        <f>Coin1!B299</f>
        <v>10.247051270189223</v>
      </c>
      <c r="C298">
        <f>Coin1!C299</f>
        <v>-0.35</v>
      </c>
      <c r="D298">
        <f>Coin1!D299</f>
        <v>37.992275618487284</v>
      </c>
      <c r="E298" t="s">
        <v>45</v>
      </c>
    </row>
    <row r="299" spans="1:5" x14ac:dyDescent="0.35">
      <c r="A299">
        <f>Coin1!A300</f>
        <v>299</v>
      </c>
      <c r="B299">
        <f>Coin1!B300</f>
        <v>16.96294872981078</v>
      </c>
      <c r="C299">
        <f>Coin1!C300</f>
        <v>-0.35</v>
      </c>
      <c r="D299">
        <f>Coin1!D300</f>
        <v>37.992275618487284</v>
      </c>
      <c r="E299" t="s">
        <v>45</v>
      </c>
    </row>
    <row r="300" spans="1:5" x14ac:dyDescent="0.35">
      <c r="A300">
        <f>Coin1!A301</f>
        <v>300</v>
      </c>
      <c r="B300">
        <f>Coin1!B301</f>
        <v>-1.4</v>
      </c>
      <c r="C300">
        <f>Coin1!C301</f>
        <v>0</v>
      </c>
      <c r="D300">
        <f>Coin1!D301</f>
        <v>37.992275618487284</v>
      </c>
      <c r="E300" t="s">
        <v>45</v>
      </c>
    </row>
    <row r="301" spans="1:5" x14ac:dyDescent="0.35">
      <c r="A301">
        <f>Coin1!A302</f>
        <v>301</v>
      </c>
      <c r="B301">
        <f>Coin1!B302</f>
        <v>6.8025000000000002</v>
      </c>
      <c r="C301">
        <f>Coin1!C302</f>
        <v>0</v>
      </c>
      <c r="D301">
        <f>Coin1!D302</f>
        <v>37.992275618487284</v>
      </c>
      <c r="E301" t="s">
        <v>45</v>
      </c>
    </row>
    <row r="302" spans="1:5" x14ac:dyDescent="0.35">
      <c r="A302">
        <f>Coin1!A303</f>
        <v>302</v>
      </c>
      <c r="B302">
        <f>Coin1!B303</f>
        <v>6.8025000000000002</v>
      </c>
      <c r="C302">
        <f>Coin1!C303</f>
        <v>4.04</v>
      </c>
      <c r="D302">
        <f>Coin1!D303</f>
        <v>37.992275618487284</v>
      </c>
      <c r="E302" t="s">
        <v>45</v>
      </c>
    </row>
    <row r="303" spans="1:5" x14ac:dyDescent="0.35">
      <c r="A303">
        <f>Coin1!A304</f>
        <v>303</v>
      </c>
      <c r="B303">
        <f>Coin1!B304</f>
        <v>6.8025000000000002</v>
      </c>
      <c r="C303">
        <f>Coin1!C304</f>
        <v>8.08</v>
      </c>
      <c r="D303">
        <f>Coin1!D304</f>
        <v>37.992275618487284</v>
      </c>
      <c r="E303" t="s">
        <v>45</v>
      </c>
    </row>
    <row r="304" spans="1:5" x14ac:dyDescent="0.35">
      <c r="A304">
        <f>Coin1!A305</f>
        <v>304</v>
      </c>
      <c r="B304">
        <f>Coin1!B305</f>
        <v>6.8025000000000002</v>
      </c>
      <c r="C304">
        <f>Coin1!C305</f>
        <v>12.12</v>
      </c>
      <c r="D304">
        <f>Coin1!D305</f>
        <v>37.992275618487284</v>
      </c>
      <c r="E304" t="s">
        <v>45</v>
      </c>
    </row>
    <row r="305" spans="1:5" x14ac:dyDescent="0.35">
      <c r="A305">
        <f>Coin1!A306</f>
        <v>305</v>
      </c>
      <c r="B305">
        <f>Coin1!B306</f>
        <v>6.8025000000000002</v>
      </c>
      <c r="C305">
        <f>Coin1!C306</f>
        <v>16.16</v>
      </c>
      <c r="D305">
        <f>Coin1!D306</f>
        <v>37.992275618487284</v>
      </c>
      <c r="E305" t="s">
        <v>45</v>
      </c>
    </row>
    <row r="306" spans="1:5" x14ac:dyDescent="0.35">
      <c r="A306">
        <f>Coin1!A307</f>
        <v>306</v>
      </c>
      <c r="B306">
        <f>Coin1!B307</f>
        <v>-1.4</v>
      </c>
      <c r="C306">
        <f>Coin1!C307</f>
        <v>0</v>
      </c>
      <c r="D306">
        <f>Coin1!D307</f>
        <v>38.14227561848729</v>
      </c>
      <c r="E306" t="s">
        <v>45</v>
      </c>
    </row>
    <row r="307" spans="1:5" x14ac:dyDescent="0.35">
      <c r="A307">
        <f>Coin1!A308</f>
        <v>307</v>
      </c>
      <c r="B307">
        <f>Coin1!B308</f>
        <v>-1.4</v>
      </c>
      <c r="C307">
        <f>Coin1!C308</f>
        <v>2.6930000000000001</v>
      </c>
      <c r="D307">
        <f>Coin1!D308</f>
        <v>38.14227561848729</v>
      </c>
      <c r="E307" t="s">
        <v>45</v>
      </c>
    </row>
    <row r="308" spans="1:5" x14ac:dyDescent="0.35">
      <c r="A308">
        <f>Coin1!A309</f>
        <v>308</v>
      </c>
      <c r="B308">
        <f>Coin1!B309</f>
        <v>-1.4</v>
      </c>
      <c r="C308">
        <f>Coin1!C309</f>
        <v>5.3869999999999996</v>
      </c>
      <c r="D308">
        <f>Coin1!D309</f>
        <v>38.14227561848729</v>
      </c>
      <c r="E308" t="s">
        <v>45</v>
      </c>
    </row>
    <row r="309" spans="1:5" x14ac:dyDescent="0.35">
      <c r="A309">
        <f>Coin1!A310</f>
        <v>309</v>
      </c>
      <c r="B309">
        <f>Coin1!B310</f>
        <v>-1.4</v>
      </c>
      <c r="C309">
        <f>Coin1!C310</f>
        <v>8.08</v>
      </c>
      <c r="D309">
        <f>Coin1!D310</f>
        <v>38.14227561848729</v>
      </c>
      <c r="E309" t="s">
        <v>45</v>
      </c>
    </row>
    <row r="310" spans="1:5" x14ac:dyDescent="0.35">
      <c r="A310">
        <f>Coin1!A311</f>
        <v>310</v>
      </c>
      <c r="B310">
        <f>Coin1!B311</f>
        <v>-1.4</v>
      </c>
      <c r="C310">
        <f>Coin1!C311</f>
        <v>10.773</v>
      </c>
      <c r="D310">
        <f>Coin1!D311</f>
        <v>38.14227561848729</v>
      </c>
      <c r="E310" t="s">
        <v>45</v>
      </c>
    </row>
    <row r="311" spans="1:5" x14ac:dyDescent="0.35">
      <c r="A311">
        <f>Coin1!A312</f>
        <v>311</v>
      </c>
      <c r="B311">
        <f>Coin1!B312</f>
        <v>-1.4</v>
      </c>
      <c r="C311">
        <f>Coin1!C312</f>
        <v>13.467000000000001</v>
      </c>
      <c r="D311">
        <f>Coin1!D312</f>
        <v>38.14227561848729</v>
      </c>
      <c r="E311" t="s">
        <v>45</v>
      </c>
    </row>
    <row r="312" spans="1:5" x14ac:dyDescent="0.35">
      <c r="A312">
        <f>Coin1!A313</f>
        <v>312</v>
      </c>
      <c r="B312">
        <f>Coin1!B313</f>
        <v>-1.4</v>
      </c>
      <c r="C312">
        <f>Coin1!C313</f>
        <v>16.16</v>
      </c>
      <c r="D312">
        <f>Coin1!D313</f>
        <v>38.14227561848729</v>
      </c>
      <c r="E312" t="s">
        <v>45</v>
      </c>
    </row>
    <row r="313" spans="1:5" x14ac:dyDescent="0.35">
      <c r="A313">
        <f>Coin1!A314</f>
        <v>313</v>
      </c>
      <c r="B313">
        <f>Coin1!B314</f>
        <v>6.8025000000000002</v>
      </c>
      <c r="C313">
        <f>Coin1!C314</f>
        <v>0</v>
      </c>
      <c r="D313">
        <f>Coin1!D314</f>
        <v>38.292275618487288</v>
      </c>
      <c r="E313" t="s">
        <v>45</v>
      </c>
    </row>
    <row r="314" spans="1:5" x14ac:dyDescent="0.35">
      <c r="A314">
        <f>Coin1!A315</f>
        <v>314</v>
      </c>
      <c r="B314">
        <f>Coin1!B315</f>
        <v>6.8025000000000002</v>
      </c>
      <c r="C314">
        <f>Coin1!C315</f>
        <v>2.6930000000000001</v>
      </c>
      <c r="D314">
        <f>Coin1!D315</f>
        <v>38.292275618487288</v>
      </c>
      <c r="E314" t="s">
        <v>45</v>
      </c>
    </row>
    <row r="315" spans="1:5" x14ac:dyDescent="0.35">
      <c r="A315">
        <f>Coin1!A316</f>
        <v>315</v>
      </c>
      <c r="B315">
        <f>Coin1!B316</f>
        <v>6.8025000000000002</v>
      </c>
      <c r="C315">
        <f>Coin1!C316</f>
        <v>5.3869999999999996</v>
      </c>
      <c r="D315">
        <f>Coin1!D316</f>
        <v>38.292275618487288</v>
      </c>
      <c r="E315" t="s">
        <v>45</v>
      </c>
    </row>
    <row r="316" spans="1:5" x14ac:dyDescent="0.35">
      <c r="A316">
        <f>Coin1!A317</f>
        <v>316</v>
      </c>
      <c r="B316">
        <f>Coin1!B317</f>
        <v>6.8025000000000002</v>
      </c>
      <c r="C316">
        <f>Coin1!C317</f>
        <v>8.08</v>
      </c>
      <c r="D316">
        <f>Coin1!D317</f>
        <v>38.292275618487288</v>
      </c>
      <c r="E316" t="s">
        <v>45</v>
      </c>
    </row>
    <row r="317" spans="1:5" x14ac:dyDescent="0.35">
      <c r="A317">
        <f>Coin1!A318</f>
        <v>317</v>
      </c>
      <c r="B317">
        <f>Coin1!B318</f>
        <v>6.8025000000000002</v>
      </c>
      <c r="C317">
        <f>Coin1!C318</f>
        <v>10.773</v>
      </c>
      <c r="D317">
        <f>Coin1!D318</f>
        <v>38.292275618487288</v>
      </c>
      <c r="E317" t="s">
        <v>45</v>
      </c>
    </row>
    <row r="318" spans="1:5" x14ac:dyDescent="0.35">
      <c r="A318">
        <f>Coin1!A319</f>
        <v>318</v>
      </c>
      <c r="B318">
        <f>Coin1!B319</f>
        <v>6.8025000000000002</v>
      </c>
      <c r="C318">
        <f>Coin1!C319</f>
        <v>13.467000000000001</v>
      </c>
      <c r="D318">
        <f>Coin1!D319</f>
        <v>38.292275618487288</v>
      </c>
      <c r="E318" t="s">
        <v>45</v>
      </c>
    </row>
    <row r="319" spans="1:5" x14ac:dyDescent="0.35">
      <c r="A319">
        <f>Coin1!A320</f>
        <v>319</v>
      </c>
      <c r="B319">
        <f>Coin1!B320</f>
        <v>6.8025000000000002</v>
      </c>
      <c r="C319">
        <f>Coin1!C320</f>
        <v>16.16</v>
      </c>
      <c r="D319">
        <f>Coin1!D320</f>
        <v>38.292275618487288</v>
      </c>
      <c r="E319" t="s">
        <v>45</v>
      </c>
    </row>
    <row r="320" spans="1:5" x14ac:dyDescent="0.35">
      <c r="A320">
        <f>Coin2!A3</f>
        <v>501</v>
      </c>
      <c r="B320">
        <f>Coin2!B3</f>
        <v>0</v>
      </c>
      <c r="C320">
        <f>Coin2!C3</f>
        <v>80.800000000000011</v>
      </c>
      <c r="D320">
        <f>Coin2!D3</f>
        <v>0</v>
      </c>
      <c r="E320" t="s">
        <v>45</v>
      </c>
    </row>
    <row r="321" spans="1:5" x14ac:dyDescent="0.35">
      <c r="A321">
        <f>Coin2!A4</f>
        <v>502</v>
      </c>
      <c r="B321">
        <f>Coin2!B4</f>
        <v>13.605</v>
      </c>
      <c r="C321">
        <f>Coin2!C4</f>
        <v>80.800000000000011</v>
      </c>
      <c r="D321">
        <f>Coin2!D4</f>
        <v>0</v>
      </c>
      <c r="E321" t="s">
        <v>45</v>
      </c>
    </row>
    <row r="322" spans="1:5" x14ac:dyDescent="0.35">
      <c r="A322">
        <f>Coin2!A5</f>
        <v>503</v>
      </c>
      <c r="B322">
        <f>Coin2!B5</f>
        <v>0</v>
      </c>
      <c r="C322">
        <f>Coin2!C5</f>
        <v>96.960000000000008</v>
      </c>
      <c r="D322">
        <f>Coin2!D5</f>
        <v>0</v>
      </c>
      <c r="E322" t="s">
        <v>45</v>
      </c>
    </row>
    <row r="323" spans="1:5" x14ac:dyDescent="0.35">
      <c r="A323">
        <f>Coin2!A6</f>
        <v>504</v>
      </c>
      <c r="B323">
        <f>Coin2!B6</f>
        <v>13.605</v>
      </c>
      <c r="C323">
        <f>Coin2!C6</f>
        <v>96.960000000000008</v>
      </c>
      <c r="D323">
        <f>Coin2!D6</f>
        <v>0</v>
      </c>
      <c r="E323" t="s">
        <v>45</v>
      </c>
    </row>
    <row r="324" spans="1:5" x14ac:dyDescent="0.35">
      <c r="A324">
        <f>Coin2!A7</f>
        <v>505</v>
      </c>
      <c r="B324">
        <f>Coin2!B7</f>
        <v>0</v>
      </c>
      <c r="C324">
        <f>Coin2!C7</f>
        <v>80.800000000000011</v>
      </c>
      <c r="D324">
        <f>Coin2!D7</f>
        <v>8.85</v>
      </c>
      <c r="E324" t="s">
        <v>45</v>
      </c>
    </row>
    <row r="325" spans="1:5" x14ac:dyDescent="0.35">
      <c r="A325">
        <f>Coin2!A8</f>
        <v>506</v>
      </c>
      <c r="B325">
        <f>Coin2!B8</f>
        <v>6.8029999999999999</v>
      </c>
      <c r="C325">
        <f>Coin2!C8</f>
        <v>80.800000000000011</v>
      </c>
      <c r="D325">
        <f>Coin2!D8</f>
        <v>8.85</v>
      </c>
      <c r="E325" t="s">
        <v>45</v>
      </c>
    </row>
    <row r="326" spans="1:5" x14ac:dyDescent="0.35">
      <c r="A326">
        <f>Coin2!A9</f>
        <v>507</v>
      </c>
      <c r="B326">
        <f>Coin2!B9</f>
        <v>13.605</v>
      </c>
      <c r="C326">
        <f>Coin2!C9</f>
        <v>80.800000000000011</v>
      </c>
      <c r="D326">
        <f>Coin2!D9</f>
        <v>8.85</v>
      </c>
      <c r="E326" t="s">
        <v>45</v>
      </c>
    </row>
    <row r="327" spans="1:5" x14ac:dyDescent="0.35">
      <c r="A327">
        <f>Coin2!A10</f>
        <v>508</v>
      </c>
      <c r="B327">
        <f>Coin2!B10</f>
        <v>0</v>
      </c>
      <c r="C327">
        <f>Coin2!C10</f>
        <v>88.88000000000001</v>
      </c>
      <c r="D327">
        <f>Coin2!D10</f>
        <v>8.85</v>
      </c>
      <c r="E327" t="s">
        <v>45</v>
      </c>
    </row>
    <row r="328" spans="1:5" x14ac:dyDescent="0.35">
      <c r="A328">
        <f>Coin2!A11</f>
        <v>509</v>
      </c>
      <c r="B328">
        <f>Coin2!B11</f>
        <v>13.605</v>
      </c>
      <c r="C328">
        <f>Coin2!C11</f>
        <v>88.88000000000001</v>
      </c>
      <c r="D328">
        <f>Coin2!D11</f>
        <v>8.85</v>
      </c>
      <c r="E328" t="s">
        <v>45</v>
      </c>
    </row>
    <row r="329" spans="1:5" x14ac:dyDescent="0.35">
      <c r="A329">
        <f>Coin2!A12</f>
        <v>510</v>
      </c>
      <c r="B329">
        <f>Coin2!B12</f>
        <v>0</v>
      </c>
      <c r="C329">
        <f>Coin2!C12</f>
        <v>96.960000000000008</v>
      </c>
      <c r="D329">
        <f>Coin2!D12</f>
        <v>8.85</v>
      </c>
      <c r="E329" t="s">
        <v>45</v>
      </c>
    </row>
    <row r="330" spans="1:5" x14ac:dyDescent="0.35">
      <c r="A330">
        <f>Coin2!A13</f>
        <v>511</v>
      </c>
      <c r="B330">
        <f>Coin2!B13</f>
        <v>6.8029999999999999</v>
      </c>
      <c r="C330">
        <f>Coin2!C13</f>
        <v>96.960000000000008</v>
      </c>
      <c r="D330">
        <f>Coin2!D13</f>
        <v>8.85</v>
      </c>
      <c r="E330" t="s">
        <v>45</v>
      </c>
    </row>
    <row r="331" spans="1:5" x14ac:dyDescent="0.35">
      <c r="A331">
        <f>Coin2!A14</f>
        <v>512</v>
      </c>
      <c r="B331">
        <f>Coin2!B14</f>
        <v>13.605</v>
      </c>
      <c r="C331">
        <f>Coin2!C14</f>
        <v>96.960000000000008</v>
      </c>
      <c r="D331">
        <f>Coin2!D14</f>
        <v>8.85</v>
      </c>
      <c r="E331" t="s">
        <v>45</v>
      </c>
    </row>
    <row r="332" spans="1:5" x14ac:dyDescent="0.35">
      <c r="A332">
        <f>Coin2!A15</f>
        <v>513</v>
      </c>
      <c r="B332">
        <f>Coin2!B15</f>
        <v>0</v>
      </c>
      <c r="C332">
        <f>Coin2!C15</f>
        <v>80.800000000000011</v>
      </c>
      <c r="D332">
        <f>Coin2!D15</f>
        <v>17.7</v>
      </c>
      <c r="E332" t="s">
        <v>45</v>
      </c>
    </row>
    <row r="333" spans="1:5" x14ac:dyDescent="0.35">
      <c r="A333">
        <f>Coin2!A16</f>
        <v>514</v>
      </c>
      <c r="B333">
        <f>Coin2!B16</f>
        <v>6.8029999999999999</v>
      </c>
      <c r="C333">
        <f>Coin2!C16</f>
        <v>80.800000000000011</v>
      </c>
      <c r="D333">
        <f>Coin2!D16</f>
        <v>17.7</v>
      </c>
      <c r="E333" t="s">
        <v>45</v>
      </c>
    </row>
    <row r="334" spans="1:5" x14ac:dyDescent="0.35">
      <c r="A334">
        <f>Coin2!A17</f>
        <v>515</v>
      </c>
      <c r="B334">
        <f>Coin2!B17</f>
        <v>13.605</v>
      </c>
      <c r="C334">
        <f>Coin2!C17</f>
        <v>80.800000000000011</v>
      </c>
      <c r="D334">
        <f>Coin2!D17</f>
        <v>17.7</v>
      </c>
      <c r="E334" t="s">
        <v>45</v>
      </c>
    </row>
    <row r="335" spans="1:5" x14ac:dyDescent="0.35">
      <c r="A335">
        <f>Coin2!A18</f>
        <v>516</v>
      </c>
      <c r="B335">
        <f>Coin2!B18</f>
        <v>0</v>
      </c>
      <c r="C335">
        <f>Coin2!C18</f>
        <v>88.88000000000001</v>
      </c>
      <c r="D335">
        <f>Coin2!D18</f>
        <v>17.7</v>
      </c>
      <c r="E335" t="s">
        <v>45</v>
      </c>
    </row>
    <row r="336" spans="1:5" x14ac:dyDescent="0.35">
      <c r="A336">
        <f>Coin2!A19</f>
        <v>517</v>
      </c>
      <c r="B336">
        <f>Coin2!B19</f>
        <v>13.605</v>
      </c>
      <c r="C336">
        <f>Coin2!C19</f>
        <v>88.88000000000001</v>
      </c>
      <c r="D336">
        <f>Coin2!D19</f>
        <v>17.7</v>
      </c>
      <c r="E336" t="s">
        <v>45</v>
      </c>
    </row>
    <row r="337" spans="1:5" x14ac:dyDescent="0.35">
      <c r="A337">
        <f>Coin2!A20</f>
        <v>518</v>
      </c>
      <c r="B337">
        <f>Coin2!B20</f>
        <v>0</v>
      </c>
      <c r="C337">
        <f>Coin2!C20</f>
        <v>96.960000000000008</v>
      </c>
      <c r="D337">
        <f>Coin2!D20</f>
        <v>17.7</v>
      </c>
      <c r="E337" t="s">
        <v>45</v>
      </c>
    </row>
    <row r="338" spans="1:5" x14ac:dyDescent="0.35">
      <c r="A338">
        <f>Coin2!A21</f>
        <v>519</v>
      </c>
      <c r="B338">
        <f>Coin2!B21</f>
        <v>6.8029999999999999</v>
      </c>
      <c r="C338">
        <f>Coin2!C21</f>
        <v>96.960000000000008</v>
      </c>
      <c r="D338">
        <f>Coin2!D21</f>
        <v>17.7</v>
      </c>
      <c r="E338" t="s">
        <v>45</v>
      </c>
    </row>
    <row r="339" spans="1:5" x14ac:dyDescent="0.35">
      <c r="A339">
        <f>Coin2!A22</f>
        <v>520</v>
      </c>
      <c r="B339">
        <f>Coin2!B22</f>
        <v>13.605</v>
      </c>
      <c r="C339">
        <f>Coin2!C22</f>
        <v>96.960000000000008</v>
      </c>
      <c r="D339">
        <f>Coin2!D22</f>
        <v>17.7</v>
      </c>
      <c r="E339" t="s">
        <v>45</v>
      </c>
    </row>
    <row r="340" spans="1:5" x14ac:dyDescent="0.35">
      <c r="A340">
        <f>Coin2!A23</f>
        <v>521</v>
      </c>
      <c r="B340">
        <f>Coin2!B23</f>
        <v>0</v>
      </c>
      <c r="C340">
        <f>Coin2!C23</f>
        <v>80.800000000000011</v>
      </c>
      <c r="D340">
        <f>Coin2!D23</f>
        <v>24.96</v>
      </c>
      <c r="E340" t="s">
        <v>45</v>
      </c>
    </row>
    <row r="341" spans="1:5" x14ac:dyDescent="0.35">
      <c r="A341">
        <f>Coin2!A24</f>
        <v>522</v>
      </c>
      <c r="B341">
        <f>Coin2!B24</f>
        <v>13.605</v>
      </c>
      <c r="C341">
        <f>Coin2!C24</f>
        <v>80.800000000000011</v>
      </c>
      <c r="D341">
        <f>Coin2!D24</f>
        <v>24.96</v>
      </c>
      <c r="E341" t="s">
        <v>45</v>
      </c>
    </row>
    <row r="342" spans="1:5" x14ac:dyDescent="0.35">
      <c r="A342">
        <f>Coin2!A25</f>
        <v>523</v>
      </c>
      <c r="B342">
        <f>Coin2!B25</f>
        <v>0</v>
      </c>
      <c r="C342">
        <f>Coin2!C25</f>
        <v>96.960000000000008</v>
      </c>
      <c r="D342">
        <f>Coin2!D25</f>
        <v>24.96</v>
      </c>
      <c r="E342" t="s">
        <v>45</v>
      </c>
    </row>
    <row r="343" spans="1:5" x14ac:dyDescent="0.35">
      <c r="A343">
        <f>Coin2!A26</f>
        <v>524</v>
      </c>
      <c r="B343">
        <f>Coin2!B26</f>
        <v>13.605</v>
      </c>
      <c r="C343">
        <f>Coin2!C26</f>
        <v>96.960000000000008</v>
      </c>
      <c r="D343">
        <f>Coin2!D26</f>
        <v>24.96</v>
      </c>
      <c r="E343" t="s">
        <v>45</v>
      </c>
    </row>
    <row r="344" spans="1:5" x14ac:dyDescent="0.35">
      <c r="A344">
        <f>Coin2!A27</f>
        <v>525</v>
      </c>
      <c r="B344">
        <f>Coin2!B27</f>
        <v>-1.4</v>
      </c>
      <c r="C344">
        <f>Coin2!C27</f>
        <v>80.800000000000011</v>
      </c>
      <c r="D344">
        <f>Coin2!D27</f>
        <v>26.36</v>
      </c>
      <c r="E344" t="s">
        <v>45</v>
      </c>
    </row>
    <row r="345" spans="1:5" x14ac:dyDescent="0.35">
      <c r="A345">
        <f>Coin2!A28</f>
        <v>526</v>
      </c>
      <c r="B345">
        <f>Coin2!B28</f>
        <v>0</v>
      </c>
      <c r="C345">
        <f>Coin2!C28</f>
        <v>80.800000000000011</v>
      </c>
      <c r="D345">
        <f>Coin2!D28</f>
        <v>26.36</v>
      </c>
      <c r="E345" t="s">
        <v>45</v>
      </c>
    </row>
    <row r="346" spans="1:5" x14ac:dyDescent="0.35">
      <c r="A346">
        <f>Coin2!A29</f>
        <v>527</v>
      </c>
      <c r="B346">
        <f>Coin2!B29</f>
        <v>2.0546244626566232</v>
      </c>
      <c r="C346">
        <f>Coin2!C29</f>
        <v>80.800000000000011</v>
      </c>
      <c r="D346">
        <f>Coin2!D29</f>
        <v>26.36</v>
      </c>
      <c r="E346" t="s">
        <v>45</v>
      </c>
    </row>
    <row r="347" spans="1:5" x14ac:dyDescent="0.35">
      <c r="A347">
        <f>Coin2!A30</f>
        <v>528</v>
      </c>
      <c r="B347">
        <f>Coin2!B30</f>
        <v>4.1092489253132465</v>
      </c>
      <c r="C347">
        <f>Coin2!C30</f>
        <v>80.800000000000011</v>
      </c>
      <c r="D347">
        <f>Coin2!D30</f>
        <v>26.36</v>
      </c>
      <c r="E347" t="s">
        <v>45</v>
      </c>
    </row>
    <row r="348" spans="1:5" x14ac:dyDescent="0.35">
      <c r="A348">
        <f>Coin2!A31</f>
        <v>529</v>
      </c>
      <c r="B348">
        <f>Coin2!B31</f>
        <v>6.1638733879698702</v>
      </c>
      <c r="C348">
        <f>Coin2!C31</f>
        <v>80.800000000000011</v>
      </c>
      <c r="D348">
        <f>Coin2!D31</f>
        <v>26.36</v>
      </c>
      <c r="E348" t="s">
        <v>45</v>
      </c>
    </row>
    <row r="349" spans="1:5" x14ac:dyDescent="0.35">
      <c r="A349">
        <f>Coin2!A32</f>
        <v>530</v>
      </c>
      <c r="B349">
        <f>Coin2!B32</f>
        <v>5.9525000000000006</v>
      </c>
      <c r="C349">
        <f>Coin2!C32</f>
        <v>80.800000000000011</v>
      </c>
      <c r="D349">
        <f>Coin2!D32</f>
        <v>26.36</v>
      </c>
      <c r="E349" t="s">
        <v>45</v>
      </c>
    </row>
    <row r="350" spans="1:5" x14ac:dyDescent="0.35">
      <c r="A350">
        <f>Coin2!A33</f>
        <v>531</v>
      </c>
      <c r="B350">
        <f>Coin2!B33</f>
        <v>6.1875</v>
      </c>
      <c r="C350">
        <f>Coin2!C33</f>
        <v>80.800000000000011</v>
      </c>
      <c r="D350">
        <f>Coin2!D33</f>
        <v>26.36</v>
      </c>
      <c r="E350" t="s">
        <v>45</v>
      </c>
    </row>
    <row r="351" spans="1:5" x14ac:dyDescent="0.35">
      <c r="A351">
        <f>Coin2!A34</f>
        <v>532</v>
      </c>
      <c r="B351">
        <f>Coin2!B34</f>
        <v>6.8025000000000002</v>
      </c>
      <c r="C351">
        <f>Coin2!C34</f>
        <v>80.800000000000011</v>
      </c>
      <c r="D351">
        <f>Coin2!D34</f>
        <v>26.36</v>
      </c>
      <c r="E351" t="s">
        <v>45</v>
      </c>
    </row>
    <row r="352" spans="1:5" x14ac:dyDescent="0.35">
      <c r="A352">
        <f>Coin2!A35</f>
        <v>533</v>
      </c>
      <c r="B352">
        <f>Coin2!B35</f>
        <v>7.4175000000000004</v>
      </c>
      <c r="C352">
        <f>Coin2!C35</f>
        <v>80.800000000000011</v>
      </c>
      <c r="D352">
        <f>Coin2!D35</f>
        <v>26.36</v>
      </c>
      <c r="E352" t="s">
        <v>45</v>
      </c>
    </row>
    <row r="353" spans="1:5" x14ac:dyDescent="0.35">
      <c r="A353">
        <f>Coin2!A36</f>
        <v>534</v>
      </c>
      <c r="B353">
        <f>Coin2!B36</f>
        <v>7.6524999999999999</v>
      </c>
      <c r="C353">
        <f>Coin2!C36</f>
        <v>80.800000000000011</v>
      </c>
      <c r="D353">
        <f>Coin2!D36</f>
        <v>26.36</v>
      </c>
      <c r="E353" t="s">
        <v>45</v>
      </c>
    </row>
    <row r="354" spans="1:5" x14ac:dyDescent="0.35">
      <c r="A354">
        <f>Coin2!A37</f>
        <v>535</v>
      </c>
      <c r="B354">
        <f>Coin2!B37</f>
        <v>7.441126612030132</v>
      </c>
      <c r="C354">
        <f>Coin2!C37</f>
        <v>80.800000000000011</v>
      </c>
      <c r="D354">
        <f>Coin2!D37</f>
        <v>26.36</v>
      </c>
      <c r="E354" t="s">
        <v>45</v>
      </c>
    </row>
    <row r="355" spans="1:5" x14ac:dyDescent="0.35">
      <c r="A355">
        <f>Coin2!A38</f>
        <v>536</v>
      </c>
      <c r="B355">
        <f>Coin2!B38</f>
        <v>9.4957510746867548</v>
      </c>
      <c r="C355">
        <f>Coin2!C38</f>
        <v>80.800000000000011</v>
      </c>
      <c r="D355">
        <f>Coin2!D38</f>
        <v>26.36</v>
      </c>
      <c r="E355" t="s">
        <v>45</v>
      </c>
    </row>
    <row r="356" spans="1:5" x14ac:dyDescent="0.35">
      <c r="A356">
        <f>Coin2!A39</f>
        <v>537</v>
      </c>
      <c r="B356">
        <f>Coin2!B39</f>
        <v>11.550375537343378</v>
      </c>
      <c r="C356">
        <f>Coin2!C39</f>
        <v>80.800000000000011</v>
      </c>
      <c r="D356">
        <f>Coin2!D39</f>
        <v>26.36</v>
      </c>
      <c r="E356" t="s">
        <v>45</v>
      </c>
    </row>
    <row r="357" spans="1:5" x14ac:dyDescent="0.35">
      <c r="A357">
        <f>Coin2!A40</f>
        <v>538</v>
      </c>
      <c r="B357">
        <f>Coin2!B40</f>
        <v>13.605</v>
      </c>
      <c r="C357">
        <f>Coin2!C40</f>
        <v>80.800000000000011</v>
      </c>
      <c r="D357">
        <f>Coin2!D40</f>
        <v>26.36</v>
      </c>
      <c r="E357" t="s">
        <v>45</v>
      </c>
    </row>
    <row r="358" spans="1:5" x14ac:dyDescent="0.35">
      <c r="A358">
        <f>Coin2!A41</f>
        <v>539</v>
      </c>
      <c r="B358">
        <f>Coin2!B41</f>
        <v>4.2488733879698692</v>
      </c>
      <c r="C358">
        <f>Coin2!C41</f>
        <v>82.715000000000003</v>
      </c>
      <c r="D358">
        <f>Coin2!D41</f>
        <v>26.36</v>
      </c>
      <c r="E358" t="s">
        <v>45</v>
      </c>
    </row>
    <row r="359" spans="1:5" x14ac:dyDescent="0.35">
      <c r="A359">
        <f>Coin2!A42</f>
        <v>540</v>
      </c>
      <c r="B359">
        <f>Coin2!B42</f>
        <v>6.8025000000000002</v>
      </c>
      <c r="C359">
        <f>Coin2!C42</f>
        <v>82.715000000000003</v>
      </c>
      <c r="D359">
        <f>Coin2!D42</f>
        <v>26.36</v>
      </c>
      <c r="E359" t="s">
        <v>45</v>
      </c>
    </row>
    <row r="360" spans="1:5" x14ac:dyDescent="0.35">
      <c r="A360">
        <f>Coin2!A43</f>
        <v>541</v>
      </c>
      <c r="B360">
        <f>Coin2!B43</f>
        <v>9.3561266120301312</v>
      </c>
      <c r="C360">
        <f>Coin2!C43</f>
        <v>82.715000000000003</v>
      </c>
      <c r="D360">
        <f>Coin2!D43</f>
        <v>26.36</v>
      </c>
      <c r="E360" t="s">
        <v>45</v>
      </c>
    </row>
    <row r="361" spans="1:5" x14ac:dyDescent="0.35">
      <c r="A361">
        <f>Coin2!A44</f>
        <v>542</v>
      </c>
      <c r="B361">
        <f>Coin2!B44</f>
        <v>6.8025000000000002</v>
      </c>
      <c r="C361">
        <f>Coin2!C44</f>
        <v>83.03</v>
      </c>
      <c r="D361">
        <f>Coin2!D44</f>
        <v>26.36</v>
      </c>
      <c r="E361" t="s">
        <v>45</v>
      </c>
    </row>
    <row r="362" spans="1:5" x14ac:dyDescent="0.35">
      <c r="A362">
        <f>Coin2!A45</f>
        <v>543</v>
      </c>
      <c r="B362">
        <f>Coin2!B45</f>
        <v>0</v>
      </c>
      <c r="C362">
        <f>Coin2!C45</f>
        <v>82.854624462656631</v>
      </c>
      <c r="D362">
        <f>Coin2!D45</f>
        <v>26.36</v>
      </c>
      <c r="E362" t="s">
        <v>45</v>
      </c>
    </row>
    <row r="363" spans="1:5" x14ac:dyDescent="0.35">
      <c r="A363">
        <f>Coin2!A46</f>
        <v>544</v>
      </c>
      <c r="B363">
        <f>Coin2!B46</f>
        <v>13.605</v>
      </c>
      <c r="C363">
        <f>Coin2!C46</f>
        <v>82.854624462656631</v>
      </c>
      <c r="D363">
        <f>Coin2!D46</f>
        <v>26.36</v>
      </c>
      <c r="E363" t="s">
        <v>45</v>
      </c>
    </row>
    <row r="364" spans="1:5" x14ac:dyDescent="0.35">
      <c r="A364">
        <f>Coin2!A47</f>
        <v>545</v>
      </c>
      <c r="B364">
        <f>Coin2!B47</f>
        <v>1.4155000000000006</v>
      </c>
      <c r="C364">
        <f>Coin2!C47</f>
        <v>83.493000000000009</v>
      </c>
      <c r="D364">
        <f>Coin2!D47</f>
        <v>26.36</v>
      </c>
      <c r="E364" t="s">
        <v>45</v>
      </c>
    </row>
    <row r="365" spans="1:5" x14ac:dyDescent="0.35">
      <c r="A365">
        <f>Coin2!A48</f>
        <v>546</v>
      </c>
      <c r="B365">
        <f>Coin2!B48</f>
        <v>12.189499999999999</v>
      </c>
      <c r="C365">
        <f>Coin2!C48</f>
        <v>83.493000000000009</v>
      </c>
      <c r="D365">
        <f>Coin2!D48</f>
        <v>26.36</v>
      </c>
      <c r="E365" t="s">
        <v>45</v>
      </c>
    </row>
    <row r="366" spans="1:5" x14ac:dyDescent="0.35">
      <c r="A366">
        <f>Coin2!A49</f>
        <v>547</v>
      </c>
      <c r="B366">
        <f>Coin2!B49</f>
        <v>-1.4</v>
      </c>
      <c r="C366">
        <f>Coin2!C49</f>
        <v>83.493000000000009</v>
      </c>
      <c r="D366">
        <f>Coin2!D49</f>
        <v>26.36</v>
      </c>
      <c r="E366" t="s">
        <v>45</v>
      </c>
    </row>
    <row r="367" spans="1:5" x14ac:dyDescent="0.35">
      <c r="A367">
        <f>Coin2!A50</f>
        <v>548</v>
      </c>
      <c r="B367">
        <f>Coin2!B50</f>
        <v>0</v>
      </c>
      <c r="C367">
        <f>Coin2!C50</f>
        <v>83.493000000000009</v>
      </c>
      <c r="D367">
        <f>Coin2!D50</f>
        <v>26.36</v>
      </c>
      <c r="E367" t="s">
        <v>45</v>
      </c>
    </row>
    <row r="368" spans="1:5" x14ac:dyDescent="0.35">
      <c r="A368">
        <f>Coin2!A51</f>
        <v>549</v>
      </c>
      <c r="B368">
        <f>Coin2!B51</f>
        <v>2.4435000000000002</v>
      </c>
      <c r="C368">
        <f>Coin2!C51</f>
        <v>84.521000000000015</v>
      </c>
      <c r="D368">
        <f>Coin2!D51</f>
        <v>26.36</v>
      </c>
      <c r="E368" t="s">
        <v>45</v>
      </c>
    </row>
    <row r="369" spans="1:5" x14ac:dyDescent="0.35">
      <c r="A369">
        <f>Coin2!A52</f>
        <v>550</v>
      </c>
      <c r="B369">
        <f>Coin2!B52</f>
        <v>11.1615</v>
      </c>
      <c r="C369">
        <f>Coin2!C52</f>
        <v>84.521000000000015</v>
      </c>
      <c r="D369">
        <f>Coin2!D52</f>
        <v>26.36</v>
      </c>
      <c r="E369" t="s">
        <v>45</v>
      </c>
    </row>
    <row r="370" spans="1:5" x14ac:dyDescent="0.35">
      <c r="A370">
        <f>Coin2!A53</f>
        <v>551</v>
      </c>
      <c r="B370">
        <f>Coin2!B53</f>
        <v>2.6655000000000006</v>
      </c>
      <c r="C370">
        <f>Coin2!C53</f>
        <v>84.743000000000009</v>
      </c>
      <c r="D370">
        <f>Coin2!D53</f>
        <v>26.36</v>
      </c>
      <c r="E370" t="s">
        <v>45</v>
      </c>
    </row>
    <row r="371" spans="1:5" x14ac:dyDescent="0.35">
      <c r="A371">
        <f>Coin2!A54</f>
        <v>552</v>
      </c>
      <c r="B371">
        <f>Coin2!B54</f>
        <v>10.939499999999999</v>
      </c>
      <c r="C371">
        <f>Coin2!C54</f>
        <v>84.743000000000009</v>
      </c>
      <c r="D371">
        <f>Coin2!D54</f>
        <v>26.36</v>
      </c>
      <c r="E371" t="s">
        <v>45</v>
      </c>
    </row>
    <row r="372" spans="1:5" x14ac:dyDescent="0.35">
      <c r="A372">
        <f>Coin2!A55</f>
        <v>553</v>
      </c>
      <c r="B372">
        <f>Coin2!B55</f>
        <v>0</v>
      </c>
      <c r="C372">
        <f>Coin2!C55</f>
        <v>84.90924892531325</v>
      </c>
      <c r="D372">
        <f>Coin2!D55</f>
        <v>26.36</v>
      </c>
      <c r="E372" t="s">
        <v>45</v>
      </c>
    </row>
    <row r="373" spans="1:5" x14ac:dyDescent="0.35">
      <c r="A373">
        <f>Coin2!A56</f>
        <v>554</v>
      </c>
      <c r="B373">
        <f>Coin2!B56</f>
        <v>13.605</v>
      </c>
      <c r="C373">
        <f>Coin2!C56</f>
        <v>84.90924892531325</v>
      </c>
      <c r="D373">
        <f>Coin2!D56</f>
        <v>26.36</v>
      </c>
      <c r="E373" t="s">
        <v>45</v>
      </c>
    </row>
    <row r="374" spans="1:5" x14ac:dyDescent="0.35">
      <c r="A374">
        <f>Coin2!A57</f>
        <v>555</v>
      </c>
      <c r="B374">
        <f>Coin2!B57</f>
        <v>0.63750000000000062</v>
      </c>
      <c r="C374">
        <f>Coin2!C57</f>
        <v>86.32637338796988</v>
      </c>
      <c r="D374">
        <f>Coin2!D57</f>
        <v>26.36</v>
      </c>
      <c r="E374" t="s">
        <v>45</v>
      </c>
    </row>
    <row r="375" spans="1:5" x14ac:dyDescent="0.35">
      <c r="A375">
        <f>Coin2!A58</f>
        <v>556</v>
      </c>
      <c r="B375">
        <f>Coin2!B58</f>
        <v>12.967499999999999</v>
      </c>
      <c r="C375">
        <f>Coin2!C58</f>
        <v>86.32637338796988</v>
      </c>
      <c r="D375">
        <f>Coin2!D58</f>
        <v>26.36</v>
      </c>
      <c r="E375" t="s">
        <v>45</v>
      </c>
    </row>
    <row r="376" spans="1:5" x14ac:dyDescent="0.35">
      <c r="A376">
        <f>Coin2!A59</f>
        <v>557</v>
      </c>
      <c r="B376">
        <f>Coin2!B59</f>
        <v>-1.4</v>
      </c>
      <c r="C376">
        <f>Coin2!C59</f>
        <v>86.187000000000012</v>
      </c>
      <c r="D376">
        <f>Coin2!D59</f>
        <v>26.36</v>
      </c>
      <c r="E376" t="s">
        <v>45</v>
      </c>
    </row>
    <row r="377" spans="1:5" x14ac:dyDescent="0.35">
      <c r="A377">
        <f>Coin2!A60</f>
        <v>558</v>
      </c>
      <c r="B377">
        <f>Coin2!B60</f>
        <v>0</v>
      </c>
      <c r="C377">
        <f>Coin2!C60</f>
        <v>86.187000000000012</v>
      </c>
      <c r="D377">
        <f>Coin2!D60</f>
        <v>26.36</v>
      </c>
      <c r="E377" t="s">
        <v>45</v>
      </c>
    </row>
    <row r="378" spans="1:5" x14ac:dyDescent="0.35">
      <c r="A378">
        <f>Coin2!A61</f>
        <v>559</v>
      </c>
      <c r="B378">
        <f>Coin2!B61</f>
        <v>0</v>
      </c>
      <c r="C378">
        <f>Coin2!C61</f>
        <v>86.963873387969869</v>
      </c>
      <c r="D378">
        <f>Coin2!D61</f>
        <v>26.36</v>
      </c>
      <c r="E378" t="s">
        <v>45</v>
      </c>
    </row>
    <row r="379" spans="1:5" x14ac:dyDescent="0.35">
      <c r="A379">
        <f>Coin2!A62</f>
        <v>560</v>
      </c>
      <c r="B379">
        <f>Coin2!B62</f>
        <v>13.605</v>
      </c>
      <c r="C379">
        <f>Coin2!C62</f>
        <v>86.963873387969869</v>
      </c>
      <c r="D379">
        <f>Coin2!D62</f>
        <v>26.36</v>
      </c>
      <c r="E379" t="s">
        <v>45</v>
      </c>
    </row>
    <row r="380" spans="1:5" x14ac:dyDescent="0.35">
      <c r="A380">
        <f>Coin2!A63</f>
        <v>561</v>
      </c>
      <c r="B380">
        <f>Coin2!B63</f>
        <v>-1.4</v>
      </c>
      <c r="C380">
        <f>Coin2!C63</f>
        <v>88.88000000000001</v>
      </c>
      <c r="D380">
        <f>Coin2!D63</f>
        <v>26.36</v>
      </c>
      <c r="E380" t="s">
        <v>45</v>
      </c>
    </row>
    <row r="381" spans="1:5" x14ac:dyDescent="0.35">
      <c r="A381">
        <f>Coin2!A64</f>
        <v>562</v>
      </c>
      <c r="B381">
        <f>Coin2!B64</f>
        <v>0</v>
      </c>
      <c r="C381">
        <f>Coin2!C64</f>
        <v>88.88000000000001</v>
      </c>
      <c r="D381">
        <f>Coin2!D64</f>
        <v>26.36</v>
      </c>
      <c r="E381" t="s">
        <v>45</v>
      </c>
    </row>
    <row r="382" spans="1:5" x14ac:dyDescent="0.35">
      <c r="A382">
        <f>Coin2!A65</f>
        <v>563</v>
      </c>
      <c r="B382">
        <f>Coin2!B65</f>
        <v>0.63750000000000062</v>
      </c>
      <c r="C382">
        <f>Coin2!C65</f>
        <v>88.88000000000001</v>
      </c>
      <c r="D382">
        <f>Coin2!D65</f>
        <v>26.36</v>
      </c>
      <c r="E382" t="s">
        <v>45</v>
      </c>
    </row>
    <row r="383" spans="1:5" x14ac:dyDescent="0.35">
      <c r="A383">
        <f>Coin2!A66</f>
        <v>564</v>
      </c>
      <c r="B383">
        <f>Coin2!B66</f>
        <v>0.95250000000000057</v>
      </c>
      <c r="C383">
        <f>Coin2!C66</f>
        <v>88.88000000000001</v>
      </c>
      <c r="D383">
        <f>Coin2!D66</f>
        <v>26.36</v>
      </c>
      <c r="E383" t="s">
        <v>45</v>
      </c>
    </row>
    <row r="384" spans="1:5" x14ac:dyDescent="0.35">
      <c r="A384">
        <f>Coin2!A67</f>
        <v>565</v>
      </c>
      <c r="B384">
        <f>Coin2!B67</f>
        <v>12.6525</v>
      </c>
      <c r="C384">
        <f>Coin2!C67</f>
        <v>88.88000000000001</v>
      </c>
      <c r="D384">
        <f>Coin2!D67</f>
        <v>26.36</v>
      </c>
      <c r="E384" t="s">
        <v>45</v>
      </c>
    </row>
    <row r="385" spans="1:5" x14ac:dyDescent="0.35">
      <c r="A385">
        <f>Coin2!A68</f>
        <v>566</v>
      </c>
      <c r="B385">
        <f>Coin2!B68</f>
        <v>12.967499999999999</v>
      </c>
      <c r="C385">
        <f>Coin2!C68</f>
        <v>88.88000000000001</v>
      </c>
      <c r="D385">
        <f>Coin2!D68</f>
        <v>26.36</v>
      </c>
      <c r="E385" t="s">
        <v>45</v>
      </c>
    </row>
    <row r="386" spans="1:5" x14ac:dyDescent="0.35">
      <c r="A386">
        <f>Coin2!A69</f>
        <v>567</v>
      </c>
      <c r="B386">
        <f>Coin2!B69</f>
        <v>13.605</v>
      </c>
      <c r="C386">
        <f>Coin2!C69</f>
        <v>88.88000000000001</v>
      </c>
      <c r="D386">
        <f>Coin2!D69</f>
        <v>26.36</v>
      </c>
      <c r="E386" t="s">
        <v>45</v>
      </c>
    </row>
    <row r="387" spans="1:5" x14ac:dyDescent="0.35">
      <c r="A387">
        <f>Coin2!A70</f>
        <v>568</v>
      </c>
      <c r="B387">
        <f>Coin2!B70</f>
        <v>0</v>
      </c>
      <c r="C387">
        <f>Coin2!C70</f>
        <v>90.796126612030136</v>
      </c>
      <c r="D387">
        <f>Coin2!D70</f>
        <v>26.36</v>
      </c>
      <c r="E387" t="s">
        <v>45</v>
      </c>
    </row>
    <row r="388" spans="1:5" x14ac:dyDescent="0.35">
      <c r="A388">
        <f>Coin2!A71</f>
        <v>569</v>
      </c>
      <c r="B388">
        <f>Coin2!B71</f>
        <v>13.605</v>
      </c>
      <c r="C388">
        <f>Coin2!C71</f>
        <v>90.796126612030136</v>
      </c>
      <c r="D388">
        <f>Coin2!D71</f>
        <v>26.36</v>
      </c>
      <c r="E388" t="s">
        <v>45</v>
      </c>
    </row>
    <row r="389" spans="1:5" x14ac:dyDescent="0.35">
      <c r="A389">
        <f>Coin2!A72</f>
        <v>570</v>
      </c>
      <c r="B389">
        <f>Coin2!B72</f>
        <v>-1.4</v>
      </c>
      <c r="C389">
        <f>Coin2!C72</f>
        <v>91.573000000000008</v>
      </c>
      <c r="D389">
        <f>Coin2!D72</f>
        <v>26.36</v>
      </c>
      <c r="E389" t="s">
        <v>45</v>
      </c>
    </row>
    <row r="390" spans="1:5" x14ac:dyDescent="0.35">
      <c r="A390">
        <f>Coin2!A73</f>
        <v>571</v>
      </c>
      <c r="B390">
        <f>Coin2!B73</f>
        <v>0</v>
      </c>
      <c r="C390">
        <f>Coin2!C73</f>
        <v>91.573000000000008</v>
      </c>
      <c r="D390">
        <f>Coin2!D73</f>
        <v>26.36</v>
      </c>
      <c r="E390" t="s">
        <v>45</v>
      </c>
    </row>
    <row r="391" spans="1:5" x14ac:dyDescent="0.35">
      <c r="A391">
        <f>Coin2!A74</f>
        <v>572</v>
      </c>
      <c r="B391">
        <f>Coin2!B74</f>
        <v>0.63750000000000062</v>
      </c>
      <c r="C391">
        <f>Coin2!C74</f>
        <v>91.433626612030139</v>
      </c>
      <c r="D391">
        <f>Coin2!D74</f>
        <v>26.36</v>
      </c>
      <c r="E391" t="s">
        <v>45</v>
      </c>
    </row>
    <row r="392" spans="1:5" x14ac:dyDescent="0.35">
      <c r="A392">
        <f>Coin2!A75</f>
        <v>573</v>
      </c>
      <c r="B392">
        <f>Coin2!B75</f>
        <v>12.967499999999999</v>
      </c>
      <c r="C392">
        <f>Coin2!C75</f>
        <v>91.433626612030139</v>
      </c>
      <c r="D392">
        <f>Coin2!D75</f>
        <v>26.36</v>
      </c>
      <c r="E392" t="s">
        <v>45</v>
      </c>
    </row>
    <row r="393" spans="1:5" x14ac:dyDescent="0.35">
      <c r="A393">
        <f>Coin2!A76</f>
        <v>574</v>
      </c>
      <c r="B393">
        <f>Coin2!B76</f>
        <v>0</v>
      </c>
      <c r="C393">
        <f>Coin2!C76</f>
        <v>92.850751074686755</v>
      </c>
      <c r="D393">
        <f>Coin2!D76</f>
        <v>26.36</v>
      </c>
      <c r="E393" t="s">
        <v>45</v>
      </c>
    </row>
    <row r="394" spans="1:5" x14ac:dyDescent="0.35">
      <c r="A394">
        <f>Coin2!A77</f>
        <v>575</v>
      </c>
      <c r="B394">
        <f>Coin2!B77</f>
        <v>13.605</v>
      </c>
      <c r="C394">
        <f>Coin2!C77</f>
        <v>92.850751074686755</v>
      </c>
      <c r="D394">
        <f>Coin2!D77</f>
        <v>26.36</v>
      </c>
      <c r="E394" t="s">
        <v>45</v>
      </c>
    </row>
    <row r="395" spans="1:5" x14ac:dyDescent="0.35">
      <c r="A395">
        <f>Coin2!A78</f>
        <v>576</v>
      </c>
      <c r="B395">
        <f>Coin2!B78</f>
        <v>2.6655000000000006</v>
      </c>
      <c r="C395">
        <f>Coin2!C78</f>
        <v>93.01700000000001</v>
      </c>
      <c r="D395">
        <f>Coin2!D78</f>
        <v>26.36</v>
      </c>
      <c r="E395" t="s">
        <v>45</v>
      </c>
    </row>
    <row r="396" spans="1:5" x14ac:dyDescent="0.35">
      <c r="A396">
        <f>Coin2!A79</f>
        <v>577</v>
      </c>
      <c r="B396">
        <f>Coin2!B79</f>
        <v>10.939499999999999</v>
      </c>
      <c r="C396">
        <f>Coin2!C79</f>
        <v>93.01700000000001</v>
      </c>
      <c r="D396">
        <f>Coin2!D79</f>
        <v>26.36</v>
      </c>
      <c r="E396" t="s">
        <v>45</v>
      </c>
    </row>
    <row r="397" spans="1:5" x14ac:dyDescent="0.35">
      <c r="A397">
        <f>Coin2!A80</f>
        <v>578</v>
      </c>
      <c r="B397">
        <f>Coin2!B80</f>
        <v>2.4435000000000002</v>
      </c>
      <c r="C397">
        <f>Coin2!C80</f>
        <v>93.239000000000004</v>
      </c>
      <c r="D397">
        <f>Coin2!D80</f>
        <v>26.36</v>
      </c>
      <c r="E397" t="s">
        <v>45</v>
      </c>
    </row>
    <row r="398" spans="1:5" x14ac:dyDescent="0.35">
      <c r="A398">
        <f>Coin2!A81</f>
        <v>579</v>
      </c>
      <c r="B398">
        <f>Coin2!B81</f>
        <v>11.1615</v>
      </c>
      <c r="C398">
        <f>Coin2!C81</f>
        <v>93.239000000000004</v>
      </c>
      <c r="D398">
        <f>Coin2!D81</f>
        <v>26.36</v>
      </c>
      <c r="E398" t="s">
        <v>45</v>
      </c>
    </row>
    <row r="399" spans="1:5" x14ac:dyDescent="0.35">
      <c r="A399">
        <f>Coin2!A82</f>
        <v>580</v>
      </c>
      <c r="B399">
        <f>Coin2!B82</f>
        <v>-1.4</v>
      </c>
      <c r="C399">
        <f>Coin2!C82</f>
        <v>94.26700000000001</v>
      </c>
      <c r="D399">
        <f>Coin2!D82</f>
        <v>26.36</v>
      </c>
      <c r="E399" t="s">
        <v>45</v>
      </c>
    </row>
    <row r="400" spans="1:5" x14ac:dyDescent="0.35">
      <c r="A400">
        <f>Coin2!A83</f>
        <v>581</v>
      </c>
      <c r="B400">
        <f>Coin2!B83</f>
        <v>0</v>
      </c>
      <c r="C400">
        <f>Coin2!C83</f>
        <v>94.26700000000001</v>
      </c>
      <c r="D400">
        <f>Coin2!D83</f>
        <v>26.36</v>
      </c>
      <c r="E400" t="s">
        <v>45</v>
      </c>
    </row>
    <row r="401" spans="1:5" x14ac:dyDescent="0.35">
      <c r="A401">
        <f>Coin2!A84</f>
        <v>582</v>
      </c>
      <c r="B401">
        <f>Coin2!B84</f>
        <v>1.4155000000000006</v>
      </c>
      <c r="C401">
        <f>Coin2!C84</f>
        <v>94.26700000000001</v>
      </c>
      <c r="D401">
        <f>Coin2!D84</f>
        <v>26.36</v>
      </c>
      <c r="E401" t="s">
        <v>45</v>
      </c>
    </row>
    <row r="402" spans="1:5" x14ac:dyDescent="0.35">
      <c r="A402">
        <f>Coin2!A85</f>
        <v>583</v>
      </c>
      <c r="B402">
        <f>Coin2!B85</f>
        <v>12.189499999999999</v>
      </c>
      <c r="C402">
        <f>Coin2!C85</f>
        <v>94.26700000000001</v>
      </c>
      <c r="D402">
        <f>Coin2!D85</f>
        <v>26.36</v>
      </c>
      <c r="E402" t="s">
        <v>45</v>
      </c>
    </row>
    <row r="403" spans="1:5" x14ac:dyDescent="0.35">
      <c r="A403">
        <f>Coin2!A86</f>
        <v>584</v>
      </c>
      <c r="B403">
        <f>Coin2!B86</f>
        <v>0</v>
      </c>
      <c r="C403">
        <f>Coin2!C86</f>
        <v>94.905375537343389</v>
      </c>
      <c r="D403">
        <f>Coin2!D86</f>
        <v>26.36</v>
      </c>
      <c r="E403" t="s">
        <v>45</v>
      </c>
    </row>
    <row r="404" spans="1:5" x14ac:dyDescent="0.35">
      <c r="A404">
        <f>Coin2!A87</f>
        <v>585</v>
      </c>
      <c r="B404">
        <f>Coin2!B87</f>
        <v>13.605</v>
      </c>
      <c r="C404">
        <f>Coin2!C87</f>
        <v>94.905375537343389</v>
      </c>
      <c r="D404">
        <f>Coin2!D87</f>
        <v>26.36</v>
      </c>
      <c r="E404" t="s">
        <v>45</v>
      </c>
    </row>
    <row r="405" spans="1:5" x14ac:dyDescent="0.35">
      <c r="A405">
        <f>Coin2!A88</f>
        <v>586</v>
      </c>
      <c r="B405">
        <f>Coin2!B88</f>
        <v>6.8025000000000002</v>
      </c>
      <c r="C405">
        <f>Coin2!C88</f>
        <v>94.73</v>
      </c>
      <c r="D405">
        <f>Coin2!D88</f>
        <v>26.36</v>
      </c>
      <c r="E405" t="s">
        <v>45</v>
      </c>
    </row>
    <row r="406" spans="1:5" x14ac:dyDescent="0.35">
      <c r="A406">
        <f>Coin2!A89</f>
        <v>587</v>
      </c>
      <c r="B406">
        <f>Coin2!B89</f>
        <v>4.2488733879698692</v>
      </c>
      <c r="C406">
        <f>Coin2!C89</f>
        <v>95.045000000000002</v>
      </c>
      <c r="D406">
        <f>Coin2!D89</f>
        <v>26.36</v>
      </c>
      <c r="E406" t="s">
        <v>45</v>
      </c>
    </row>
    <row r="407" spans="1:5" x14ac:dyDescent="0.35">
      <c r="A407">
        <f>Coin2!A90</f>
        <v>588</v>
      </c>
      <c r="B407">
        <f>Coin2!B90</f>
        <v>6.8025000000000002</v>
      </c>
      <c r="C407">
        <f>Coin2!C90</f>
        <v>95.045000000000002</v>
      </c>
      <c r="D407">
        <f>Coin2!D90</f>
        <v>26.36</v>
      </c>
      <c r="E407" t="s">
        <v>45</v>
      </c>
    </row>
    <row r="408" spans="1:5" x14ac:dyDescent="0.35">
      <c r="A408">
        <f>Coin2!A91</f>
        <v>589</v>
      </c>
      <c r="B408">
        <f>Coin2!B91</f>
        <v>9.3561266120301312</v>
      </c>
      <c r="C408">
        <f>Coin2!C91</f>
        <v>95.045000000000002</v>
      </c>
      <c r="D408">
        <f>Coin2!D91</f>
        <v>26.36</v>
      </c>
      <c r="E408" t="s">
        <v>45</v>
      </c>
    </row>
    <row r="409" spans="1:5" x14ac:dyDescent="0.35">
      <c r="A409">
        <f>Coin2!A92</f>
        <v>590</v>
      </c>
      <c r="B409">
        <f>Coin2!B92</f>
        <v>-1.4</v>
      </c>
      <c r="C409">
        <f>Coin2!C92</f>
        <v>96.960000000000008</v>
      </c>
      <c r="D409">
        <f>Coin2!D92</f>
        <v>26.36</v>
      </c>
      <c r="E409" t="s">
        <v>45</v>
      </c>
    </row>
    <row r="410" spans="1:5" x14ac:dyDescent="0.35">
      <c r="A410">
        <f>Coin2!A93</f>
        <v>591</v>
      </c>
      <c r="B410">
        <f>Coin2!B93</f>
        <v>0</v>
      </c>
      <c r="C410">
        <f>Coin2!C93</f>
        <v>96.960000000000008</v>
      </c>
      <c r="D410">
        <f>Coin2!D93</f>
        <v>26.36</v>
      </c>
      <c r="E410" t="s">
        <v>45</v>
      </c>
    </row>
    <row r="411" spans="1:5" x14ac:dyDescent="0.35">
      <c r="A411">
        <f>Coin2!A94</f>
        <v>592</v>
      </c>
      <c r="B411">
        <f>Coin2!B94</f>
        <v>1.1200000000000001</v>
      </c>
      <c r="C411">
        <f>Coin2!C94</f>
        <v>96.960000000000008</v>
      </c>
      <c r="D411">
        <f>Coin2!D94</f>
        <v>26.36</v>
      </c>
      <c r="E411" t="s">
        <v>45</v>
      </c>
    </row>
    <row r="412" spans="1:5" x14ac:dyDescent="0.35">
      <c r="A412">
        <f>Coin2!A95</f>
        <v>593</v>
      </c>
      <c r="B412">
        <f>Coin2!B95</f>
        <v>2.0546244626566232</v>
      </c>
      <c r="C412">
        <f>Coin2!C95</f>
        <v>96.960000000000008</v>
      </c>
      <c r="D412">
        <f>Coin2!D95</f>
        <v>26.36</v>
      </c>
      <c r="E412" t="s">
        <v>45</v>
      </c>
    </row>
    <row r="413" spans="1:5" x14ac:dyDescent="0.35">
      <c r="A413">
        <f>Coin2!A96</f>
        <v>594</v>
      </c>
      <c r="B413">
        <f>Coin2!B96</f>
        <v>2.2379487298107779</v>
      </c>
      <c r="C413">
        <f>Coin2!C96</f>
        <v>96.960000000000008</v>
      </c>
      <c r="D413">
        <f>Coin2!D96</f>
        <v>26.36</v>
      </c>
      <c r="E413" t="s">
        <v>45</v>
      </c>
    </row>
    <row r="414" spans="1:5" x14ac:dyDescent="0.35">
      <c r="A414">
        <f>Coin2!A97</f>
        <v>595</v>
      </c>
      <c r="B414">
        <f>Coin2!B97</f>
        <v>3.357948729810778</v>
      </c>
      <c r="C414">
        <f>Coin2!C97</f>
        <v>96.960000000000008</v>
      </c>
      <c r="D414">
        <f>Coin2!D97</f>
        <v>26.36</v>
      </c>
      <c r="E414" t="s">
        <v>45</v>
      </c>
    </row>
    <row r="415" spans="1:5" x14ac:dyDescent="0.35">
      <c r="A415">
        <f>Coin2!A98</f>
        <v>596</v>
      </c>
      <c r="B415">
        <f>Coin2!B98</f>
        <v>4.1092489253132465</v>
      </c>
      <c r="C415">
        <f>Coin2!C98</f>
        <v>96.960000000000008</v>
      </c>
      <c r="D415">
        <f>Coin2!D98</f>
        <v>26.36</v>
      </c>
      <c r="E415" t="s">
        <v>45</v>
      </c>
    </row>
    <row r="416" spans="1:5" x14ac:dyDescent="0.35">
      <c r="A416">
        <f>Coin2!A99</f>
        <v>597</v>
      </c>
      <c r="B416">
        <f>Coin2!B99</f>
        <v>4.2979487298107779</v>
      </c>
      <c r="C416">
        <f>Coin2!C99</f>
        <v>96.960000000000008</v>
      </c>
      <c r="D416">
        <f>Coin2!D99</f>
        <v>26.36</v>
      </c>
      <c r="E416" t="s">
        <v>45</v>
      </c>
    </row>
    <row r="417" spans="1:5" x14ac:dyDescent="0.35">
      <c r="A417">
        <f>Coin2!A100</f>
        <v>598</v>
      </c>
      <c r="B417">
        <f>Coin2!B100</f>
        <v>5.2475000000000005</v>
      </c>
      <c r="C417">
        <f>Coin2!C100</f>
        <v>96.960000000000008</v>
      </c>
      <c r="D417">
        <f>Coin2!D100</f>
        <v>26.36</v>
      </c>
      <c r="E417" t="s">
        <v>45</v>
      </c>
    </row>
    <row r="418" spans="1:5" x14ac:dyDescent="0.35">
      <c r="A418">
        <f>Coin2!A101</f>
        <v>599</v>
      </c>
      <c r="B418">
        <f>Coin2!B101</f>
        <v>6.1638733879698702</v>
      </c>
      <c r="C418">
        <f>Coin2!C101</f>
        <v>96.960000000000008</v>
      </c>
      <c r="D418">
        <f>Coin2!D101</f>
        <v>26.36</v>
      </c>
      <c r="E418" t="s">
        <v>45</v>
      </c>
    </row>
    <row r="419" spans="1:5" x14ac:dyDescent="0.35">
      <c r="A419">
        <f>Coin2!A102</f>
        <v>600</v>
      </c>
      <c r="B419">
        <f>Coin2!B102</f>
        <v>5.9525000000000006</v>
      </c>
      <c r="C419">
        <f>Coin2!C102</f>
        <v>96.960000000000008</v>
      </c>
      <c r="D419">
        <f>Coin2!D102</f>
        <v>26.36</v>
      </c>
      <c r="E419" t="s">
        <v>45</v>
      </c>
    </row>
    <row r="420" spans="1:5" x14ac:dyDescent="0.35">
      <c r="A420">
        <f>Coin2!A103</f>
        <v>601</v>
      </c>
      <c r="B420">
        <f>Coin2!B103</f>
        <v>6.1875</v>
      </c>
      <c r="C420">
        <f>Coin2!C103</f>
        <v>96.960000000000008</v>
      </c>
      <c r="D420">
        <f>Coin2!D103</f>
        <v>26.36</v>
      </c>
      <c r="E420" t="s">
        <v>45</v>
      </c>
    </row>
    <row r="421" spans="1:5" x14ac:dyDescent="0.35">
      <c r="A421">
        <f>Coin2!A104</f>
        <v>602</v>
      </c>
      <c r="B421">
        <f>Coin2!B104</f>
        <v>6.8025000000000002</v>
      </c>
      <c r="C421">
        <f>Coin2!C104</f>
        <v>96.960000000000008</v>
      </c>
      <c r="D421">
        <f>Coin2!D104</f>
        <v>26.36</v>
      </c>
      <c r="E421" t="s">
        <v>45</v>
      </c>
    </row>
    <row r="422" spans="1:5" x14ac:dyDescent="0.35">
      <c r="A422">
        <f>Coin2!A105</f>
        <v>603</v>
      </c>
      <c r="B422">
        <f>Coin2!B105</f>
        <v>7.4175000000000004</v>
      </c>
      <c r="C422">
        <f>Coin2!C105</f>
        <v>96.960000000000008</v>
      </c>
      <c r="D422">
        <f>Coin2!D105</f>
        <v>26.36</v>
      </c>
      <c r="E422" t="s">
        <v>45</v>
      </c>
    </row>
    <row r="423" spans="1:5" x14ac:dyDescent="0.35">
      <c r="A423">
        <f>Coin2!A106</f>
        <v>604</v>
      </c>
      <c r="B423">
        <f>Coin2!B106</f>
        <v>7.6524999999999999</v>
      </c>
      <c r="C423">
        <f>Coin2!C106</f>
        <v>96.960000000000008</v>
      </c>
      <c r="D423">
        <f>Coin2!D106</f>
        <v>26.36</v>
      </c>
      <c r="E423" t="s">
        <v>45</v>
      </c>
    </row>
    <row r="424" spans="1:5" x14ac:dyDescent="0.35">
      <c r="A424">
        <f>Coin2!A107</f>
        <v>605</v>
      </c>
      <c r="B424">
        <f>Coin2!B107</f>
        <v>7.441126612030132</v>
      </c>
      <c r="C424">
        <f>Coin2!C107</f>
        <v>96.960000000000008</v>
      </c>
      <c r="D424">
        <f>Coin2!D107</f>
        <v>26.36</v>
      </c>
      <c r="E424" t="s">
        <v>45</v>
      </c>
    </row>
    <row r="425" spans="1:5" x14ac:dyDescent="0.35">
      <c r="A425">
        <f>Coin2!A108</f>
        <v>606</v>
      </c>
      <c r="B425">
        <f>Coin2!B108</f>
        <v>8.3574999999999999</v>
      </c>
      <c r="C425">
        <f>Coin2!C108</f>
        <v>96.960000000000008</v>
      </c>
      <c r="D425">
        <f>Coin2!D108</f>
        <v>26.36</v>
      </c>
      <c r="E425" t="s">
        <v>45</v>
      </c>
    </row>
    <row r="426" spans="1:5" x14ac:dyDescent="0.35">
      <c r="A426">
        <f>Coin2!A109</f>
        <v>607</v>
      </c>
      <c r="B426">
        <f>Coin2!B109</f>
        <v>9.3070512701892234</v>
      </c>
      <c r="C426">
        <f>Coin2!C109</f>
        <v>96.960000000000008</v>
      </c>
      <c r="D426">
        <f>Coin2!D109</f>
        <v>26.36</v>
      </c>
      <c r="E426" t="s">
        <v>45</v>
      </c>
    </row>
    <row r="427" spans="1:5" x14ac:dyDescent="0.35">
      <c r="A427">
        <f>Coin2!A110</f>
        <v>608</v>
      </c>
      <c r="B427">
        <f>Coin2!B110</f>
        <v>9.4957510746867548</v>
      </c>
      <c r="C427">
        <f>Coin2!C110</f>
        <v>96.960000000000008</v>
      </c>
      <c r="D427">
        <f>Coin2!D110</f>
        <v>26.36</v>
      </c>
      <c r="E427" t="s">
        <v>45</v>
      </c>
    </row>
    <row r="428" spans="1:5" x14ac:dyDescent="0.35">
      <c r="A428">
        <f>Coin2!A111</f>
        <v>609</v>
      </c>
      <c r="B428">
        <f>Coin2!B111</f>
        <v>10.247051270189223</v>
      </c>
      <c r="C428">
        <f>Coin2!C111</f>
        <v>96.960000000000008</v>
      </c>
      <c r="D428">
        <f>Coin2!D111</f>
        <v>26.36</v>
      </c>
      <c r="E428" t="s">
        <v>45</v>
      </c>
    </row>
    <row r="429" spans="1:5" x14ac:dyDescent="0.35">
      <c r="A429">
        <f>Coin2!A112</f>
        <v>610</v>
      </c>
      <c r="B429">
        <f>Coin2!B112</f>
        <v>11.367051270189224</v>
      </c>
      <c r="C429">
        <f>Coin2!C112</f>
        <v>96.960000000000008</v>
      </c>
      <c r="D429">
        <f>Coin2!D112</f>
        <v>26.36</v>
      </c>
      <c r="E429" t="s">
        <v>45</v>
      </c>
    </row>
    <row r="430" spans="1:5" x14ac:dyDescent="0.35">
      <c r="A430">
        <f>Coin2!A113</f>
        <v>611</v>
      </c>
      <c r="B430">
        <f>Coin2!B113</f>
        <v>11.550375537343378</v>
      </c>
      <c r="C430">
        <f>Coin2!C113</f>
        <v>96.960000000000008</v>
      </c>
      <c r="D430">
        <f>Coin2!D113</f>
        <v>26.36</v>
      </c>
      <c r="E430" t="s">
        <v>45</v>
      </c>
    </row>
    <row r="431" spans="1:5" x14ac:dyDescent="0.35">
      <c r="A431">
        <f>Coin2!A114</f>
        <v>612</v>
      </c>
      <c r="B431">
        <f>Coin2!B114</f>
        <v>12.484999999999999</v>
      </c>
      <c r="C431">
        <f>Coin2!C114</f>
        <v>96.960000000000008</v>
      </c>
      <c r="D431">
        <f>Coin2!D114</f>
        <v>26.36</v>
      </c>
      <c r="E431" t="s">
        <v>45</v>
      </c>
    </row>
    <row r="432" spans="1:5" x14ac:dyDescent="0.35">
      <c r="A432">
        <f>Coin2!A115</f>
        <v>613</v>
      </c>
      <c r="B432">
        <f>Coin2!B115</f>
        <v>13.605</v>
      </c>
      <c r="C432">
        <f>Coin2!C115</f>
        <v>96.960000000000008</v>
      </c>
      <c r="D432">
        <f>Coin2!D115</f>
        <v>26.36</v>
      </c>
      <c r="E432" t="s">
        <v>45</v>
      </c>
    </row>
    <row r="433" spans="1:5" x14ac:dyDescent="0.35">
      <c r="A433">
        <f>Coin2!A116</f>
        <v>614</v>
      </c>
      <c r="B433">
        <f>Coin2!B116</f>
        <v>-1.4</v>
      </c>
      <c r="C433">
        <f>Coin2!C116</f>
        <v>97.31</v>
      </c>
      <c r="D433">
        <f>Coin2!D116</f>
        <v>26.36</v>
      </c>
      <c r="E433" t="s">
        <v>45</v>
      </c>
    </row>
    <row r="434" spans="1:5" x14ac:dyDescent="0.35">
      <c r="A434">
        <f>Coin2!A117</f>
        <v>615</v>
      </c>
      <c r="B434">
        <f>Coin2!B117</f>
        <v>0</v>
      </c>
      <c r="C434">
        <f>Coin2!C117</f>
        <v>97.31</v>
      </c>
      <c r="D434">
        <f>Coin2!D117</f>
        <v>26.36</v>
      </c>
      <c r="E434" t="s">
        <v>45</v>
      </c>
    </row>
    <row r="435" spans="1:5" x14ac:dyDescent="0.35">
      <c r="A435">
        <f>Coin2!A118</f>
        <v>616</v>
      </c>
      <c r="B435">
        <f>Coin2!B118</f>
        <v>3.357948729810778</v>
      </c>
      <c r="C435">
        <f>Coin2!C118</f>
        <v>97.31</v>
      </c>
      <c r="D435">
        <f>Coin2!D118</f>
        <v>26.36</v>
      </c>
      <c r="E435" t="s">
        <v>45</v>
      </c>
    </row>
    <row r="436" spans="1:5" x14ac:dyDescent="0.35">
      <c r="A436">
        <f>Coin2!A119</f>
        <v>617</v>
      </c>
      <c r="B436">
        <f>Coin2!B119</f>
        <v>6.1875</v>
      </c>
      <c r="C436">
        <f>Coin2!C119</f>
        <v>97.31</v>
      </c>
      <c r="D436">
        <f>Coin2!D119</f>
        <v>26.36</v>
      </c>
      <c r="E436" t="s">
        <v>45</v>
      </c>
    </row>
    <row r="437" spans="1:5" x14ac:dyDescent="0.35">
      <c r="A437">
        <f>Coin2!A120</f>
        <v>618</v>
      </c>
      <c r="B437">
        <f>Coin2!B120</f>
        <v>7.4175000000000004</v>
      </c>
      <c r="C437">
        <f>Coin2!C120</f>
        <v>97.31</v>
      </c>
      <c r="D437">
        <f>Coin2!D120</f>
        <v>26.36</v>
      </c>
      <c r="E437" t="s">
        <v>45</v>
      </c>
    </row>
    <row r="438" spans="1:5" x14ac:dyDescent="0.35">
      <c r="A438">
        <f>Coin2!A121</f>
        <v>619</v>
      </c>
      <c r="B438">
        <f>Coin2!B121</f>
        <v>10.247051270189223</v>
      </c>
      <c r="C438">
        <f>Coin2!C121</f>
        <v>97.31</v>
      </c>
      <c r="D438">
        <f>Coin2!D121</f>
        <v>26.36</v>
      </c>
      <c r="E438" t="s">
        <v>45</v>
      </c>
    </row>
    <row r="439" spans="1:5" x14ac:dyDescent="0.35">
      <c r="A439">
        <f>Coin2!A122</f>
        <v>620</v>
      </c>
      <c r="B439">
        <f>Coin2!B122</f>
        <v>-1.4</v>
      </c>
      <c r="C439">
        <f>Coin2!C122</f>
        <v>98.56</v>
      </c>
      <c r="D439">
        <f>Coin2!D122</f>
        <v>26.36</v>
      </c>
      <c r="E439" t="s">
        <v>45</v>
      </c>
    </row>
    <row r="440" spans="1:5" x14ac:dyDescent="0.35">
      <c r="A440">
        <f>Coin2!A123</f>
        <v>621</v>
      </c>
      <c r="B440">
        <f>Coin2!B123</f>
        <v>0</v>
      </c>
      <c r="C440">
        <f>Coin2!C123</f>
        <v>98.56</v>
      </c>
      <c r="D440">
        <f>Coin2!D123</f>
        <v>26.36</v>
      </c>
      <c r="E440" t="s">
        <v>45</v>
      </c>
    </row>
    <row r="441" spans="1:5" x14ac:dyDescent="0.35">
      <c r="A441">
        <f>Coin2!A124</f>
        <v>622</v>
      </c>
      <c r="B441">
        <f>Coin2!B124</f>
        <v>1.1200000000000001</v>
      </c>
      <c r="C441">
        <f>Coin2!C124</f>
        <v>98.56</v>
      </c>
      <c r="D441">
        <f>Coin2!D124</f>
        <v>26.36</v>
      </c>
      <c r="E441" t="s">
        <v>45</v>
      </c>
    </row>
    <row r="442" spans="1:5" x14ac:dyDescent="0.35">
      <c r="A442">
        <f>Coin2!A125</f>
        <v>623</v>
      </c>
      <c r="B442">
        <f>Coin2!B125</f>
        <v>2.2379487298107779</v>
      </c>
      <c r="C442">
        <f>Coin2!C125</f>
        <v>98.56</v>
      </c>
      <c r="D442">
        <f>Coin2!D125</f>
        <v>26.36</v>
      </c>
      <c r="E442" t="s">
        <v>45</v>
      </c>
    </row>
    <row r="443" spans="1:5" x14ac:dyDescent="0.35">
      <c r="A443">
        <f>Coin2!A126</f>
        <v>624</v>
      </c>
      <c r="B443">
        <f>Coin2!B126</f>
        <v>3.357948729810778</v>
      </c>
      <c r="C443">
        <f>Coin2!C126</f>
        <v>98.56</v>
      </c>
      <c r="D443">
        <f>Coin2!D126</f>
        <v>26.36</v>
      </c>
      <c r="E443" t="s">
        <v>45</v>
      </c>
    </row>
    <row r="444" spans="1:5" x14ac:dyDescent="0.35">
      <c r="A444">
        <f>Coin2!A127</f>
        <v>625</v>
      </c>
      <c r="B444">
        <f>Coin2!B127</f>
        <v>4.2979487298107779</v>
      </c>
      <c r="C444">
        <f>Coin2!C127</f>
        <v>98.56</v>
      </c>
      <c r="D444">
        <f>Coin2!D127</f>
        <v>26.36</v>
      </c>
      <c r="E444" t="s">
        <v>45</v>
      </c>
    </row>
    <row r="445" spans="1:5" x14ac:dyDescent="0.35">
      <c r="A445">
        <f>Coin2!A128</f>
        <v>626</v>
      </c>
      <c r="B445">
        <f>Coin2!B128</f>
        <v>5.2475000000000005</v>
      </c>
      <c r="C445">
        <f>Coin2!C128</f>
        <v>98.56</v>
      </c>
      <c r="D445">
        <f>Coin2!D128</f>
        <v>26.36</v>
      </c>
      <c r="E445" t="s">
        <v>45</v>
      </c>
    </row>
    <row r="446" spans="1:5" x14ac:dyDescent="0.35">
      <c r="A446">
        <f>Coin2!A129</f>
        <v>627</v>
      </c>
      <c r="B446">
        <f>Coin2!B129</f>
        <v>6.1875</v>
      </c>
      <c r="C446">
        <f>Coin2!C129</f>
        <v>98.56</v>
      </c>
      <c r="D446">
        <f>Coin2!D129</f>
        <v>26.36</v>
      </c>
      <c r="E446" t="s">
        <v>45</v>
      </c>
    </row>
    <row r="447" spans="1:5" x14ac:dyDescent="0.35">
      <c r="A447">
        <f>Coin2!A130</f>
        <v>628</v>
      </c>
      <c r="B447">
        <f>Coin2!B130</f>
        <v>7.4175000000000004</v>
      </c>
      <c r="C447">
        <f>Coin2!C130</f>
        <v>98.56</v>
      </c>
      <c r="D447">
        <f>Coin2!D130</f>
        <v>26.36</v>
      </c>
      <c r="E447" t="s">
        <v>45</v>
      </c>
    </row>
    <row r="448" spans="1:5" x14ac:dyDescent="0.35">
      <c r="A448">
        <f>Coin2!A131</f>
        <v>629</v>
      </c>
      <c r="B448">
        <f>Coin2!B131</f>
        <v>8.3574999999999999</v>
      </c>
      <c r="C448">
        <f>Coin2!C131</f>
        <v>98.56</v>
      </c>
      <c r="D448">
        <f>Coin2!D131</f>
        <v>26.36</v>
      </c>
      <c r="E448" t="s">
        <v>45</v>
      </c>
    </row>
    <row r="449" spans="1:5" x14ac:dyDescent="0.35">
      <c r="A449">
        <f>Coin2!A132</f>
        <v>630</v>
      </c>
      <c r="B449">
        <f>Coin2!B132</f>
        <v>9.3070512701892234</v>
      </c>
      <c r="C449">
        <f>Coin2!C132</f>
        <v>98.56</v>
      </c>
      <c r="D449">
        <f>Coin2!D132</f>
        <v>26.36</v>
      </c>
      <c r="E449" t="s">
        <v>45</v>
      </c>
    </row>
    <row r="450" spans="1:5" x14ac:dyDescent="0.35">
      <c r="A450">
        <f>Coin2!A133</f>
        <v>631</v>
      </c>
      <c r="B450">
        <f>Coin2!B133</f>
        <v>10.247051270189223</v>
      </c>
      <c r="C450">
        <f>Coin2!C133</f>
        <v>98.56</v>
      </c>
      <c r="D450">
        <f>Coin2!D133</f>
        <v>26.36</v>
      </c>
      <c r="E450" t="s">
        <v>45</v>
      </c>
    </row>
    <row r="451" spans="1:5" x14ac:dyDescent="0.35">
      <c r="A451">
        <f>Coin2!A134</f>
        <v>632</v>
      </c>
      <c r="B451">
        <f>Coin2!B134</f>
        <v>11.367051270189224</v>
      </c>
      <c r="C451">
        <f>Coin2!C134</f>
        <v>98.56</v>
      </c>
      <c r="D451">
        <f>Coin2!D134</f>
        <v>26.36</v>
      </c>
      <c r="E451" t="s">
        <v>45</v>
      </c>
    </row>
    <row r="452" spans="1:5" x14ac:dyDescent="0.35">
      <c r="A452">
        <f>Coin2!A135</f>
        <v>633</v>
      </c>
      <c r="B452">
        <f>Coin2!B135</f>
        <v>12.484999999999999</v>
      </c>
      <c r="C452">
        <f>Coin2!C135</f>
        <v>98.56</v>
      </c>
      <c r="D452">
        <f>Coin2!D135</f>
        <v>26.36</v>
      </c>
      <c r="E452" t="s">
        <v>45</v>
      </c>
    </row>
    <row r="453" spans="1:5" x14ac:dyDescent="0.35">
      <c r="A453">
        <f>Coin2!A136</f>
        <v>634</v>
      </c>
      <c r="B453">
        <f>Coin2!B136</f>
        <v>13.605</v>
      </c>
      <c r="C453">
        <f>Coin2!C136</f>
        <v>98.56</v>
      </c>
      <c r="D453">
        <f>Coin2!D136</f>
        <v>26.36</v>
      </c>
      <c r="E453" t="s">
        <v>45</v>
      </c>
    </row>
    <row r="454" spans="1:5" x14ac:dyDescent="0.35">
      <c r="A454">
        <f>Coin2!A137</f>
        <v>635</v>
      </c>
      <c r="B454">
        <f>Coin2!B137</f>
        <v>5.9525000000000006</v>
      </c>
      <c r="C454">
        <f>Coin2!C137</f>
        <v>88.175000000000011</v>
      </c>
      <c r="D454">
        <f>Coin2!D137</f>
        <v>27.25</v>
      </c>
      <c r="E454" t="s">
        <v>45</v>
      </c>
    </row>
    <row r="455" spans="1:5" x14ac:dyDescent="0.35">
      <c r="A455">
        <f>Coin2!A138</f>
        <v>636</v>
      </c>
      <c r="B455">
        <f>Coin2!B138</f>
        <v>6.3525</v>
      </c>
      <c r="C455">
        <f>Coin2!C138</f>
        <v>88.175000000000011</v>
      </c>
      <c r="D455">
        <f>Coin2!D138</f>
        <v>27.25</v>
      </c>
      <c r="E455" t="s">
        <v>45</v>
      </c>
    </row>
    <row r="456" spans="1:5" x14ac:dyDescent="0.35">
      <c r="A456">
        <f>Coin2!A139</f>
        <v>637</v>
      </c>
      <c r="B456">
        <f>Coin2!B139</f>
        <v>7.2525000000000004</v>
      </c>
      <c r="C456">
        <f>Coin2!C139</f>
        <v>88.175000000000011</v>
      </c>
      <c r="D456">
        <f>Coin2!D139</f>
        <v>27.25</v>
      </c>
      <c r="E456" t="s">
        <v>45</v>
      </c>
    </row>
    <row r="457" spans="1:5" x14ac:dyDescent="0.35">
      <c r="A457">
        <f>Coin2!A140</f>
        <v>638</v>
      </c>
      <c r="B457">
        <f>Coin2!B140</f>
        <v>7.6524999999999999</v>
      </c>
      <c r="C457">
        <f>Coin2!C140</f>
        <v>88.175000000000011</v>
      </c>
      <c r="D457">
        <f>Coin2!D140</f>
        <v>27.25</v>
      </c>
      <c r="E457" t="s">
        <v>45</v>
      </c>
    </row>
    <row r="458" spans="1:5" x14ac:dyDescent="0.35">
      <c r="A458">
        <f>Coin2!A141</f>
        <v>639</v>
      </c>
      <c r="B458">
        <f>Coin2!B141</f>
        <v>6.8025000000000002</v>
      </c>
      <c r="C458">
        <f>Coin2!C141</f>
        <v>88.88000000000001</v>
      </c>
      <c r="D458">
        <f>Coin2!D141</f>
        <v>27.25</v>
      </c>
      <c r="E458" t="s">
        <v>45</v>
      </c>
    </row>
    <row r="459" spans="1:5" x14ac:dyDescent="0.35">
      <c r="A459">
        <f>Coin2!A142</f>
        <v>640</v>
      </c>
      <c r="B459">
        <f>Coin2!B142</f>
        <v>5.9525000000000006</v>
      </c>
      <c r="C459">
        <f>Coin2!C142</f>
        <v>89.585000000000008</v>
      </c>
      <c r="D459">
        <f>Coin2!D142</f>
        <v>27.25</v>
      </c>
      <c r="E459" t="s">
        <v>45</v>
      </c>
    </row>
    <row r="460" spans="1:5" x14ac:dyDescent="0.35">
      <c r="A460">
        <f>Coin2!A143</f>
        <v>641</v>
      </c>
      <c r="B460">
        <f>Coin2!B143</f>
        <v>6.3525</v>
      </c>
      <c r="C460">
        <f>Coin2!C143</f>
        <v>89.585000000000008</v>
      </c>
      <c r="D460">
        <f>Coin2!D143</f>
        <v>27.25</v>
      </c>
      <c r="E460" t="s">
        <v>45</v>
      </c>
    </row>
    <row r="461" spans="1:5" x14ac:dyDescent="0.35">
      <c r="A461">
        <f>Coin2!A144</f>
        <v>642</v>
      </c>
      <c r="B461">
        <f>Coin2!B144</f>
        <v>7.2525000000000004</v>
      </c>
      <c r="C461">
        <f>Coin2!C144</f>
        <v>89.585000000000008</v>
      </c>
      <c r="D461">
        <f>Coin2!D144</f>
        <v>27.25</v>
      </c>
      <c r="E461" t="s">
        <v>45</v>
      </c>
    </row>
    <row r="462" spans="1:5" x14ac:dyDescent="0.35">
      <c r="A462">
        <f>Coin2!A145</f>
        <v>643</v>
      </c>
      <c r="B462">
        <f>Coin2!B145</f>
        <v>7.6524999999999999</v>
      </c>
      <c r="C462">
        <f>Coin2!C145</f>
        <v>89.585000000000008</v>
      </c>
      <c r="D462">
        <f>Coin2!D145</f>
        <v>27.25</v>
      </c>
      <c r="E462" t="s">
        <v>45</v>
      </c>
    </row>
    <row r="463" spans="1:5" x14ac:dyDescent="0.35">
      <c r="A463">
        <f>Coin2!A146</f>
        <v>644</v>
      </c>
      <c r="B463">
        <f>Coin2!B146</f>
        <v>5.9525000000000006</v>
      </c>
      <c r="C463">
        <f>Coin2!C146</f>
        <v>80.800000000000011</v>
      </c>
      <c r="D463">
        <f>Coin2!D146</f>
        <v>27.55</v>
      </c>
      <c r="E463" t="s">
        <v>45</v>
      </c>
    </row>
    <row r="464" spans="1:5" x14ac:dyDescent="0.35">
      <c r="A464">
        <f>Coin2!A147</f>
        <v>645</v>
      </c>
      <c r="B464">
        <f>Coin2!B147</f>
        <v>7.6524999999999999</v>
      </c>
      <c r="C464">
        <f>Coin2!C147</f>
        <v>80.800000000000011</v>
      </c>
      <c r="D464">
        <f>Coin2!D147</f>
        <v>27.55</v>
      </c>
      <c r="E464" t="s">
        <v>45</v>
      </c>
    </row>
    <row r="465" spans="1:5" x14ac:dyDescent="0.35">
      <c r="A465">
        <f>Coin2!A148</f>
        <v>646</v>
      </c>
      <c r="B465">
        <f>Coin2!B148</f>
        <v>5.9525000000000006</v>
      </c>
      <c r="C465">
        <f>Coin2!C148</f>
        <v>81.2</v>
      </c>
      <c r="D465">
        <f>Coin2!D148</f>
        <v>27.55</v>
      </c>
      <c r="E465" t="s">
        <v>45</v>
      </c>
    </row>
    <row r="466" spans="1:5" x14ac:dyDescent="0.35">
      <c r="A466">
        <f>Coin2!A149</f>
        <v>647</v>
      </c>
      <c r="B466">
        <f>Coin2!B149</f>
        <v>7.6524999999999999</v>
      </c>
      <c r="C466">
        <f>Coin2!C149</f>
        <v>81.2</v>
      </c>
      <c r="D466">
        <f>Coin2!D149</f>
        <v>27.55</v>
      </c>
      <c r="E466" t="s">
        <v>45</v>
      </c>
    </row>
    <row r="467" spans="1:5" x14ac:dyDescent="0.35">
      <c r="A467">
        <f>Coin2!A150</f>
        <v>648</v>
      </c>
      <c r="B467">
        <f>Coin2!B150</f>
        <v>5.9525000000000006</v>
      </c>
      <c r="C467">
        <f>Coin2!C150</f>
        <v>83.225000000000009</v>
      </c>
      <c r="D467">
        <f>Coin2!D150</f>
        <v>27.55</v>
      </c>
      <c r="E467" t="s">
        <v>45</v>
      </c>
    </row>
    <row r="468" spans="1:5" x14ac:dyDescent="0.35">
      <c r="A468">
        <f>Coin2!A151</f>
        <v>649</v>
      </c>
      <c r="B468">
        <f>Coin2!B151</f>
        <v>7.6524999999999999</v>
      </c>
      <c r="C468">
        <f>Coin2!C151</f>
        <v>83.225000000000009</v>
      </c>
      <c r="D468">
        <f>Coin2!D151</f>
        <v>27.55</v>
      </c>
      <c r="E468" t="s">
        <v>45</v>
      </c>
    </row>
    <row r="469" spans="1:5" x14ac:dyDescent="0.35">
      <c r="A469">
        <f>Coin2!A152</f>
        <v>650</v>
      </c>
      <c r="B469">
        <f>Coin2!B152</f>
        <v>5.9525000000000006</v>
      </c>
      <c r="C469">
        <f>Coin2!C152</f>
        <v>85.25</v>
      </c>
      <c r="D469">
        <f>Coin2!D152</f>
        <v>27.55</v>
      </c>
      <c r="E469" t="s">
        <v>45</v>
      </c>
    </row>
    <row r="470" spans="1:5" x14ac:dyDescent="0.35">
      <c r="A470">
        <f>Coin2!A153</f>
        <v>651</v>
      </c>
      <c r="B470">
        <f>Coin2!B153</f>
        <v>7.6524999999999999</v>
      </c>
      <c r="C470">
        <f>Coin2!C153</f>
        <v>85.25</v>
      </c>
      <c r="D470">
        <f>Coin2!D153</f>
        <v>27.55</v>
      </c>
      <c r="E470" t="s">
        <v>45</v>
      </c>
    </row>
    <row r="471" spans="1:5" x14ac:dyDescent="0.35">
      <c r="A471">
        <f>Coin2!A154</f>
        <v>652</v>
      </c>
      <c r="B471">
        <f>Coin2!B154</f>
        <v>5.9525000000000006</v>
      </c>
      <c r="C471">
        <f>Coin2!C154</f>
        <v>87.275000000000006</v>
      </c>
      <c r="D471">
        <f>Coin2!D154</f>
        <v>27.55</v>
      </c>
      <c r="E471" t="s">
        <v>45</v>
      </c>
    </row>
    <row r="472" spans="1:5" x14ac:dyDescent="0.35">
      <c r="A472">
        <f>Coin2!A155</f>
        <v>653</v>
      </c>
      <c r="B472">
        <f>Coin2!B155</f>
        <v>7.6524999999999999</v>
      </c>
      <c r="C472">
        <f>Coin2!C155</f>
        <v>87.275000000000006</v>
      </c>
      <c r="D472">
        <f>Coin2!D155</f>
        <v>27.55</v>
      </c>
      <c r="E472" t="s">
        <v>45</v>
      </c>
    </row>
    <row r="473" spans="1:5" x14ac:dyDescent="0.35">
      <c r="A473">
        <f>Coin2!A156</f>
        <v>654</v>
      </c>
      <c r="B473">
        <f>Coin2!B156</f>
        <v>5.9525000000000006</v>
      </c>
      <c r="C473">
        <f>Coin2!C156</f>
        <v>88.175000000000011</v>
      </c>
      <c r="D473">
        <f>Coin2!D156</f>
        <v>27.55</v>
      </c>
      <c r="E473" t="s">
        <v>45</v>
      </c>
    </row>
    <row r="474" spans="1:5" x14ac:dyDescent="0.35">
      <c r="A474">
        <f>Coin2!A157</f>
        <v>655</v>
      </c>
      <c r="B474">
        <f>Coin2!B157</f>
        <v>7.6524999999999999</v>
      </c>
      <c r="C474">
        <f>Coin2!C157</f>
        <v>88.175000000000011</v>
      </c>
      <c r="D474">
        <f>Coin2!D157</f>
        <v>27.55</v>
      </c>
      <c r="E474" t="s">
        <v>45</v>
      </c>
    </row>
    <row r="475" spans="1:5" x14ac:dyDescent="0.35">
      <c r="A475">
        <f>Coin2!A158</f>
        <v>656</v>
      </c>
      <c r="B475">
        <f>Coin2!B158</f>
        <v>5.9525000000000006</v>
      </c>
      <c r="C475">
        <f>Coin2!C158</f>
        <v>89.585000000000008</v>
      </c>
      <c r="D475">
        <f>Coin2!D158</f>
        <v>27.55</v>
      </c>
      <c r="E475" t="s">
        <v>45</v>
      </c>
    </row>
    <row r="476" spans="1:5" x14ac:dyDescent="0.35">
      <c r="A476">
        <f>Coin2!A159</f>
        <v>657</v>
      </c>
      <c r="B476">
        <f>Coin2!B159</f>
        <v>7.6524999999999999</v>
      </c>
      <c r="C476">
        <f>Coin2!C159</f>
        <v>89.585000000000008</v>
      </c>
      <c r="D476">
        <f>Coin2!D159</f>
        <v>27.55</v>
      </c>
      <c r="E476" t="s">
        <v>45</v>
      </c>
    </row>
    <row r="477" spans="1:5" x14ac:dyDescent="0.35">
      <c r="A477">
        <f>Coin2!A160</f>
        <v>658</v>
      </c>
      <c r="B477">
        <f>Coin2!B160</f>
        <v>5.9525000000000006</v>
      </c>
      <c r="C477">
        <f>Coin2!C160</f>
        <v>90.485000000000014</v>
      </c>
      <c r="D477">
        <f>Coin2!D160</f>
        <v>27.55</v>
      </c>
      <c r="E477" t="s">
        <v>45</v>
      </c>
    </row>
    <row r="478" spans="1:5" x14ac:dyDescent="0.35">
      <c r="A478">
        <f>Coin2!A161</f>
        <v>659</v>
      </c>
      <c r="B478">
        <f>Coin2!B161</f>
        <v>7.6524999999999999</v>
      </c>
      <c r="C478">
        <f>Coin2!C161</f>
        <v>90.485000000000014</v>
      </c>
      <c r="D478">
        <f>Coin2!D161</f>
        <v>27.55</v>
      </c>
      <c r="E478" t="s">
        <v>45</v>
      </c>
    </row>
    <row r="479" spans="1:5" x14ac:dyDescent="0.35">
      <c r="A479">
        <f>Coin2!A162</f>
        <v>660</v>
      </c>
      <c r="B479">
        <f>Coin2!B162</f>
        <v>5.9525000000000006</v>
      </c>
      <c r="C479">
        <f>Coin2!C162</f>
        <v>92.51</v>
      </c>
      <c r="D479">
        <f>Coin2!D162</f>
        <v>27.55</v>
      </c>
      <c r="E479" t="s">
        <v>45</v>
      </c>
    </row>
    <row r="480" spans="1:5" x14ac:dyDescent="0.35">
      <c r="A480">
        <f>Coin2!A163</f>
        <v>661</v>
      </c>
      <c r="B480">
        <f>Coin2!B163</f>
        <v>7.6524999999999999</v>
      </c>
      <c r="C480">
        <f>Coin2!C163</f>
        <v>92.51</v>
      </c>
      <c r="D480">
        <f>Coin2!D163</f>
        <v>27.55</v>
      </c>
      <c r="E480" t="s">
        <v>45</v>
      </c>
    </row>
    <row r="481" spans="1:5" x14ac:dyDescent="0.35">
      <c r="A481">
        <f>Coin2!A164</f>
        <v>662</v>
      </c>
      <c r="B481">
        <f>Coin2!B164</f>
        <v>5.9525000000000006</v>
      </c>
      <c r="C481">
        <f>Coin2!C164</f>
        <v>94.535000000000011</v>
      </c>
      <c r="D481">
        <f>Coin2!D164</f>
        <v>27.55</v>
      </c>
      <c r="E481" t="s">
        <v>45</v>
      </c>
    </row>
    <row r="482" spans="1:5" x14ac:dyDescent="0.35">
      <c r="A482">
        <f>Coin2!A165</f>
        <v>663</v>
      </c>
      <c r="B482">
        <f>Coin2!B165</f>
        <v>7.6524999999999999</v>
      </c>
      <c r="C482">
        <f>Coin2!C165</f>
        <v>94.535000000000011</v>
      </c>
      <c r="D482">
        <f>Coin2!D165</f>
        <v>27.55</v>
      </c>
      <c r="E482" t="s">
        <v>45</v>
      </c>
    </row>
    <row r="483" spans="1:5" x14ac:dyDescent="0.35">
      <c r="A483">
        <f>Coin2!A166</f>
        <v>664</v>
      </c>
      <c r="B483">
        <f>Coin2!B166</f>
        <v>5.9525000000000006</v>
      </c>
      <c r="C483">
        <f>Coin2!C166</f>
        <v>96.56</v>
      </c>
      <c r="D483">
        <f>Coin2!D166</f>
        <v>27.55</v>
      </c>
      <c r="E483" t="s">
        <v>45</v>
      </c>
    </row>
    <row r="484" spans="1:5" x14ac:dyDescent="0.35">
      <c r="A484">
        <f>Coin2!A167</f>
        <v>665</v>
      </c>
      <c r="B484">
        <f>Coin2!B167</f>
        <v>7.6524999999999999</v>
      </c>
      <c r="C484">
        <f>Coin2!C167</f>
        <v>96.56</v>
      </c>
      <c r="D484">
        <f>Coin2!D167</f>
        <v>27.55</v>
      </c>
      <c r="E484" t="s">
        <v>45</v>
      </c>
    </row>
    <row r="485" spans="1:5" x14ac:dyDescent="0.35">
      <c r="A485">
        <f>Coin2!A168</f>
        <v>666</v>
      </c>
      <c r="B485">
        <f>Coin2!B168</f>
        <v>5.9525000000000006</v>
      </c>
      <c r="C485">
        <f>Coin2!C168</f>
        <v>96.960000000000008</v>
      </c>
      <c r="D485">
        <f>Coin2!D168</f>
        <v>27.55</v>
      </c>
      <c r="E485" t="s">
        <v>45</v>
      </c>
    </row>
    <row r="486" spans="1:5" x14ac:dyDescent="0.35">
      <c r="A486">
        <f>Coin2!A169</f>
        <v>667</v>
      </c>
      <c r="B486">
        <f>Coin2!B169</f>
        <v>7.6524999999999999</v>
      </c>
      <c r="C486">
        <f>Coin2!C169</f>
        <v>96.960000000000008</v>
      </c>
      <c r="D486">
        <f>Coin2!D169</f>
        <v>27.55</v>
      </c>
      <c r="E486" t="s">
        <v>45</v>
      </c>
    </row>
    <row r="487" spans="1:5" x14ac:dyDescent="0.35">
      <c r="A487">
        <f>Coin2!A170</f>
        <v>668</v>
      </c>
      <c r="B487">
        <f>Coin2!B170</f>
        <v>0.91200000000000003</v>
      </c>
      <c r="C487">
        <f>Coin2!C170</f>
        <v>80.800000000000011</v>
      </c>
      <c r="D487">
        <f>Coin2!D170</f>
        <v>27.939999999999998</v>
      </c>
      <c r="E487" t="s">
        <v>45</v>
      </c>
    </row>
    <row r="488" spans="1:5" x14ac:dyDescent="0.35">
      <c r="A488">
        <f>Coin2!A171</f>
        <v>669</v>
      </c>
      <c r="B488">
        <f>Coin2!B171</f>
        <v>12.693</v>
      </c>
      <c r="C488">
        <f>Coin2!C171</f>
        <v>80.800000000000011</v>
      </c>
      <c r="D488">
        <f>Coin2!D171</f>
        <v>27.939999999999998</v>
      </c>
      <c r="E488" t="s">
        <v>45</v>
      </c>
    </row>
    <row r="489" spans="1:5" x14ac:dyDescent="0.35">
      <c r="A489">
        <f>Coin2!A172</f>
        <v>670</v>
      </c>
      <c r="B489">
        <f>Coin2!B172</f>
        <v>0.91200000000000003</v>
      </c>
      <c r="C489">
        <f>Coin2!C172</f>
        <v>88.88000000000001</v>
      </c>
      <c r="D489">
        <f>Coin2!D172</f>
        <v>27.939999999999998</v>
      </c>
      <c r="E489" t="s">
        <v>45</v>
      </c>
    </row>
    <row r="490" spans="1:5" x14ac:dyDescent="0.35">
      <c r="A490">
        <f>Coin2!A173</f>
        <v>671</v>
      </c>
      <c r="B490">
        <f>Coin2!B173</f>
        <v>12.693</v>
      </c>
      <c r="C490">
        <f>Coin2!C173</f>
        <v>88.88000000000001</v>
      </c>
      <c r="D490">
        <f>Coin2!D173</f>
        <v>27.939999999999998</v>
      </c>
      <c r="E490" t="s">
        <v>45</v>
      </c>
    </row>
    <row r="491" spans="1:5" x14ac:dyDescent="0.35">
      <c r="A491">
        <f>Coin2!A174</f>
        <v>672</v>
      </c>
      <c r="B491">
        <f>Coin2!B174</f>
        <v>0.91200000000000003</v>
      </c>
      <c r="C491">
        <f>Coin2!C174</f>
        <v>96.960000000000008</v>
      </c>
      <c r="D491">
        <f>Coin2!D174</f>
        <v>27.939999999999998</v>
      </c>
      <c r="E491" t="s">
        <v>45</v>
      </c>
    </row>
    <row r="492" spans="1:5" x14ac:dyDescent="0.35">
      <c r="A492">
        <f>Coin2!A175</f>
        <v>673</v>
      </c>
      <c r="B492">
        <f>Coin2!B175</f>
        <v>12.693</v>
      </c>
      <c r="C492">
        <f>Coin2!C175</f>
        <v>96.960000000000008</v>
      </c>
      <c r="D492">
        <f>Coin2!D175</f>
        <v>27.939999999999998</v>
      </c>
      <c r="E492" t="s">
        <v>45</v>
      </c>
    </row>
    <row r="493" spans="1:5" x14ac:dyDescent="0.35">
      <c r="A493">
        <f>Coin2!A176</f>
        <v>674</v>
      </c>
      <c r="B493">
        <f>Coin2!B176</f>
        <v>-1.4</v>
      </c>
      <c r="C493">
        <f>Coin2!C176</f>
        <v>80.800000000000011</v>
      </c>
      <c r="D493">
        <f>Coin2!D176</f>
        <v>29.268068904621821</v>
      </c>
      <c r="E493" t="s">
        <v>45</v>
      </c>
    </row>
    <row r="494" spans="1:5" x14ac:dyDescent="0.35">
      <c r="A494">
        <f>Coin2!A177</f>
        <v>675</v>
      </c>
      <c r="B494">
        <f>Coin2!B177</f>
        <v>1.679</v>
      </c>
      <c r="C494">
        <f>Coin2!C177</f>
        <v>80.800000000000011</v>
      </c>
      <c r="D494">
        <f>Coin2!D177</f>
        <v>29.268068904621821</v>
      </c>
      <c r="E494" t="s">
        <v>45</v>
      </c>
    </row>
    <row r="495" spans="1:5" x14ac:dyDescent="0.35">
      <c r="A495">
        <f>Coin2!A178</f>
        <v>676</v>
      </c>
      <c r="B495">
        <f>Coin2!B178</f>
        <v>6.1875</v>
      </c>
      <c r="C495">
        <f>Coin2!C178</f>
        <v>80.800000000000011</v>
      </c>
      <c r="D495">
        <f>Coin2!D178</f>
        <v>29.268068904621821</v>
      </c>
      <c r="E495" t="s">
        <v>45</v>
      </c>
    </row>
    <row r="496" spans="1:5" x14ac:dyDescent="0.35">
      <c r="A496">
        <f>Coin2!A179</f>
        <v>677</v>
      </c>
      <c r="B496">
        <f>Coin2!B179</f>
        <v>7.4175000000000004</v>
      </c>
      <c r="C496">
        <f>Coin2!C179</f>
        <v>80.800000000000011</v>
      </c>
      <c r="D496">
        <f>Coin2!D179</f>
        <v>29.268068904621821</v>
      </c>
      <c r="E496" t="s">
        <v>45</v>
      </c>
    </row>
    <row r="497" spans="1:5" x14ac:dyDescent="0.35">
      <c r="A497">
        <f>Coin2!A180</f>
        <v>678</v>
      </c>
      <c r="B497">
        <f>Coin2!B180</f>
        <v>11.926</v>
      </c>
      <c r="C497">
        <f>Coin2!C180</f>
        <v>80.800000000000011</v>
      </c>
      <c r="D497">
        <f>Coin2!D180</f>
        <v>29.268068904621821</v>
      </c>
      <c r="E497" t="s">
        <v>45</v>
      </c>
    </row>
    <row r="498" spans="1:5" x14ac:dyDescent="0.35">
      <c r="A498">
        <f>Coin2!A181</f>
        <v>679</v>
      </c>
      <c r="B498">
        <f>Coin2!B181</f>
        <v>-1.4</v>
      </c>
      <c r="C498">
        <f>Coin2!C181</f>
        <v>83.493000000000009</v>
      </c>
      <c r="D498">
        <f>Coin2!D181</f>
        <v>29.268068904621821</v>
      </c>
      <c r="E498" t="s">
        <v>45</v>
      </c>
    </row>
    <row r="499" spans="1:5" x14ac:dyDescent="0.35">
      <c r="A499">
        <f>Coin2!A182</f>
        <v>680</v>
      </c>
      <c r="B499">
        <f>Coin2!B182</f>
        <v>-1.4</v>
      </c>
      <c r="C499">
        <f>Coin2!C182</f>
        <v>86.187000000000012</v>
      </c>
      <c r="D499">
        <f>Coin2!D182</f>
        <v>29.268068904621821</v>
      </c>
      <c r="E499" t="s">
        <v>45</v>
      </c>
    </row>
    <row r="500" spans="1:5" x14ac:dyDescent="0.35">
      <c r="A500">
        <f>Coin2!A183</f>
        <v>681</v>
      </c>
      <c r="B500">
        <f>Coin2!B183</f>
        <v>-1.4</v>
      </c>
      <c r="C500">
        <f>Coin2!C183</f>
        <v>88.88000000000001</v>
      </c>
      <c r="D500">
        <f>Coin2!D183</f>
        <v>29.268068904621821</v>
      </c>
      <c r="E500" t="s">
        <v>45</v>
      </c>
    </row>
    <row r="501" spans="1:5" x14ac:dyDescent="0.35">
      <c r="A501">
        <f>Coin2!A184</f>
        <v>682</v>
      </c>
      <c r="B501">
        <f>Coin2!B184</f>
        <v>1.679</v>
      </c>
      <c r="C501">
        <f>Coin2!C184</f>
        <v>88.88000000000001</v>
      </c>
      <c r="D501">
        <f>Coin2!D184</f>
        <v>29.268068904621821</v>
      </c>
      <c r="E501" t="s">
        <v>45</v>
      </c>
    </row>
    <row r="502" spans="1:5" x14ac:dyDescent="0.35">
      <c r="A502">
        <f>Coin2!A185</f>
        <v>683</v>
      </c>
      <c r="B502">
        <f>Coin2!B185</f>
        <v>11.926</v>
      </c>
      <c r="C502">
        <f>Coin2!C185</f>
        <v>88.88000000000001</v>
      </c>
      <c r="D502">
        <f>Coin2!D185</f>
        <v>29.268068904621821</v>
      </c>
      <c r="E502" t="s">
        <v>45</v>
      </c>
    </row>
    <row r="503" spans="1:5" x14ac:dyDescent="0.35">
      <c r="A503">
        <f>Coin2!A186</f>
        <v>684</v>
      </c>
      <c r="B503">
        <f>Coin2!B186</f>
        <v>-1.4</v>
      </c>
      <c r="C503">
        <f>Coin2!C186</f>
        <v>91.573000000000008</v>
      </c>
      <c r="D503">
        <f>Coin2!D186</f>
        <v>29.268068904621821</v>
      </c>
      <c r="E503" t="s">
        <v>45</v>
      </c>
    </row>
    <row r="504" spans="1:5" x14ac:dyDescent="0.35">
      <c r="A504">
        <f>Coin2!A187</f>
        <v>685</v>
      </c>
      <c r="B504">
        <f>Coin2!B187</f>
        <v>-1.4</v>
      </c>
      <c r="C504">
        <f>Coin2!C187</f>
        <v>94.26700000000001</v>
      </c>
      <c r="D504">
        <f>Coin2!D187</f>
        <v>29.268068904621821</v>
      </c>
      <c r="E504" t="s">
        <v>45</v>
      </c>
    </row>
    <row r="505" spans="1:5" x14ac:dyDescent="0.35">
      <c r="A505">
        <f>Coin2!A188</f>
        <v>686</v>
      </c>
      <c r="B505">
        <f>Coin2!B188</f>
        <v>-1.4</v>
      </c>
      <c r="C505">
        <f>Coin2!C188</f>
        <v>96.960000000000008</v>
      </c>
      <c r="D505">
        <f>Coin2!D188</f>
        <v>29.268068904621821</v>
      </c>
      <c r="E505" t="s">
        <v>45</v>
      </c>
    </row>
    <row r="506" spans="1:5" x14ac:dyDescent="0.35">
      <c r="A506">
        <f>Coin2!A189</f>
        <v>687</v>
      </c>
      <c r="B506">
        <f>Coin2!B189</f>
        <v>1.679</v>
      </c>
      <c r="C506">
        <f>Coin2!C189</f>
        <v>96.960000000000008</v>
      </c>
      <c r="D506">
        <f>Coin2!D189</f>
        <v>29.268068904621821</v>
      </c>
      <c r="E506" t="s">
        <v>45</v>
      </c>
    </row>
    <row r="507" spans="1:5" x14ac:dyDescent="0.35">
      <c r="A507">
        <f>Coin2!A190</f>
        <v>688</v>
      </c>
      <c r="B507">
        <f>Coin2!B190</f>
        <v>11.926</v>
      </c>
      <c r="C507">
        <f>Coin2!C190</f>
        <v>96.960000000000008</v>
      </c>
      <c r="D507">
        <f>Coin2!D190</f>
        <v>29.268068904621821</v>
      </c>
      <c r="E507" t="s">
        <v>45</v>
      </c>
    </row>
    <row r="508" spans="1:5" x14ac:dyDescent="0.35">
      <c r="A508">
        <f>Coin2!A191</f>
        <v>689</v>
      </c>
      <c r="B508">
        <f>Coin2!B191</f>
        <v>-1.4</v>
      </c>
      <c r="C508">
        <f>Coin2!C191</f>
        <v>97.31</v>
      </c>
      <c r="D508">
        <f>Coin2!D191</f>
        <v>29.268068904621821</v>
      </c>
      <c r="E508" t="s">
        <v>45</v>
      </c>
    </row>
    <row r="509" spans="1:5" x14ac:dyDescent="0.35">
      <c r="A509">
        <f>Coin2!A192</f>
        <v>690</v>
      </c>
      <c r="B509">
        <f>Coin2!B192</f>
        <v>0</v>
      </c>
      <c r="C509">
        <f>Coin2!C192</f>
        <v>97.31</v>
      </c>
      <c r="D509">
        <f>Coin2!D192</f>
        <v>29.268068904621821</v>
      </c>
      <c r="E509" t="s">
        <v>45</v>
      </c>
    </row>
    <row r="510" spans="1:5" x14ac:dyDescent="0.35">
      <c r="A510">
        <f>Coin2!A193</f>
        <v>691</v>
      </c>
      <c r="B510">
        <f>Coin2!B193</f>
        <v>1.679</v>
      </c>
      <c r="C510">
        <f>Coin2!C193</f>
        <v>97.31</v>
      </c>
      <c r="D510">
        <f>Coin2!D193</f>
        <v>29.268068904621821</v>
      </c>
      <c r="E510" t="s">
        <v>45</v>
      </c>
    </row>
    <row r="511" spans="1:5" x14ac:dyDescent="0.35">
      <c r="A511">
        <f>Coin2!A194</f>
        <v>692</v>
      </c>
      <c r="B511">
        <f>Coin2!B194</f>
        <v>3.357948729810778</v>
      </c>
      <c r="C511">
        <f>Coin2!C194</f>
        <v>97.31</v>
      </c>
      <c r="D511">
        <f>Coin2!D194</f>
        <v>29.268068904621821</v>
      </c>
      <c r="E511" t="s">
        <v>45</v>
      </c>
    </row>
    <row r="512" spans="1:5" x14ac:dyDescent="0.35">
      <c r="A512">
        <f>Coin2!A195</f>
        <v>693</v>
      </c>
      <c r="B512">
        <f>Coin2!B195</f>
        <v>6.1875</v>
      </c>
      <c r="C512">
        <f>Coin2!C195</f>
        <v>97.31</v>
      </c>
      <c r="D512">
        <f>Coin2!D195</f>
        <v>29.268068904621821</v>
      </c>
      <c r="E512" t="s">
        <v>45</v>
      </c>
    </row>
    <row r="513" spans="1:5" x14ac:dyDescent="0.35">
      <c r="A513">
        <f>Coin2!A196</f>
        <v>694</v>
      </c>
      <c r="B513">
        <f>Coin2!B196</f>
        <v>7.4175000000000004</v>
      </c>
      <c r="C513">
        <f>Coin2!C196</f>
        <v>97.31</v>
      </c>
      <c r="D513">
        <f>Coin2!D196</f>
        <v>29.268068904621821</v>
      </c>
      <c r="E513" t="s">
        <v>45</v>
      </c>
    </row>
    <row r="514" spans="1:5" x14ac:dyDescent="0.35">
      <c r="A514">
        <f>Coin2!A197</f>
        <v>695</v>
      </c>
      <c r="B514">
        <f>Coin2!B197</f>
        <v>10.247051270189223</v>
      </c>
      <c r="C514">
        <f>Coin2!C197</f>
        <v>97.31</v>
      </c>
      <c r="D514">
        <f>Coin2!D197</f>
        <v>29.268068904621821</v>
      </c>
      <c r="E514" t="s">
        <v>45</v>
      </c>
    </row>
    <row r="515" spans="1:5" x14ac:dyDescent="0.35">
      <c r="A515">
        <f>Coin2!A198</f>
        <v>696</v>
      </c>
      <c r="B515">
        <f>Coin2!B198</f>
        <v>11.926</v>
      </c>
      <c r="C515">
        <f>Coin2!C198</f>
        <v>97.31</v>
      </c>
      <c r="D515">
        <f>Coin2!D198</f>
        <v>29.268068904621821</v>
      </c>
      <c r="E515" t="s">
        <v>45</v>
      </c>
    </row>
    <row r="516" spans="1:5" x14ac:dyDescent="0.35">
      <c r="A516">
        <f>Coin2!A199</f>
        <v>697</v>
      </c>
      <c r="B516">
        <f>Coin2!B199</f>
        <v>12.990000000000002</v>
      </c>
      <c r="C516">
        <f>Coin2!C199</f>
        <v>97.31</v>
      </c>
      <c r="D516">
        <f>Coin2!D199</f>
        <v>29.268068904621821</v>
      </c>
      <c r="E516" t="s">
        <v>45</v>
      </c>
    </row>
    <row r="517" spans="1:5" x14ac:dyDescent="0.35">
      <c r="A517">
        <f>Coin2!A200</f>
        <v>698</v>
      </c>
      <c r="B517">
        <f>Coin2!B200</f>
        <v>14.220000000000002</v>
      </c>
      <c r="C517">
        <f>Coin2!C200</f>
        <v>97.31</v>
      </c>
      <c r="D517">
        <f>Coin2!D200</f>
        <v>29.268068904621821</v>
      </c>
      <c r="E517" t="s">
        <v>45</v>
      </c>
    </row>
    <row r="518" spans="1:5" x14ac:dyDescent="0.35">
      <c r="A518">
        <f>Coin2!A201</f>
        <v>699</v>
      </c>
      <c r="B518">
        <f>Coin2!B201</f>
        <v>6.1875</v>
      </c>
      <c r="C518">
        <f>Coin2!C201</f>
        <v>80.800000000000011</v>
      </c>
      <c r="D518">
        <f>Coin2!D201</f>
        <v>29.75</v>
      </c>
      <c r="E518" t="s">
        <v>45</v>
      </c>
    </row>
    <row r="519" spans="1:5" x14ac:dyDescent="0.35">
      <c r="A519">
        <f>Coin2!A202</f>
        <v>700</v>
      </c>
      <c r="B519">
        <f>Coin2!B202</f>
        <v>7.4175000000000004</v>
      </c>
      <c r="C519">
        <f>Coin2!C202</f>
        <v>80.800000000000011</v>
      </c>
      <c r="D519">
        <f>Coin2!D202</f>
        <v>29.75</v>
      </c>
      <c r="E519" t="s">
        <v>45</v>
      </c>
    </row>
    <row r="520" spans="1:5" x14ac:dyDescent="0.35">
      <c r="A520">
        <f>Coin2!A203</f>
        <v>701</v>
      </c>
      <c r="B520">
        <f>Coin2!B203</f>
        <v>6.1875</v>
      </c>
      <c r="C520">
        <f>Coin2!C203</f>
        <v>97.31</v>
      </c>
      <c r="D520">
        <f>Coin2!D203</f>
        <v>29.75</v>
      </c>
      <c r="E520" t="s">
        <v>45</v>
      </c>
    </row>
    <row r="521" spans="1:5" x14ac:dyDescent="0.35">
      <c r="A521">
        <f>Coin2!A204</f>
        <v>702</v>
      </c>
      <c r="B521">
        <f>Coin2!B204</f>
        <v>7.4175000000000004</v>
      </c>
      <c r="C521">
        <f>Coin2!C204</f>
        <v>97.31</v>
      </c>
      <c r="D521">
        <f>Coin2!D204</f>
        <v>29.75</v>
      </c>
      <c r="E521" t="s">
        <v>45</v>
      </c>
    </row>
    <row r="522" spans="1:5" x14ac:dyDescent="0.35">
      <c r="A522">
        <f>Coin2!A205</f>
        <v>703</v>
      </c>
      <c r="B522">
        <f>Coin2!B205</f>
        <v>-1.4</v>
      </c>
      <c r="C522">
        <f>Coin2!C205</f>
        <v>80.800000000000011</v>
      </c>
      <c r="D522">
        <f>Coin2!D205</f>
        <v>32.176137809243642</v>
      </c>
      <c r="E522" t="s">
        <v>45</v>
      </c>
    </row>
    <row r="523" spans="1:5" x14ac:dyDescent="0.35">
      <c r="A523">
        <f>Coin2!A206</f>
        <v>704</v>
      </c>
      <c r="B523">
        <f>Coin2!B206</f>
        <v>3.3580000000000001</v>
      </c>
      <c r="C523">
        <f>Coin2!C206</f>
        <v>80.800000000000011</v>
      </c>
      <c r="D523">
        <f>Coin2!D206</f>
        <v>32.176137809243642</v>
      </c>
      <c r="E523" t="s">
        <v>45</v>
      </c>
    </row>
    <row r="524" spans="1:5" x14ac:dyDescent="0.35">
      <c r="A524">
        <f>Coin2!A207</f>
        <v>705</v>
      </c>
      <c r="B524">
        <f>Coin2!B207</f>
        <v>6.1875</v>
      </c>
      <c r="C524">
        <f>Coin2!C207</f>
        <v>80.800000000000011</v>
      </c>
      <c r="D524">
        <f>Coin2!D207</f>
        <v>32.176137809243642</v>
      </c>
      <c r="E524" t="s">
        <v>45</v>
      </c>
    </row>
    <row r="525" spans="1:5" x14ac:dyDescent="0.35">
      <c r="A525">
        <f>Coin2!A208</f>
        <v>706</v>
      </c>
      <c r="B525">
        <f>Coin2!B208</f>
        <v>7.4175000000000004</v>
      </c>
      <c r="C525">
        <f>Coin2!C208</f>
        <v>80.800000000000011</v>
      </c>
      <c r="D525">
        <f>Coin2!D208</f>
        <v>32.176137809243642</v>
      </c>
      <c r="E525" t="s">
        <v>45</v>
      </c>
    </row>
    <row r="526" spans="1:5" x14ac:dyDescent="0.35">
      <c r="A526">
        <f>Coin2!A209</f>
        <v>707</v>
      </c>
      <c r="B526">
        <f>Coin2!B209</f>
        <v>10.247</v>
      </c>
      <c r="C526">
        <f>Coin2!C209</f>
        <v>80.800000000000011</v>
      </c>
      <c r="D526">
        <f>Coin2!D209</f>
        <v>32.176137809243642</v>
      </c>
      <c r="E526" t="s">
        <v>45</v>
      </c>
    </row>
    <row r="527" spans="1:5" x14ac:dyDescent="0.35">
      <c r="A527">
        <f>Coin2!A210</f>
        <v>708</v>
      </c>
      <c r="B527">
        <f>Coin2!B210</f>
        <v>-1.4</v>
      </c>
      <c r="C527">
        <f>Coin2!C210</f>
        <v>83.493000000000009</v>
      </c>
      <c r="D527">
        <f>Coin2!D210</f>
        <v>32.176137809243642</v>
      </c>
      <c r="E527" t="s">
        <v>45</v>
      </c>
    </row>
    <row r="528" spans="1:5" x14ac:dyDescent="0.35">
      <c r="A528">
        <f>Coin2!A211</f>
        <v>709</v>
      </c>
      <c r="B528">
        <f>Coin2!B211</f>
        <v>-1.4</v>
      </c>
      <c r="C528">
        <f>Coin2!C211</f>
        <v>86.187000000000012</v>
      </c>
      <c r="D528">
        <f>Coin2!D211</f>
        <v>32.176137809243642</v>
      </c>
      <c r="E528" t="s">
        <v>45</v>
      </c>
    </row>
    <row r="529" spans="1:5" x14ac:dyDescent="0.35">
      <c r="A529">
        <f>Coin2!A212</f>
        <v>710</v>
      </c>
      <c r="B529">
        <f>Coin2!B212</f>
        <v>-1.4</v>
      </c>
      <c r="C529">
        <f>Coin2!C212</f>
        <v>88.88000000000001</v>
      </c>
      <c r="D529">
        <f>Coin2!D212</f>
        <v>32.176137809243642</v>
      </c>
      <c r="E529" t="s">
        <v>45</v>
      </c>
    </row>
    <row r="530" spans="1:5" x14ac:dyDescent="0.35">
      <c r="A530">
        <f>Coin2!A213</f>
        <v>711</v>
      </c>
      <c r="B530">
        <f>Coin2!B213</f>
        <v>3.3580000000000001</v>
      </c>
      <c r="C530">
        <f>Coin2!C213</f>
        <v>88.88000000000001</v>
      </c>
      <c r="D530">
        <f>Coin2!D213</f>
        <v>32.176137809243642</v>
      </c>
      <c r="E530" t="s">
        <v>45</v>
      </c>
    </row>
    <row r="531" spans="1:5" x14ac:dyDescent="0.35">
      <c r="A531">
        <f>Coin2!A214</f>
        <v>712</v>
      </c>
      <c r="B531">
        <f>Coin2!B214</f>
        <v>10.247</v>
      </c>
      <c r="C531">
        <f>Coin2!C214</f>
        <v>88.88000000000001</v>
      </c>
      <c r="D531">
        <f>Coin2!D214</f>
        <v>32.176137809243642</v>
      </c>
      <c r="E531" t="s">
        <v>45</v>
      </c>
    </row>
    <row r="532" spans="1:5" x14ac:dyDescent="0.35">
      <c r="A532">
        <f>Coin2!A215</f>
        <v>713</v>
      </c>
      <c r="B532">
        <f>Coin2!B215</f>
        <v>-1.4</v>
      </c>
      <c r="C532">
        <f>Coin2!C215</f>
        <v>91.573000000000008</v>
      </c>
      <c r="D532">
        <f>Coin2!D215</f>
        <v>32.176137809243642</v>
      </c>
      <c r="E532" t="s">
        <v>45</v>
      </c>
    </row>
    <row r="533" spans="1:5" x14ac:dyDescent="0.35">
      <c r="A533">
        <f>Coin2!A216</f>
        <v>714</v>
      </c>
      <c r="B533">
        <f>Coin2!B216</f>
        <v>-1.4</v>
      </c>
      <c r="C533">
        <f>Coin2!C216</f>
        <v>94.26700000000001</v>
      </c>
      <c r="D533">
        <f>Coin2!D216</f>
        <v>32.176137809243642</v>
      </c>
      <c r="E533" t="s">
        <v>45</v>
      </c>
    </row>
    <row r="534" spans="1:5" x14ac:dyDescent="0.35">
      <c r="A534">
        <f>Coin2!A217</f>
        <v>715</v>
      </c>
      <c r="B534">
        <f>Coin2!B217</f>
        <v>-1.4</v>
      </c>
      <c r="C534">
        <f>Coin2!C217</f>
        <v>96.960000000000008</v>
      </c>
      <c r="D534">
        <f>Coin2!D217</f>
        <v>32.176137809243642</v>
      </c>
      <c r="E534" t="s">
        <v>45</v>
      </c>
    </row>
    <row r="535" spans="1:5" x14ac:dyDescent="0.35">
      <c r="A535">
        <f>Coin2!A218</f>
        <v>716</v>
      </c>
      <c r="B535">
        <f>Coin2!B218</f>
        <v>3.3580000000000001</v>
      </c>
      <c r="C535">
        <f>Coin2!C218</f>
        <v>96.960000000000008</v>
      </c>
      <c r="D535">
        <f>Coin2!D218</f>
        <v>32.176137809243642</v>
      </c>
      <c r="E535" t="s">
        <v>45</v>
      </c>
    </row>
    <row r="536" spans="1:5" x14ac:dyDescent="0.35">
      <c r="A536">
        <f>Coin2!A219</f>
        <v>717</v>
      </c>
      <c r="B536">
        <f>Coin2!B219</f>
        <v>10.247</v>
      </c>
      <c r="C536">
        <f>Coin2!C219</f>
        <v>96.960000000000008</v>
      </c>
      <c r="D536">
        <f>Coin2!D219</f>
        <v>32.176137809243642</v>
      </c>
      <c r="E536" t="s">
        <v>45</v>
      </c>
    </row>
    <row r="537" spans="1:5" x14ac:dyDescent="0.35">
      <c r="A537">
        <f>Coin2!A220</f>
        <v>718</v>
      </c>
      <c r="B537">
        <f>Coin2!B220</f>
        <v>-1.4</v>
      </c>
      <c r="C537">
        <f>Coin2!C220</f>
        <v>97.31</v>
      </c>
      <c r="D537">
        <f>Coin2!D220</f>
        <v>32.176137809243642</v>
      </c>
      <c r="E537" t="s">
        <v>45</v>
      </c>
    </row>
    <row r="538" spans="1:5" x14ac:dyDescent="0.35">
      <c r="A538">
        <f>Coin2!A221</f>
        <v>719</v>
      </c>
      <c r="B538">
        <f>Coin2!B221</f>
        <v>3.3580000000000001</v>
      </c>
      <c r="C538">
        <f>Coin2!C221</f>
        <v>97.31</v>
      </c>
      <c r="D538">
        <f>Coin2!D221</f>
        <v>32.176137809243642</v>
      </c>
      <c r="E538" t="s">
        <v>45</v>
      </c>
    </row>
    <row r="539" spans="1:5" x14ac:dyDescent="0.35">
      <c r="A539">
        <f>Coin2!A222</f>
        <v>720</v>
      </c>
      <c r="B539">
        <f>Coin2!B222</f>
        <v>3.357948729810778</v>
      </c>
      <c r="C539">
        <f>Coin2!C222</f>
        <v>97.31</v>
      </c>
      <c r="D539">
        <f>Coin2!D222</f>
        <v>32.176137809243642</v>
      </c>
      <c r="E539" t="s">
        <v>45</v>
      </c>
    </row>
    <row r="540" spans="1:5" x14ac:dyDescent="0.35">
      <c r="A540">
        <f>Coin2!A223</f>
        <v>721</v>
      </c>
      <c r="B540">
        <f>Coin2!B223</f>
        <v>6.1875</v>
      </c>
      <c r="C540">
        <f>Coin2!C223</f>
        <v>97.31</v>
      </c>
      <c r="D540">
        <f>Coin2!D223</f>
        <v>32.176137809243642</v>
      </c>
      <c r="E540" t="s">
        <v>45</v>
      </c>
    </row>
    <row r="541" spans="1:5" x14ac:dyDescent="0.35">
      <c r="A541">
        <f>Coin2!A224</f>
        <v>722</v>
      </c>
      <c r="B541">
        <f>Coin2!B224</f>
        <v>7.4175000000000004</v>
      </c>
      <c r="C541">
        <f>Coin2!C224</f>
        <v>97.31</v>
      </c>
      <c r="D541">
        <f>Coin2!D224</f>
        <v>32.176137809243642</v>
      </c>
      <c r="E541" t="s">
        <v>45</v>
      </c>
    </row>
    <row r="542" spans="1:5" x14ac:dyDescent="0.35">
      <c r="A542">
        <f>Coin2!A225</f>
        <v>723</v>
      </c>
      <c r="B542">
        <f>Coin2!B225</f>
        <v>10.247051270189223</v>
      </c>
      <c r="C542">
        <f>Coin2!C225</f>
        <v>97.31</v>
      </c>
      <c r="D542">
        <f>Coin2!D225</f>
        <v>32.176137809243642</v>
      </c>
      <c r="E542" t="s">
        <v>45</v>
      </c>
    </row>
    <row r="543" spans="1:5" x14ac:dyDescent="0.35">
      <c r="A543">
        <f>Coin2!A226</f>
        <v>724</v>
      </c>
      <c r="B543">
        <f>Coin2!B226</f>
        <v>10.247</v>
      </c>
      <c r="C543">
        <f>Coin2!C226</f>
        <v>97.31</v>
      </c>
      <c r="D543">
        <f>Coin2!D226</f>
        <v>32.176137809243642</v>
      </c>
      <c r="E543" t="s">
        <v>45</v>
      </c>
    </row>
    <row r="544" spans="1:5" x14ac:dyDescent="0.35">
      <c r="A544">
        <f>Coin2!A227</f>
        <v>725</v>
      </c>
      <c r="B544">
        <f>Coin2!B227</f>
        <v>12.990000000000002</v>
      </c>
      <c r="C544">
        <f>Coin2!C227</f>
        <v>97.31</v>
      </c>
      <c r="D544">
        <f>Coin2!D227</f>
        <v>32.176137809243642</v>
      </c>
      <c r="E544" t="s">
        <v>45</v>
      </c>
    </row>
    <row r="545" spans="1:5" x14ac:dyDescent="0.35">
      <c r="A545">
        <f>Coin2!A228</f>
        <v>726</v>
      </c>
      <c r="B545">
        <f>Coin2!B228</f>
        <v>-1.4</v>
      </c>
      <c r="C545">
        <f>Coin2!C228</f>
        <v>80.800000000000011</v>
      </c>
      <c r="D545">
        <f>Coin2!D228</f>
        <v>32.176137809243642</v>
      </c>
      <c r="E545" t="s">
        <v>45</v>
      </c>
    </row>
    <row r="546" spans="1:5" x14ac:dyDescent="0.35">
      <c r="A546">
        <f>Coin2!A229</f>
        <v>727</v>
      </c>
      <c r="B546">
        <f>Coin2!B229</f>
        <v>3.357948729810778</v>
      </c>
      <c r="C546">
        <f>Coin2!C229</f>
        <v>80.800000000000011</v>
      </c>
      <c r="D546">
        <f>Coin2!D229</f>
        <v>32.176137809243642</v>
      </c>
      <c r="E546" t="s">
        <v>45</v>
      </c>
    </row>
    <row r="547" spans="1:5" x14ac:dyDescent="0.35">
      <c r="A547">
        <f>Coin2!A230</f>
        <v>728</v>
      </c>
      <c r="B547">
        <f>Coin2!B230</f>
        <v>6.1875</v>
      </c>
      <c r="C547">
        <f>Coin2!C230</f>
        <v>80.800000000000011</v>
      </c>
      <c r="D547">
        <f>Coin2!D230</f>
        <v>32.176137809243642</v>
      </c>
      <c r="E547" t="s">
        <v>45</v>
      </c>
    </row>
    <row r="548" spans="1:5" x14ac:dyDescent="0.35">
      <c r="A548">
        <f>Coin2!A231</f>
        <v>729</v>
      </c>
      <c r="B548">
        <f>Coin2!B231</f>
        <v>6.8025000000000002</v>
      </c>
      <c r="C548">
        <f>Coin2!C231</f>
        <v>80.800000000000011</v>
      </c>
      <c r="D548">
        <f>Coin2!D231</f>
        <v>32.176137809243642</v>
      </c>
      <c r="E548" t="s">
        <v>45</v>
      </c>
    </row>
    <row r="549" spans="1:5" x14ac:dyDescent="0.35">
      <c r="A549">
        <f>Coin2!A232</f>
        <v>730</v>
      </c>
      <c r="B549">
        <f>Coin2!B232</f>
        <v>7.4175000000000004</v>
      </c>
      <c r="C549">
        <f>Coin2!C232</f>
        <v>80.800000000000011</v>
      </c>
      <c r="D549">
        <f>Coin2!D232</f>
        <v>32.176137809243642</v>
      </c>
      <c r="E549" t="s">
        <v>45</v>
      </c>
    </row>
    <row r="550" spans="1:5" x14ac:dyDescent="0.35">
      <c r="A550">
        <f>Coin2!A233</f>
        <v>731</v>
      </c>
      <c r="B550">
        <f>Coin2!B233</f>
        <v>10.247051270189223</v>
      </c>
      <c r="C550">
        <f>Coin2!C233</f>
        <v>80.800000000000011</v>
      </c>
      <c r="D550">
        <f>Coin2!D233</f>
        <v>32.176137809243642</v>
      </c>
      <c r="E550" t="s">
        <v>45</v>
      </c>
    </row>
    <row r="551" spans="1:5" x14ac:dyDescent="0.35">
      <c r="A551">
        <f>Coin2!A234</f>
        <v>732</v>
      </c>
      <c r="B551">
        <f>Coin2!B234</f>
        <v>-1.4</v>
      </c>
      <c r="C551">
        <f>Coin2!C234</f>
        <v>83.493000000000009</v>
      </c>
      <c r="D551">
        <f>Coin2!D234</f>
        <v>32.176137809243642</v>
      </c>
      <c r="E551" t="s">
        <v>45</v>
      </c>
    </row>
    <row r="552" spans="1:5" x14ac:dyDescent="0.35">
      <c r="A552">
        <f>Coin2!A235</f>
        <v>733</v>
      </c>
      <c r="B552">
        <f>Coin2!B235</f>
        <v>6.8025000000000002</v>
      </c>
      <c r="C552">
        <f>Coin2!C235</f>
        <v>84.84</v>
      </c>
      <c r="D552">
        <f>Coin2!D235</f>
        <v>32.176137809243642</v>
      </c>
      <c r="E552" t="s">
        <v>45</v>
      </c>
    </row>
    <row r="553" spans="1:5" x14ac:dyDescent="0.35">
      <c r="A553">
        <f>Coin2!A236</f>
        <v>734</v>
      </c>
      <c r="B553">
        <f>Coin2!B236</f>
        <v>-1.4</v>
      </c>
      <c r="C553">
        <f>Coin2!C236</f>
        <v>86.187000000000012</v>
      </c>
      <c r="D553">
        <f>Coin2!D236</f>
        <v>32.176137809243642</v>
      </c>
      <c r="E553" t="s">
        <v>45</v>
      </c>
    </row>
    <row r="554" spans="1:5" x14ac:dyDescent="0.35">
      <c r="A554">
        <f>Coin2!A237</f>
        <v>735</v>
      </c>
      <c r="B554">
        <f>Coin2!B237</f>
        <v>-1.4</v>
      </c>
      <c r="C554">
        <f>Coin2!C237</f>
        <v>88.88000000000001</v>
      </c>
      <c r="D554">
        <f>Coin2!D237</f>
        <v>32.176137809243642</v>
      </c>
      <c r="E554" t="s">
        <v>45</v>
      </c>
    </row>
    <row r="555" spans="1:5" x14ac:dyDescent="0.35">
      <c r="A555">
        <f>Coin2!A238</f>
        <v>736</v>
      </c>
      <c r="B555">
        <f>Coin2!B238</f>
        <v>3.357948729810778</v>
      </c>
      <c r="C555">
        <f>Coin2!C238</f>
        <v>88.88000000000001</v>
      </c>
      <c r="D555">
        <f>Coin2!D238</f>
        <v>32.176137809243642</v>
      </c>
      <c r="E555" t="s">
        <v>45</v>
      </c>
    </row>
    <row r="556" spans="1:5" x14ac:dyDescent="0.35">
      <c r="A556">
        <f>Coin2!A239</f>
        <v>737</v>
      </c>
      <c r="B556">
        <f>Coin2!B239</f>
        <v>6.1875</v>
      </c>
      <c r="C556">
        <f>Coin2!C239</f>
        <v>88.88000000000001</v>
      </c>
      <c r="D556">
        <f>Coin2!D239</f>
        <v>32.176137809243642</v>
      </c>
      <c r="E556" t="s">
        <v>45</v>
      </c>
    </row>
    <row r="557" spans="1:5" x14ac:dyDescent="0.35">
      <c r="A557">
        <f>Coin2!A240</f>
        <v>738</v>
      </c>
      <c r="B557">
        <f>Coin2!B240</f>
        <v>6.8025000000000002</v>
      </c>
      <c r="C557">
        <f>Coin2!C240</f>
        <v>88.88000000000001</v>
      </c>
      <c r="D557">
        <f>Coin2!D240</f>
        <v>32.176137809243642</v>
      </c>
      <c r="E557" t="s">
        <v>45</v>
      </c>
    </row>
    <row r="558" spans="1:5" x14ac:dyDescent="0.35">
      <c r="A558">
        <f>Coin2!A241</f>
        <v>739</v>
      </c>
      <c r="B558">
        <f>Coin2!B241</f>
        <v>7.4175000000000004</v>
      </c>
      <c r="C558">
        <f>Coin2!C241</f>
        <v>88.88000000000001</v>
      </c>
      <c r="D558">
        <f>Coin2!D241</f>
        <v>32.176137809243642</v>
      </c>
      <c r="E558" t="s">
        <v>45</v>
      </c>
    </row>
    <row r="559" spans="1:5" x14ac:dyDescent="0.35">
      <c r="A559">
        <f>Coin2!A242</f>
        <v>740</v>
      </c>
      <c r="B559">
        <f>Coin2!B242</f>
        <v>10.247051270189223</v>
      </c>
      <c r="C559">
        <f>Coin2!C242</f>
        <v>88.88000000000001</v>
      </c>
      <c r="D559">
        <f>Coin2!D242</f>
        <v>32.176137809243642</v>
      </c>
      <c r="E559" t="s">
        <v>45</v>
      </c>
    </row>
    <row r="560" spans="1:5" x14ac:dyDescent="0.35">
      <c r="A560">
        <f>Coin2!A243</f>
        <v>741</v>
      </c>
      <c r="B560">
        <f>Coin2!B243</f>
        <v>-1.4</v>
      </c>
      <c r="C560">
        <f>Coin2!C243</f>
        <v>91.573000000000008</v>
      </c>
      <c r="D560">
        <f>Coin2!D243</f>
        <v>32.176137809243642</v>
      </c>
      <c r="E560" t="s">
        <v>45</v>
      </c>
    </row>
    <row r="561" spans="1:5" x14ac:dyDescent="0.35">
      <c r="A561">
        <f>Coin2!A244</f>
        <v>742</v>
      </c>
      <c r="B561">
        <f>Coin2!B244</f>
        <v>6.8025000000000002</v>
      </c>
      <c r="C561">
        <f>Coin2!C244</f>
        <v>92.92</v>
      </c>
      <c r="D561">
        <f>Coin2!D244</f>
        <v>32.176137809243642</v>
      </c>
      <c r="E561" t="s">
        <v>45</v>
      </c>
    </row>
    <row r="562" spans="1:5" x14ac:dyDescent="0.35">
      <c r="A562">
        <f>Coin2!A245</f>
        <v>743</v>
      </c>
      <c r="B562">
        <f>Coin2!B245</f>
        <v>-1.4</v>
      </c>
      <c r="C562">
        <f>Coin2!C245</f>
        <v>94.26700000000001</v>
      </c>
      <c r="D562">
        <f>Coin2!D245</f>
        <v>32.176137809243642</v>
      </c>
      <c r="E562" t="s">
        <v>45</v>
      </c>
    </row>
    <row r="563" spans="1:5" x14ac:dyDescent="0.35">
      <c r="A563">
        <f>Coin2!A246</f>
        <v>744</v>
      </c>
      <c r="B563">
        <f>Coin2!B246</f>
        <v>-1.4</v>
      </c>
      <c r="C563">
        <f>Coin2!C246</f>
        <v>96.960000000000008</v>
      </c>
      <c r="D563">
        <f>Coin2!D246</f>
        <v>32.176137809243642</v>
      </c>
      <c r="E563" t="s">
        <v>45</v>
      </c>
    </row>
    <row r="564" spans="1:5" x14ac:dyDescent="0.35">
      <c r="A564">
        <f>Coin2!A247</f>
        <v>745</v>
      </c>
      <c r="B564">
        <f>Coin2!B247</f>
        <v>3.357948729810778</v>
      </c>
      <c r="C564">
        <f>Coin2!C247</f>
        <v>96.960000000000008</v>
      </c>
      <c r="D564">
        <f>Coin2!D247</f>
        <v>32.176137809243642</v>
      </c>
      <c r="E564" t="s">
        <v>45</v>
      </c>
    </row>
    <row r="565" spans="1:5" x14ac:dyDescent="0.35">
      <c r="A565">
        <f>Coin2!A248</f>
        <v>746</v>
      </c>
      <c r="B565">
        <f>Coin2!B248</f>
        <v>6.1875</v>
      </c>
      <c r="C565">
        <f>Coin2!C248</f>
        <v>96.960000000000008</v>
      </c>
      <c r="D565">
        <f>Coin2!D248</f>
        <v>32.176137809243642</v>
      </c>
      <c r="E565" t="s">
        <v>45</v>
      </c>
    </row>
    <row r="566" spans="1:5" x14ac:dyDescent="0.35">
      <c r="A566">
        <f>Coin2!A249</f>
        <v>747</v>
      </c>
      <c r="B566">
        <f>Coin2!B249</f>
        <v>6.8025000000000002</v>
      </c>
      <c r="C566">
        <f>Coin2!C249</f>
        <v>96.960000000000008</v>
      </c>
      <c r="D566">
        <f>Coin2!D249</f>
        <v>32.176137809243642</v>
      </c>
      <c r="E566" t="s">
        <v>45</v>
      </c>
    </row>
    <row r="567" spans="1:5" x14ac:dyDescent="0.35">
      <c r="A567">
        <f>Coin2!A250</f>
        <v>748</v>
      </c>
      <c r="B567">
        <f>Coin2!B250</f>
        <v>7.4175000000000004</v>
      </c>
      <c r="C567">
        <f>Coin2!C250</f>
        <v>96.960000000000008</v>
      </c>
      <c r="D567">
        <f>Coin2!D250</f>
        <v>32.176137809243642</v>
      </c>
      <c r="E567" t="s">
        <v>45</v>
      </c>
    </row>
    <row r="568" spans="1:5" x14ac:dyDescent="0.35">
      <c r="A568">
        <f>Coin2!A251</f>
        <v>749</v>
      </c>
      <c r="B568">
        <f>Coin2!B251</f>
        <v>10.247051270189223</v>
      </c>
      <c r="C568">
        <f>Coin2!C251</f>
        <v>96.960000000000008</v>
      </c>
      <c r="D568">
        <f>Coin2!D251</f>
        <v>32.176137809243642</v>
      </c>
      <c r="E568" t="s">
        <v>45</v>
      </c>
    </row>
    <row r="569" spans="1:5" x14ac:dyDescent="0.35">
      <c r="A569">
        <f>Coin2!A252</f>
        <v>750</v>
      </c>
      <c r="B569">
        <f>Coin2!B252</f>
        <v>-1.4</v>
      </c>
      <c r="C569">
        <f>Coin2!C252</f>
        <v>97.31</v>
      </c>
      <c r="D569">
        <f>Coin2!D252</f>
        <v>32.176137809243642</v>
      </c>
      <c r="E569" t="s">
        <v>45</v>
      </c>
    </row>
    <row r="570" spans="1:5" x14ac:dyDescent="0.35">
      <c r="A570">
        <f>Coin2!A253</f>
        <v>751</v>
      </c>
      <c r="B570">
        <f>Coin2!B253</f>
        <v>3.357948729810778</v>
      </c>
      <c r="C570">
        <f>Coin2!C253</f>
        <v>97.31</v>
      </c>
      <c r="D570">
        <f>Coin2!D253</f>
        <v>32.176137809243642</v>
      </c>
      <c r="E570" t="s">
        <v>45</v>
      </c>
    </row>
    <row r="571" spans="1:5" x14ac:dyDescent="0.35">
      <c r="A571">
        <f>Coin2!A254</f>
        <v>752</v>
      </c>
      <c r="B571">
        <f>Coin2!B254</f>
        <v>6.1875</v>
      </c>
      <c r="C571">
        <f>Coin2!C254</f>
        <v>97.31</v>
      </c>
      <c r="D571">
        <f>Coin2!D254</f>
        <v>32.176137809243642</v>
      </c>
      <c r="E571" t="s">
        <v>45</v>
      </c>
    </row>
    <row r="572" spans="1:5" x14ac:dyDescent="0.35">
      <c r="A572">
        <f>Coin2!A255</f>
        <v>753</v>
      </c>
      <c r="B572">
        <f>Coin2!B255</f>
        <v>7.4175000000000004</v>
      </c>
      <c r="C572">
        <f>Coin2!C255</f>
        <v>97.31</v>
      </c>
      <c r="D572">
        <f>Coin2!D255</f>
        <v>32.176137809243642</v>
      </c>
      <c r="E572" t="s">
        <v>45</v>
      </c>
    </row>
    <row r="573" spans="1:5" x14ac:dyDescent="0.35">
      <c r="A573">
        <f>Coin2!A256</f>
        <v>754</v>
      </c>
      <c r="B573">
        <f>Coin2!B256</f>
        <v>10.247051270189223</v>
      </c>
      <c r="C573">
        <f>Coin2!C256</f>
        <v>97.31</v>
      </c>
      <c r="D573">
        <f>Coin2!D256</f>
        <v>32.176137809243642</v>
      </c>
      <c r="E573" t="s">
        <v>45</v>
      </c>
    </row>
    <row r="574" spans="1:5" x14ac:dyDescent="0.35">
      <c r="A574">
        <f>Coin2!A257</f>
        <v>755</v>
      </c>
      <c r="B574">
        <f>Coin2!B257</f>
        <v>12.990000000000002</v>
      </c>
      <c r="C574">
        <f>Coin2!C257</f>
        <v>97.31</v>
      </c>
      <c r="D574">
        <f>Coin2!D257</f>
        <v>32.176137809243642</v>
      </c>
      <c r="E574" t="s">
        <v>45</v>
      </c>
    </row>
    <row r="575" spans="1:5" x14ac:dyDescent="0.35">
      <c r="A575">
        <f>Coin2!A258</f>
        <v>756</v>
      </c>
      <c r="B575">
        <f>Coin2!B258</f>
        <v>14.220000000000002</v>
      </c>
      <c r="C575">
        <f>Coin2!C258</f>
        <v>97.31</v>
      </c>
      <c r="D575">
        <f>Coin2!D258</f>
        <v>32.176137809243642</v>
      </c>
      <c r="E575" t="s">
        <v>45</v>
      </c>
    </row>
    <row r="576" spans="1:5" x14ac:dyDescent="0.35">
      <c r="A576">
        <f>Coin2!A2</f>
        <v>757</v>
      </c>
      <c r="B576">
        <f>Coin2!B2</f>
        <v>6.8025000000000002</v>
      </c>
      <c r="C576">
        <f>Coin2!C2</f>
        <v>64.099999999999994</v>
      </c>
      <c r="D576">
        <f>Coin2!D2</f>
        <v>32.176137809243642</v>
      </c>
      <c r="E576" t="s">
        <v>45</v>
      </c>
    </row>
    <row r="577" spans="1:5" x14ac:dyDescent="0.35">
      <c r="A577">
        <f>Coin2!A259</f>
        <v>758</v>
      </c>
      <c r="B577">
        <f>Coin2!B259</f>
        <v>-1.4</v>
      </c>
      <c r="C577">
        <f>Coin2!C259</f>
        <v>80.800000000000011</v>
      </c>
      <c r="D577">
        <f>Coin2!D259</f>
        <v>35.084206713865463</v>
      </c>
      <c r="E577" t="s">
        <v>45</v>
      </c>
    </row>
    <row r="578" spans="1:5" x14ac:dyDescent="0.35">
      <c r="A578">
        <f>Coin2!A260</f>
        <v>759</v>
      </c>
      <c r="B578">
        <f>Coin2!B260</f>
        <v>5.0369999999999999</v>
      </c>
      <c r="C578">
        <f>Coin2!C260</f>
        <v>80.800000000000011</v>
      </c>
      <c r="D578">
        <f>Coin2!D260</f>
        <v>35.084206713865463</v>
      </c>
      <c r="E578" t="s">
        <v>45</v>
      </c>
    </row>
    <row r="579" spans="1:5" x14ac:dyDescent="0.35">
      <c r="A579">
        <f>Coin2!A261</f>
        <v>760</v>
      </c>
      <c r="B579">
        <f>Coin2!B261</f>
        <v>8.5680000000000014</v>
      </c>
      <c r="C579">
        <f>Coin2!C261</f>
        <v>80.800000000000011</v>
      </c>
      <c r="D579">
        <f>Coin2!D261</f>
        <v>35.084206713865463</v>
      </c>
      <c r="E579" t="s">
        <v>45</v>
      </c>
    </row>
    <row r="580" spans="1:5" x14ac:dyDescent="0.35">
      <c r="A580">
        <f>Coin2!A262</f>
        <v>761</v>
      </c>
      <c r="B580">
        <f>Coin2!B262</f>
        <v>-1.4</v>
      </c>
      <c r="C580">
        <f>Coin2!C262</f>
        <v>83.493000000000009</v>
      </c>
      <c r="D580">
        <f>Coin2!D262</f>
        <v>35.084206713865463</v>
      </c>
      <c r="E580" t="s">
        <v>45</v>
      </c>
    </row>
    <row r="581" spans="1:5" x14ac:dyDescent="0.35">
      <c r="A581">
        <f>Coin2!A263</f>
        <v>762</v>
      </c>
      <c r="B581">
        <f>Coin2!B263</f>
        <v>-1.4</v>
      </c>
      <c r="C581">
        <f>Coin2!C263</f>
        <v>86.187000000000012</v>
      </c>
      <c r="D581">
        <f>Coin2!D263</f>
        <v>35.084206713865463</v>
      </c>
      <c r="E581" t="s">
        <v>45</v>
      </c>
    </row>
    <row r="582" spans="1:5" x14ac:dyDescent="0.35">
      <c r="A582">
        <f>Coin2!A264</f>
        <v>763</v>
      </c>
      <c r="B582">
        <f>Coin2!B264</f>
        <v>-1.4</v>
      </c>
      <c r="C582">
        <f>Coin2!C264</f>
        <v>88.88000000000001</v>
      </c>
      <c r="D582">
        <f>Coin2!D264</f>
        <v>35.084206713865463</v>
      </c>
      <c r="E582" t="s">
        <v>45</v>
      </c>
    </row>
    <row r="583" spans="1:5" x14ac:dyDescent="0.35">
      <c r="A583">
        <f>Coin2!A265</f>
        <v>764</v>
      </c>
      <c r="B583">
        <f>Coin2!B265</f>
        <v>5.0369999999999999</v>
      </c>
      <c r="C583">
        <f>Coin2!C265</f>
        <v>88.88000000000001</v>
      </c>
      <c r="D583">
        <f>Coin2!D265</f>
        <v>35.084206713865463</v>
      </c>
      <c r="E583" t="s">
        <v>45</v>
      </c>
    </row>
    <row r="584" spans="1:5" x14ac:dyDescent="0.35">
      <c r="A584">
        <f>Coin2!A266</f>
        <v>765</v>
      </c>
      <c r="B584">
        <f>Coin2!B266</f>
        <v>8.5680000000000014</v>
      </c>
      <c r="C584">
        <f>Coin2!C266</f>
        <v>88.88000000000001</v>
      </c>
      <c r="D584">
        <f>Coin2!D266</f>
        <v>35.084206713865463</v>
      </c>
      <c r="E584" t="s">
        <v>45</v>
      </c>
    </row>
    <row r="585" spans="1:5" x14ac:dyDescent="0.35">
      <c r="A585">
        <f>Coin2!A267</f>
        <v>766</v>
      </c>
      <c r="B585">
        <f>Coin2!B267</f>
        <v>-1.4</v>
      </c>
      <c r="C585">
        <f>Coin2!C267</f>
        <v>91.573000000000008</v>
      </c>
      <c r="D585">
        <f>Coin2!D267</f>
        <v>35.084206713865463</v>
      </c>
      <c r="E585" t="s">
        <v>45</v>
      </c>
    </row>
    <row r="586" spans="1:5" x14ac:dyDescent="0.35">
      <c r="A586">
        <f>Coin2!A268</f>
        <v>767</v>
      </c>
      <c r="B586">
        <f>Coin2!B268</f>
        <v>-1.4</v>
      </c>
      <c r="C586">
        <f>Coin2!C268</f>
        <v>94.26700000000001</v>
      </c>
      <c r="D586">
        <f>Coin2!D268</f>
        <v>35.084206713865463</v>
      </c>
      <c r="E586" t="s">
        <v>45</v>
      </c>
    </row>
    <row r="587" spans="1:5" x14ac:dyDescent="0.35">
      <c r="A587">
        <f>Coin2!A269</f>
        <v>768</v>
      </c>
      <c r="B587">
        <f>Coin2!B269</f>
        <v>-1.4</v>
      </c>
      <c r="C587">
        <f>Coin2!C269</f>
        <v>96.960000000000008</v>
      </c>
      <c r="D587">
        <f>Coin2!D269</f>
        <v>35.084206713865463</v>
      </c>
      <c r="E587" t="s">
        <v>45</v>
      </c>
    </row>
    <row r="588" spans="1:5" x14ac:dyDescent="0.35">
      <c r="A588">
        <f>Coin2!A270</f>
        <v>769</v>
      </c>
      <c r="B588">
        <f>Coin2!B270</f>
        <v>5.0369999999999999</v>
      </c>
      <c r="C588">
        <f>Coin2!C270</f>
        <v>96.960000000000008</v>
      </c>
      <c r="D588">
        <f>Coin2!D270</f>
        <v>35.084206713865463</v>
      </c>
      <c r="E588" t="s">
        <v>45</v>
      </c>
    </row>
    <row r="589" spans="1:5" x14ac:dyDescent="0.35">
      <c r="A589">
        <f>Coin2!A271</f>
        <v>770</v>
      </c>
      <c r="B589">
        <f>Coin2!B271</f>
        <v>8.5680000000000014</v>
      </c>
      <c r="C589">
        <f>Coin2!C271</f>
        <v>96.960000000000008</v>
      </c>
      <c r="D589">
        <f>Coin2!D271</f>
        <v>35.084206713865463</v>
      </c>
      <c r="E589" t="s">
        <v>45</v>
      </c>
    </row>
    <row r="590" spans="1:5" x14ac:dyDescent="0.35">
      <c r="A590">
        <f>Coin2!A272</f>
        <v>771</v>
      </c>
      <c r="B590">
        <f>Coin2!B272</f>
        <v>-1.4</v>
      </c>
      <c r="C590">
        <f>Coin2!C272</f>
        <v>97.31</v>
      </c>
      <c r="D590">
        <f>Coin2!D272</f>
        <v>35.084206713865463</v>
      </c>
      <c r="E590" t="s">
        <v>45</v>
      </c>
    </row>
    <row r="591" spans="1:5" x14ac:dyDescent="0.35">
      <c r="A591">
        <f>Coin2!A273</f>
        <v>772</v>
      </c>
      <c r="B591">
        <f>Coin2!B273</f>
        <v>3.357948729810778</v>
      </c>
      <c r="C591">
        <f>Coin2!C273</f>
        <v>97.31</v>
      </c>
      <c r="D591">
        <f>Coin2!D273</f>
        <v>35.084206713865463</v>
      </c>
      <c r="E591" t="s">
        <v>45</v>
      </c>
    </row>
    <row r="592" spans="1:5" x14ac:dyDescent="0.35">
      <c r="A592">
        <f>Coin2!A274</f>
        <v>773</v>
      </c>
      <c r="B592">
        <f>Coin2!B274</f>
        <v>5.0369999999999999</v>
      </c>
      <c r="C592">
        <f>Coin2!C274</f>
        <v>97.31</v>
      </c>
      <c r="D592">
        <f>Coin2!D274</f>
        <v>35.084206713865463</v>
      </c>
      <c r="E592" t="s">
        <v>45</v>
      </c>
    </row>
    <row r="593" spans="1:5" x14ac:dyDescent="0.35">
      <c r="A593">
        <f>Coin2!A275</f>
        <v>774</v>
      </c>
      <c r="B593">
        <f>Coin2!B275</f>
        <v>8.5680000000000014</v>
      </c>
      <c r="C593">
        <f>Coin2!C275</f>
        <v>97.31</v>
      </c>
      <c r="D593">
        <f>Coin2!D275</f>
        <v>35.084206713865463</v>
      </c>
      <c r="E593" t="s">
        <v>45</v>
      </c>
    </row>
    <row r="594" spans="1:5" x14ac:dyDescent="0.35">
      <c r="A594">
        <f>Coin2!A276</f>
        <v>775</v>
      </c>
      <c r="B594">
        <f>Coin2!B276</f>
        <v>10.247051270189223</v>
      </c>
      <c r="C594">
        <f>Coin2!C276</f>
        <v>97.31</v>
      </c>
      <c r="D594">
        <f>Coin2!D276</f>
        <v>35.084206713865463</v>
      </c>
      <c r="E594" t="s">
        <v>45</v>
      </c>
    </row>
    <row r="595" spans="1:5" x14ac:dyDescent="0.35">
      <c r="A595">
        <f>Coin2!A277</f>
        <v>776</v>
      </c>
      <c r="B595">
        <f>Coin2!B277</f>
        <v>16.96294872981078</v>
      </c>
      <c r="C595">
        <f>Coin2!C277</f>
        <v>97.31</v>
      </c>
      <c r="D595">
        <f>Coin2!D277</f>
        <v>35.084206713865463</v>
      </c>
      <c r="E595" t="s">
        <v>45</v>
      </c>
    </row>
    <row r="596" spans="1:5" x14ac:dyDescent="0.35">
      <c r="A596">
        <f>Coin2!A278</f>
        <v>777</v>
      </c>
      <c r="B596">
        <f>Coin2!B278</f>
        <v>-1.4</v>
      </c>
      <c r="C596">
        <f>Coin2!C278</f>
        <v>80.800000000000011</v>
      </c>
      <c r="D596">
        <f>Coin2!D278</f>
        <v>37.992275618487284</v>
      </c>
      <c r="E596" t="s">
        <v>45</v>
      </c>
    </row>
    <row r="597" spans="1:5" x14ac:dyDescent="0.35">
      <c r="A597">
        <f>Coin2!A279</f>
        <v>778</v>
      </c>
      <c r="B597">
        <f>Coin2!B279</f>
        <v>6.7160000000000002</v>
      </c>
      <c r="C597">
        <f>Coin2!C279</f>
        <v>80.800000000000011</v>
      </c>
      <c r="D597">
        <f>Coin2!D279</f>
        <v>37.992275618487284</v>
      </c>
      <c r="E597" t="s">
        <v>45</v>
      </c>
    </row>
    <row r="598" spans="1:5" x14ac:dyDescent="0.35">
      <c r="A598">
        <f>Coin2!A280</f>
        <v>779</v>
      </c>
      <c r="B598">
        <f>Coin2!B280</f>
        <v>6.8890000000000002</v>
      </c>
      <c r="C598">
        <f>Coin2!C280</f>
        <v>80.800000000000011</v>
      </c>
      <c r="D598">
        <f>Coin2!D280</f>
        <v>37.992275618487284</v>
      </c>
      <c r="E598" t="s">
        <v>45</v>
      </c>
    </row>
    <row r="599" spans="1:5" x14ac:dyDescent="0.35">
      <c r="A599">
        <f>Coin2!A281</f>
        <v>780</v>
      </c>
      <c r="B599">
        <f>Coin2!B281</f>
        <v>-1.4</v>
      </c>
      <c r="C599">
        <f>Coin2!C281</f>
        <v>83.493000000000009</v>
      </c>
      <c r="D599">
        <f>Coin2!D281</f>
        <v>37.992275618487284</v>
      </c>
      <c r="E599" t="s">
        <v>45</v>
      </c>
    </row>
    <row r="600" spans="1:5" x14ac:dyDescent="0.35">
      <c r="A600">
        <f>Coin2!A282</f>
        <v>781</v>
      </c>
      <c r="B600">
        <f>Coin2!B282</f>
        <v>-1.4</v>
      </c>
      <c r="C600">
        <f>Coin2!C282</f>
        <v>86.187000000000012</v>
      </c>
      <c r="D600">
        <f>Coin2!D282</f>
        <v>37.992275618487284</v>
      </c>
      <c r="E600" t="s">
        <v>45</v>
      </c>
    </row>
    <row r="601" spans="1:5" x14ac:dyDescent="0.35">
      <c r="A601">
        <f>Coin2!A283</f>
        <v>782</v>
      </c>
      <c r="B601">
        <f>Coin2!B283</f>
        <v>-1.4</v>
      </c>
      <c r="C601">
        <f>Coin2!C283</f>
        <v>88.88000000000001</v>
      </c>
      <c r="D601">
        <f>Coin2!D283</f>
        <v>37.992275618487284</v>
      </c>
      <c r="E601" t="s">
        <v>45</v>
      </c>
    </row>
    <row r="602" spans="1:5" x14ac:dyDescent="0.35">
      <c r="A602">
        <f>Coin2!A284</f>
        <v>783</v>
      </c>
      <c r="B602">
        <f>Coin2!B284</f>
        <v>6.7160000000000002</v>
      </c>
      <c r="C602">
        <f>Coin2!C284</f>
        <v>88.88000000000001</v>
      </c>
      <c r="D602">
        <f>Coin2!D284</f>
        <v>37.992275618487284</v>
      </c>
      <c r="E602" t="s">
        <v>45</v>
      </c>
    </row>
    <row r="603" spans="1:5" x14ac:dyDescent="0.35">
      <c r="A603">
        <f>Coin2!A285</f>
        <v>784</v>
      </c>
      <c r="B603">
        <f>Coin2!B285</f>
        <v>6.8890000000000002</v>
      </c>
      <c r="C603">
        <f>Coin2!C285</f>
        <v>88.88000000000001</v>
      </c>
      <c r="D603">
        <f>Coin2!D285</f>
        <v>37.992275618487284</v>
      </c>
      <c r="E603" t="s">
        <v>45</v>
      </c>
    </row>
    <row r="604" spans="1:5" x14ac:dyDescent="0.35">
      <c r="A604">
        <f>Coin2!A286</f>
        <v>785</v>
      </c>
      <c r="B604">
        <f>Coin2!B286</f>
        <v>-1.4</v>
      </c>
      <c r="C604">
        <f>Coin2!C286</f>
        <v>91.573000000000008</v>
      </c>
      <c r="D604">
        <f>Coin2!D286</f>
        <v>37.992275618487284</v>
      </c>
      <c r="E604" t="s">
        <v>45</v>
      </c>
    </row>
    <row r="605" spans="1:5" x14ac:dyDescent="0.35">
      <c r="A605">
        <f>Coin2!A287</f>
        <v>786</v>
      </c>
      <c r="B605">
        <f>Coin2!B287</f>
        <v>-1.4</v>
      </c>
      <c r="C605">
        <f>Coin2!C287</f>
        <v>94.26700000000001</v>
      </c>
      <c r="D605">
        <f>Coin2!D287</f>
        <v>37.992275618487284</v>
      </c>
      <c r="E605" t="s">
        <v>45</v>
      </c>
    </row>
    <row r="606" spans="1:5" x14ac:dyDescent="0.35">
      <c r="A606">
        <f>Coin2!A288</f>
        <v>787</v>
      </c>
      <c r="B606">
        <f>Coin2!B288</f>
        <v>-1.4</v>
      </c>
      <c r="C606">
        <f>Coin2!C288</f>
        <v>96.960000000000008</v>
      </c>
      <c r="D606">
        <f>Coin2!D288</f>
        <v>37.992275618487284</v>
      </c>
      <c r="E606" t="s">
        <v>45</v>
      </c>
    </row>
    <row r="607" spans="1:5" x14ac:dyDescent="0.35">
      <c r="A607">
        <f>Coin2!A289</f>
        <v>788</v>
      </c>
      <c r="B607">
        <f>Coin2!B289</f>
        <v>6.7160000000000002</v>
      </c>
      <c r="C607">
        <f>Coin2!C289</f>
        <v>96.960000000000008</v>
      </c>
      <c r="D607">
        <f>Coin2!D289</f>
        <v>37.992275618487284</v>
      </c>
      <c r="E607" t="s">
        <v>45</v>
      </c>
    </row>
    <row r="608" spans="1:5" x14ac:dyDescent="0.35">
      <c r="A608">
        <f>Coin2!A290</f>
        <v>789</v>
      </c>
      <c r="B608">
        <f>Coin2!B290</f>
        <v>6.8890000000000002</v>
      </c>
      <c r="C608">
        <f>Coin2!C290</f>
        <v>96.960000000000008</v>
      </c>
      <c r="D608">
        <f>Coin2!D290</f>
        <v>37.992275618487284</v>
      </c>
      <c r="E608" t="s">
        <v>45</v>
      </c>
    </row>
    <row r="609" spans="1:5" x14ac:dyDescent="0.35">
      <c r="A609">
        <f>Coin2!A291</f>
        <v>790</v>
      </c>
      <c r="B609">
        <f>Coin2!B291</f>
        <v>-1.4</v>
      </c>
      <c r="C609">
        <f>Coin2!C291</f>
        <v>97.31</v>
      </c>
      <c r="D609">
        <f>Coin2!D291</f>
        <v>37.992275618487284</v>
      </c>
      <c r="E609" t="s">
        <v>45</v>
      </c>
    </row>
    <row r="610" spans="1:5" x14ac:dyDescent="0.35">
      <c r="A610">
        <f>Coin2!A292</f>
        <v>791</v>
      </c>
      <c r="B610">
        <f>Coin2!B292</f>
        <v>3.357948729810778</v>
      </c>
      <c r="C610">
        <f>Coin2!C292</f>
        <v>97.31</v>
      </c>
      <c r="D610">
        <f>Coin2!D292</f>
        <v>37.992275618487284</v>
      </c>
      <c r="E610" t="s">
        <v>45</v>
      </c>
    </row>
    <row r="611" spans="1:5" x14ac:dyDescent="0.35">
      <c r="A611">
        <f>Coin2!A293</f>
        <v>792</v>
      </c>
      <c r="B611">
        <f>Coin2!B293</f>
        <v>6.7160000000000002</v>
      </c>
      <c r="C611">
        <f>Coin2!C293</f>
        <v>97.31</v>
      </c>
      <c r="D611">
        <f>Coin2!D293</f>
        <v>37.992275618487284</v>
      </c>
      <c r="E611" t="s">
        <v>45</v>
      </c>
    </row>
    <row r="612" spans="1:5" x14ac:dyDescent="0.35">
      <c r="A612">
        <f>Coin2!A294</f>
        <v>793</v>
      </c>
      <c r="B612">
        <f>Coin2!B294</f>
        <v>6.8890000000000002</v>
      </c>
      <c r="C612">
        <f>Coin2!C294</f>
        <v>97.31</v>
      </c>
      <c r="D612">
        <f>Coin2!D294</f>
        <v>37.992275618487284</v>
      </c>
      <c r="E612" t="s">
        <v>45</v>
      </c>
    </row>
    <row r="613" spans="1:5" x14ac:dyDescent="0.35">
      <c r="A613">
        <f>Coin2!A295</f>
        <v>794</v>
      </c>
      <c r="B613">
        <f>Coin2!B295</f>
        <v>10.247051270189223</v>
      </c>
      <c r="C613">
        <f>Coin2!C295</f>
        <v>97.31</v>
      </c>
      <c r="D613">
        <f>Coin2!D295</f>
        <v>37.992275618487284</v>
      </c>
      <c r="E613" t="s">
        <v>45</v>
      </c>
    </row>
    <row r="614" spans="1:5" x14ac:dyDescent="0.35">
      <c r="A614">
        <f>Coin2!A296</f>
        <v>795</v>
      </c>
      <c r="B614">
        <f>Coin2!B296</f>
        <v>16.96294872981078</v>
      </c>
      <c r="C614">
        <f>Coin2!C296</f>
        <v>97.31</v>
      </c>
      <c r="D614">
        <f>Coin2!D296</f>
        <v>37.992275618487284</v>
      </c>
      <c r="E614" t="s">
        <v>45</v>
      </c>
    </row>
    <row r="615" spans="1:5" x14ac:dyDescent="0.35">
      <c r="A615">
        <f>Coin2!A297</f>
        <v>796</v>
      </c>
      <c r="B615">
        <f>Coin2!B297</f>
        <v>6.8025000000000002</v>
      </c>
      <c r="C615">
        <f>Coin2!C297</f>
        <v>80.800000000000011</v>
      </c>
      <c r="D615">
        <f>Coin2!D297</f>
        <v>37.992275618487284</v>
      </c>
      <c r="E615" t="s">
        <v>45</v>
      </c>
    </row>
    <row r="616" spans="1:5" x14ac:dyDescent="0.35">
      <c r="A616">
        <f>Coin2!A298</f>
        <v>797</v>
      </c>
      <c r="B616">
        <f>Coin2!B298</f>
        <v>6.8025000000000002</v>
      </c>
      <c r="C616">
        <f>Coin2!C298</f>
        <v>84.84</v>
      </c>
      <c r="D616">
        <f>Coin2!D298</f>
        <v>37.992275618487284</v>
      </c>
      <c r="E616" t="s">
        <v>45</v>
      </c>
    </row>
    <row r="617" spans="1:5" x14ac:dyDescent="0.35">
      <c r="A617">
        <f>Coin2!A299</f>
        <v>798</v>
      </c>
      <c r="B617">
        <f>Coin2!B299</f>
        <v>6.8025000000000002</v>
      </c>
      <c r="C617">
        <f>Coin2!C299</f>
        <v>88.88000000000001</v>
      </c>
      <c r="D617">
        <f>Coin2!D299</f>
        <v>37.992275618487284</v>
      </c>
      <c r="E617" t="s">
        <v>45</v>
      </c>
    </row>
    <row r="618" spans="1:5" x14ac:dyDescent="0.35">
      <c r="A618">
        <f>Coin2!A300</f>
        <v>799</v>
      </c>
      <c r="B618">
        <f>Coin2!B300</f>
        <v>6.8025000000000002</v>
      </c>
      <c r="C618">
        <f>Coin2!C300</f>
        <v>92.92</v>
      </c>
      <c r="D618">
        <f>Coin2!D300</f>
        <v>37.992275618487284</v>
      </c>
      <c r="E618" t="s">
        <v>45</v>
      </c>
    </row>
    <row r="619" spans="1:5" x14ac:dyDescent="0.35">
      <c r="A619">
        <f>Coin2!A301</f>
        <v>800</v>
      </c>
      <c r="B619">
        <f>Coin2!B301</f>
        <v>-1.4</v>
      </c>
      <c r="C619">
        <f>Coin2!C301</f>
        <v>96.960000000000008</v>
      </c>
      <c r="D619">
        <f>Coin2!D301</f>
        <v>37.992275618487284</v>
      </c>
      <c r="E619" t="s">
        <v>45</v>
      </c>
    </row>
    <row r="620" spans="1:5" x14ac:dyDescent="0.35">
      <c r="A620">
        <f>Coin2!A302</f>
        <v>801</v>
      </c>
      <c r="B620">
        <f>Coin2!B302</f>
        <v>6.8025000000000002</v>
      </c>
      <c r="C620">
        <f>Coin2!C302</f>
        <v>96.960000000000008</v>
      </c>
      <c r="D620">
        <f>Coin2!D302</f>
        <v>37.992275618487284</v>
      </c>
      <c r="E620" t="s">
        <v>45</v>
      </c>
    </row>
    <row r="621" spans="1:5" x14ac:dyDescent="0.35">
      <c r="A621">
        <f>Coin2!A303</f>
        <v>802</v>
      </c>
      <c r="B621">
        <f>Coin2!B303</f>
        <v>-1.4</v>
      </c>
      <c r="C621">
        <f>Coin2!C303</f>
        <v>97.31</v>
      </c>
      <c r="D621">
        <f>Coin2!D303</f>
        <v>37.992275618487284</v>
      </c>
      <c r="E621" t="s">
        <v>45</v>
      </c>
    </row>
    <row r="622" spans="1:5" x14ac:dyDescent="0.35">
      <c r="A622">
        <f>Coin2!A304</f>
        <v>803</v>
      </c>
      <c r="B622">
        <f>Coin2!B304</f>
        <v>3.357948729810778</v>
      </c>
      <c r="C622">
        <f>Coin2!C304</f>
        <v>97.31</v>
      </c>
      <c r="D622">
        <f>Coin2!D304</f>
        <v>37.992275618487284</v>
      </c>
      <c r="E622" t="s">
        <v>45</v>
      </c>
    </row>
    <row r="623" spans="1:5" x14ac:dyDescent="0.35">
      <c r="A623">
        <f>Coin2!A305</f>
        <v>804</v>
      </c>
      <c r="B623">
        <f>Coin2!B305</f>
        <v>6.7160000000000002</v>
      </c>
      <c r="C623">
        <f>Coin2!C305</f>
        <v>97.31</v>
      </c>
      <c r="D623">
        <f>Coin2!D305</f>
        <v>37.992275618487284</v>
      </c>
      <c r="E623" t="s">
        <v>45</v>
      </c>
    </row>
    <row r="624" spans="1:5" x14ac:dyDescent="0.35">
      <c r="A624">
        <f>Coin2!A306</f>
        <v>805</v>
      </c>
      <c r="B624">
        <f>Coin2!B306</f>
        <v>10.247051270189223</v>
      </c>
      <c r="C624">
        <f>Coin2!C306</f>
        <v>97.31</v>
      </c>
      <c r="D624">
        <f>Coin2!D306</f>
        <v>37.992275618487284</v>
      </c>
      <c r="E624" t="s">
        <v>45</v>
      </c>
    </row>
    <row r="625" spans="1:5" x14ac:dyDescent="0.35">
      <c r="A625">
        <f>Coin2!A307</f>
        <v>806</v>
      </c>
      <c r="B625">
        <f>Coin2!B307</f>
        <v>16.96294872981078</v>
      </c>
      <c r="C625">
        <f>Coin2!C307</f>
        <v>97.31</v>
      </c>
      <c r="D625">
        <f>Coin2!D307</f>
        <v>37.992275618487284</v>
      </c>
      <c r="E625" t="s">
        <v>45</v>
      </c>
    </row>
    <row r="626" spans="1:5" x14ac:dyDescent="0.35">
      <c r="A626">
        <f>Coin2!A308</f>
        <v>807</v>
      </c>
      <c r="B626">
        <f>Coin2!B308</f>
        <v>-1.4</v>
      </c>
      <c r="C626">
        <f>Coin2!C308</f>
        <v>80.800000000000011</v>
      </c>
      <c r="D626">
        <f>Coin2!D308</f>
        <v>38.14227561848729</v>
      </c>
      <c r="E626" t="s">
        <v>45</v>
      </c>
    </row>
    <row r="627" spans="1:5" x14ac:dyDescent="0.35">
      <c r="A627">
        <f>Coin2!A309</f>
        <v>808</v>
      </c>
      <c r="B627">
        <f>Coin2!B309</f>
        <v>-1.4</v>
      </c>
      <c r="C627">
        <f>Coin2!C309</f>
        <v>83.493000000000009</v>
      </c>
      <c r="D627">
        <f>Coin2!D309</f>
        <v>38.14227561848729</v>
      </c>
      <c r="E627" t="s">
        <v>45</v>
      </c>
    </row>
    <row r="628" spans="1:5" x14ac:dyDescent="0.35">
      <c r="A628">
        <f>Coin2!A310</f>
        <v>809</v>
      </c>
      <c r="B628">
        <f>Coin2!B310</f>
        <v>-1.4</v>
      </c>
      <c r="C628">
        <f>Coin2!C310</f>
        <v>86.187000000000012</v>
      </c>
      <c r="D628">
        <f>Coin2!D310</f>
        <v>38.14227561848729</v>
      </c>
      <c r="E628" t="s">
        <v>45</v>
      </c>
    </row>
    <row r="629" spans="1:5" x14ac:dyDescent="0.35">
      <c r="A629">
        <f>Coin2!A311</f>
        <v>810</v>
      </c>
      <c r="B629">
        <f>Coin2!B311</f>
        <v>-1.4</v>
      </c>
      <c r="C629">
        <f>Coin2!C311</f>
        <v>88.88000000000001</v>
      </c>
      <c r="D629">
        <f>Coin2!D311</f>
        <v>38.14227561848729</v>
      </c>
      <c r="E629" t="s">
        <v>45</v>
      </c>
    </row>
    <row r="630" spans="1:5" x14ac:dyDescent="0.35">
      <c r="A630">
        <f>Coin2!A312</f>
        <v>811</v>
      </c>
      <c r="B630">
        <f>Coin2!B312</f>
        <v>-1.4</v>
      </c>
      <c r="C630">
        <f>Coin2!C312</f>
        <v>91.573000000000008</v>
      </c>
      <c r="D630">
        <f>Coin2!D312</f>
        <v>38.14227561848729</v>
      </c>
      <c r="E630" t="s">
        <v>45</v>
      </c>
    </row>
    <row r="631" spans="1:5" x14ac:dyDescent="0.35">
      <c r="A631">
        <f>Coin2!A313</f>
        <v>812</v>
      </c>
      <c r="B631">
        <f>Coin2!B313</f>
        <v>-1.4</v>
      </c>
      <c r="C631">
        <f>Coin2!C313</f>
        <v>94.26700000000001</v>
      </c>
      <c r="D631">
        <f>Coin2!D313</f>
        <v>38.14227561848729</v>
      </c>
      <c r="E631" t="s">
        <v>45</v>
      </c>
    </row>
    <row r="632" spans="1:5" x14ac:dyDescent="0.35">
      <c r="A632">
        <f>Coin2!A314</f>
        <v>813</v>
      </c>
      <c r="B632">
        <f>Coin2!B314</f>
        <v>-1.4</v>
      </c>
      <c r="C632">
        <f>Coin2!C314</f>
        <v>96.960000000000008</v>
      </c>
      <c r="D632">
        <f>Coin2!D314</f>
        <v>38.14227561848729</v>
      </c>
      <c r="E632" t="s">
        <v>45</v>
      </c>
    </row>
    <row r="633" spans="1:5" x14ac:dyDescent="0.35">
      <c r="A633">
        <f>Coin2!A315</f>
        <v>814</v>
      </c>
      <c r="B633">
        <f>Coin2!B315</f>
        <v>6.8025000000000002</v>
      </c>
      <c r="C633">
        <f>Coin2!C315</f>
        <v>80.800000000000011</v>
      </c>
      <c r="D633">
        <f>Coin2!D315</f>
        <v>38.292275618487288</v>
      </c>
      <c r="E633" t="s">
        <v>45</v>
      </c>
    </row>
    <row r="634" spans="1:5" x14ac:dyDescent="0.35">
      <c r="A634">
        <f>Coin2!A316</f>
        <v>815</v>
      </c>
      <c r="B634">
        <f>Coin2!B316</f>
        <v>6.8025000000000002</v>
      </c>
      <c r="C634">
        <f>Coin2!C316</f>
        <v>83.493000000000009</v>
      </c>
      <c r="D634">
        <f>Coin2!D316</f>
        <v>38.292275618487288</v>
      </c>
      <c r="E634" t="s">
        <v>45</v>
      </c>
    </row>
    <row r="635" spans="1:5" x14ac:dyDescent="0.35">
      <c r="A635">
        <f>Coin2!A317</f>
        <v>816</v>
      </c>
      <c r="B635">
        <f>Coin2!B317</f>
        <v>6.8025000000000002</v>
      </c>
      <c r="C635">
        <f>Coin2!C317</f>
        <v>86.187000000000012</v>
      </c>
      <c r="D635">
        <f>Coin2!D317</f>
        <v>38.292275618487288</v>
      </c>
      <c r="E635" t="s">
        <v>45</v>
      </c>
    </row>
    <row r="636" spans="1:5" x14ac:dyDescent="0.35">
      <c r="A636">
        <f>Coin2!A318</f>
        <v>817</v>
      </c>
      <c r="B636">
        <f>Coin2!B318</f>
        <v>6.8025000000000002</v>
      </c>
      <c r="C636">
        <f>Coin2!C318</f>
        <v>88.88000000000001</v>
      </c>
      <c r="D636">
        <f>Coin2!D318</f>
        <v>38.292275618487288</v>
      </c>
      <c r="E636" t="s">
        <v>45</v>
      </c>
    </row>
    <row r="637" spans="1:5" x14ac:dyDescent="0.35">
      <c r="A637">
        <f>Coin2!A319</f>
        <v>818</v>
      </c>
      <c r="B637">
        <f>Coin2!B319</f>
        <v>6.8025000000000002</v>
      </c>
      <c r="C637">
        <f>Coin2!C319</f>
        <v>91.573000000000008</v>
      </c>
      <c r="D637">
        <f>Coin2!D319</f>
        <v>38.292275618487288</v>
      </c>
      <c r="E637" t="s">
        <v>45</v>
      </c>
    </row>
    <row r="638" spans="1:5" x14ac:dyDescent="0.35">
      <c r="A638">
        <f>Coin2!A320</f>
        <v>819</v>
      </c>
      <c r="B638">
        <f>Coin2!B320</f>
        <v>6.8025000000000002</v>
      </c>
      <c r="C638">
        <f>Coin2!C320</f>
        <v>94.26700000000001</v>
      </c>
      <c r="D638">
        <f>Coin2!D320</f>
        <v>38.292275618487288</v>
      </c>
      <c r="E638" t="s">
        <v>45</v>
      </c>
    </row>
    <row r="639" spans="1:5" x14ac:dyDescent="0.35">
      <c r="A639">
        <f>Coin2!A321</f>
        <v>820</v>
      </c>
      <c r="B639">
        <f>Coin2!B321</f>
        <v>6.8025000000000002</v>
      </c>
      <c r="C639">
        <f>Coin2!C321</f>
        <v>96.960000000000008</v>
      </c>
      <c r="D639">
        <f>Coin2!D321</f>
        <v>38.292275618487288</v>
      </c>
      <c r="E639" t="s">
        <v>45</v>
      </c>
    </row>
    <row r="640" spans="1:5" x14ac:dyDescent="0.35">
      <c r="A640">
        <f>Coin3!A2</f>
        <v>1001</v>
      </c>
      <c r="B640">
        <f>Coin3!B2</f>
        <v>54.42</v>
      </c>
      <c r="C640">
        <f>Coin3!C2</f>
        <v>0</v>
      </c>
      <c r="D640">
        <f>Coin3!D2</f>
        <v>0</v>
      </c>
      <c r="E640" t="s">
        <v>45</v>
      </c>
    </row>
    <row r="641" spans="1:5" x14ac:dyDescent="0.35">
      <c r="A641">
        <f>Coin3!A3</f>
        <v>1002</v>
      </c>
      <c r="B641">
        <f>Coin3!B3</f>
        <v>68.025000000000006</v>
      </c>
      <c r="C641">
        <f>Coin3!C3</f>
        <v>0</v>
      </c>
      <c r="D641">
        <f>Coin3!D3</f>
        <v>0</v>
      </c>
      <c r="E641" t="s">
        <v>45</v>
      </c>
    </row>
    <row r="642" spans="1:5" x14ac:dyDescent="0.35">
      <c r="A642">
        <f>Coin3!A4</f>
        <v>1003</v>
      </c>
      <c r="B642">
        <f>Coin3!B4</f>
        <v>54.42</v>
      </c>
      <c r="C642">
        <f>Coin3!C4</f>
        <v>16.16</v>
      </c>
      <c r="D642">
        <f>Coin3!D4</f>
        <v>0</v>
      </c>
      <c r="E642" t="s">
        <v>45</v>
      </c>
    </row>
    <row r="643" spans="1:5" x14ac:dyDescent="0.35">
      <c r="A643">
        <f>Coin3!A5</f>
        <v>1004</v>
      </c>
      <c r="B643">
        <f>Coin3!B5</f>
        <v>68.025000000000006</v>
      </c>
      <c r="C643">
        <f>Coin3!C5</f>
        <v>16.16</v>
      </c>
      <c r="D643">
        <f>Coin3!D5</f>
        <v>0</v>
      </c>
      <c r="E643" t="s">
        <v>45</v>
      </c>
    </row>
    <row r="644" spans="1:5" x14ac:dyDescent="0.35">
      <c r="A644">
        <f>Coin3!A6</f>
        <v>1005</v>
      </c>
      <c r="B644">
        <f>Coin3!B6</f>
        <v>54.42</v>
      </c>
      <c r="C644">
        <f>Coin3!C6</f>
        <v>0</v>
      </c>
      <c r="D644">
        <f>Coin3!D6</f>
        <v>8.85</v>
      </c>
      <c r="E644" t="s">
        <v>45</v>
      </c>
    </row>
    <row r="645" spans="1:5" x14ac:dyDescent="0.35">
      <c r="A645">
        <f>Coin3!A7</f>
        <v>1006</v>
      </c>
      <c r="B645">
        <f>Coin3!B7</f>
        <v>61.222000000000008</v>
      </c>
      <c r="C645">
        <f>Coin3!C7</f>
        <v>0</v>
      </c>
      <c r="D645">
        <f>Coin3!D7</f>
        <v>8.85</v>
      </c>
      <c r="E645" t="s">
        <v>45</v>
      </c>
    </row>
    <row r="646" spans="1:5" x14ac:dyDescent="0.35">
      <c r="A646">
        <f>Coin3!A8</f>
        <v>1007</v>
      </c>
      <c r="B646">
        <f>Coin3!B8</f>
        <v>68.025000000000006</v>
      </c>
      <c r="C646">
        <f>Coin3!C8</f>
        <v>0</v>
      </c>
      <c r="D646">
        <f>Coin3!D8</f>
        <v>8.85</v>
      </c>
      <c r="E646" t="s">
        <v>45</v>
      </c>
    </row>
    <row r="647" spans="1:5" x14ac:dyDescent="0.35">
      <c r="A647">
        <f>Coin3!A9</f>
        <v>1008</v>
      </c>
      <c r="B647">
        <f>Coin3!B9</f>
        <v>54.42</v>
      </c>
      <c r="C647">
        <f>Coin3!C9</f>
        <v>8.08</v>
      </c>
      <c r="D647">
        <f>Coin3!D9</f>
        <v>8.85</v>
      </c>
      <c r="E647" t="s">
        <v>45</v>
      </c>
    </row>
    <row r="648" spans="1:5" x14ac:dyDescent="0.35">
      <c r="A648">
        <f>Coin3!A10</f>
        <v>1009</v>
      </c>
      <c r="B648">
        <f>Coin3!B10</f>
        <v>68.025000000000006</v>
      </c>
      <c r="C648">
        <f>Coin3!C10</f>
        <v>8.08</v>
      </c>
      <c r="D648">
        <f>Coin3!D10</f>
        <v>8.85</v>
      </c>
      <c r="E648" t="s">
        <v>45</v>
      </c>
    </row>
    <row r="649" spans="1:5" x14ac:dyDescent="0.35">
      <c r="A649">
        <f>Coin3!A11</f>
        <v>1010</v>
      </c>
      <c r="B649">
        <f>Coin3!B11</f>
        <v>54.42</v>
      </c>
      <c r="C649">
        <f>Coin3!C11</f>
        <v>16.16</v>
      </c>
      <c r="D649">
        <f>Coin3!D11</f>
        <v>8.85</v>
      </c>
      <c r="E649" t="s">
        <v>45</v>
      </c>
    </row>
    <row r="650" spans="1:5" x14ac:dyDescent="0.35">
      <c r="A650">
        <f>Coin3!A12</f>
        <v>1011</v>
      </c>
      <c r="B650">
        <f>Coin3!B12</f>
        <v>61.222000000000008</v>
      </c>
      <c r="C650">
        <f>Coin3!C12</f>
        <v>16.16</v>
      </c>
      <c r="D650">
        <f>Coin3!D12</f>
        <v>8.85</v>
      </c>
      <c r="E650" t="s">
        <v>45</v>
      </c>
    </row>
    <row r="651" spans="1:5" x14ac:dyDescent="0.35">
      <c r="A651">
        <f>Coin3!A13</f>
        <v>1012</v>
      </c>
      <c r="B651">
        <f>Coin3!B13</f>
        <v>68.025000000000006</v>
      </c>
      <c r="C651">
        <f>Coin3!C13</f>
        <v>16.16</v>
      </c>
      <c r="D651">
        <f>Coin3!D13</f>
        <v>8.85</v>
      </c>
      <c r="E651" t="s">
        <v>45</v>
      </c>
    </row>
    <row r="652" spans="1:5" x14ac:dyDescent="0.35">
      <c r="A652">
        <f>Coin3!A14</f>
        <v>1013</v>
      </c>
      <c r="B652">
        <f>Coin3!B14</f>
        <v>54.42</v>
      </c>
      <c r="C652">
        <f>Coin3!C14</f>
        <v>0</v>
      </c>
      <c r="D652">
        <f>Coin3!D14</f>
        <v>17.7</v>
      </c>
      <c r="E652" t="s">
        <v>45</v>
      </c>
    </row>
    <row r="653" spans="1:5" x14ac:dyDescent="0.35">
      <c r="A653">
        <f>Coin3!A15</f>
        <v>1014</v>
      </c>
      <c r="B653">
        <f>Coin3!B15</f>
        <v>61.222000000000008</v>
      </c>
      <c r="C653">
        <f>Coin3!C15</f>
        <v>0</v>
      </c>
      <c r="D653">
        <f>Coin3!D15</f>
        <v>17.7</v>
      </c>
      <c r="E653" t="s">
        <v>45</v>
      </c>
    </row>
    <row r="654" spans="1:5" x14ac:dyDescent="0.35">
      <c r="A654">
        <f>Coin3!A16</f>
        <v>1015</v>
      </c>
      <c r="B654">
        <f>Coin3!B16</f>
        <v>68.025000000000006</v>
      </c>
      <c r="C654">
        <f>Coin3!C16</f>
        <v>0</v>
      </c>
      <c r="D654">
        <f>Coin3!D16</f>
        <v>17.7</v>
      </c>
      <c r="E654" t="s">
        <v>45</v>
      </c>
    </row>
    <row r="655" spans="1:5" x14ac:dyDescent="0.35">
      <c r="A655">
        <f>Coin3!A17</f>
        <v>1016</v>
      </c>
      <c r="B655">
        <f>Coin3!B17</f>
        <v>54.42</v>
      </c>
      <c r="C655">
        <f>Coin3!C17</f>
        <v>8.08</v>
      </c>
      <c r="D655">
        <f>Coin3!D17</f>
        <v>17.7</v>
      </c>
      <c r="E655" t="s">
        <v>45</v>
      </c>
    </row>
    <row r="656" spans="1:5" x14ac:dyDescent="0.35">
      <c r="A656">
        <f>Coin3!A18</f>
        <v>1017</v>
      </c>
      <c r="B656">
        <f>Coin3!B18</f>
        <v>68.025000000000006</v>
      </c>
      <c r="C656">
        <f>Coin3!C18</f>
        <v>8.08</v>
      </c>
      <c r="D656">
        <f>Coin3!D18</f>
        <v>17.7</v>
      </c>
      <c r="E656" t="s">
        <v>45</v>
      </c>
    </row>
    <row r="657" spans="1:5" x14ac:dyDescent="0.35">
      <c r="A657">
        <f>Coin3!A19</f>
        <v>1018</v>
      </c>
      <c r="B657">
        <f>Coin3!B19</f>
        <v>54.42</v>
      </c>
      <c r="C657">
        <f>Coin3!C19</f>
        <v>16.16</v>
      </c>
      <c r="D657">
        <f>Coin3!D19</f>
        <v>17.7</v>
      </c>
      <c r="E657" t="s">
        <v>45</v>
      </c>
    </row>
    <row r="658" spans="1:5" x14ac:dyDescent="0.35">
      <c r="A658">
        <f>Coin3!A20</f>
        <v>1019</v>
      </c>
      <c r="B658">
        <f>Coin3!B20</f>
        <v>61.222000000000008</v>
      </c>
      <c r="C658">
        <f>Coin3!C20</f>
        <v>16.16</v>
      </c>
      <c r="D658">
        <f>Coin3!D20</f>
        <v>17.7</v>
      </c>
      <c r="E658" t="s">
        <v>45</v>
      </c>
    </row>
    <row r="659" spans="1:5" x14ac:dyDescent="0.35">
      <c r="A659">
        <f>Coin3!A21</f>
        <v>1020</v>
      </c>
      <c r="B659">
        <f>Coin3!B21</f>
        <v>68.025000000000006</v>
      </c>
      <c r="C659">
        <f>Coin3!C21</f>
        <v>16.16</v>
      </c>
      <c r="D659">
        <f>Coin3!D21</f>
        <v>17.7</v>
      </c>
      <c r="E659" t="s">
        <v>45</v>
      </c>
    </row>
    <row r="660" spans="1:5" x14ac:dyDescent="0.35">
      <c r="A660">
        <f>Coin3!A22</f>
        <v>1021</v>
      </c>
      <c r="B660">
        <f>Coin3!B22</f>
        <v>54.42</v>
      </c>
      <c r="C660">
        <f>Coin3!C22</f>
        <v>0</v>
      </c>
      <c r="D660">
        <f>Coin3!D22</f>
        <v>24.96</v>
      </c>
      <c r="E660" t="s">
        <v>45</v>
      </c>
    </row>
    <row r="661" spans="1:5" x14ac:dyDescent="0.35">
      <c r="A661">
        <f>Coin3!A23</f>
        <v>1022</v>
      </c>
      <c r="B661">
        <f>Coin3!B23</f>
        <v>68.025000000000006</v>
      </c>
      <c r="C661">
        <f>Coin3!C23</f>
        <v>0</v>
      </c>
      <c r="D661">
        <f>Coin3!D23</f>
        <v>24.96</v>
      </c>
      <c r="E661" t="s">
        <v>45</v>
      </c>
    </row>
    <row r="662" spans="1:5" x14ac:dyDescent="0.35">
      <c r="A662">
        <f>Coin3!A24</f>
        <v>1023</v>
      </c>
      <c r="B662">
        <f>Coin3!B24</f>
        <v>54.42</v>
      </c>
      <c r="C662">
        <f>Coin3!C24</f>
        <v>16.16</v>
      </c>
      <c r="D662">
        <f>Coin3!D24</f>
        <v>24.96</v>
      </c>
      <c r="E662" t="s">
        <v>45</v>
      </c>
    </row>
    <row r="663" spans="1:5" x14ac:dyDescent="0.35">
      <c r="A663">
        <f>Coin3!A25</f>
        <v>1024</v>
      </c>
      <c r="B663">
        <f>Coin3!B25</f>
        <v>68.025000000000006</v>
      </c>
      <c r="C663">
        <f>Coin3!C25</f>
        <v>16.16</v>
      </c>
      <c r="D663">
        <f>Coin3!D25</f>
        <v>24.96</v>
      </c>
      <c r="E663" t="s">
        <v>45</v>
      </c>
    </row>
    <row r="664" spans="1:5" x14ac:dyDescent="0.35">
      <c r="A664">
        <f>Coin3!A26</f>
        <v>1025</v>
      </c>
      <c r="B664">
        <f>Coin3!B26</f>
        <v>54.42</v>
      </c>
      <c r="C664">
        <f>Coin3!C26</f>
        <v>-1.6</v>
      </c>
      <c r="D664">
        <f>Coin3!D26</f>
        <v>26.36</v>
      </c>
      <c r="E664" t="s">
        <v>45</v>
      </c>
    </row>
    <row r="665" spans="1:5" x14ac:dyDescent="0.35">
      <c r="A665">
        <f>Coin3!A27</f>
        <v>1026</v>
      </c>
      <c r="B665">
        <f>Coin3!B27</f>
        <v>55.540000000000006</v>
      </c>
      <c r="C665">
        <f>Coin3!C27</f>
        <v>-1.6</v>
      </c>
      <c r="D665">
        <f>Coin3!D27</f>
        <v>26.36</v>
      </c>
      <c r="E665" t="s">
        <v>45</v>
      </c>
    </row>
    <row r="666" spans="1:5" x14ac:dyDescent="0.35">
      <c r="A666">
        <f>Coin3!A28</f>
        <v>1027</v>
      </c>
      <c r="B666">
        <f>Coin3!B28</f>
        <v>56.657948729810784</v>
      </c>
      <c r="C666">
        <f>Coin3!C28</f>
        <v>-1.6</v>
      </c>
      <c r="D666">
        <f>Coin3!D28</f>
        <v>26.36</v>
      </c>
      <c r="E666" t="s">
        <v>45</v>
      </c>
    </row>
    <row r="667" spans="1:5" x14ac:dyDescent="0.35">
      <c r="A667">
        <f>Coin3!A29</f>
        <v>1028</v>
      </c>
      <c r="B667">
        <f>Coin3!B29</f>
        <v>57.777948729810781</v>
      </c>
      <c r="C667">
        <f>Coin3!C29</f>
        <v>-1.6</v>
      </c>
      <c r="D667">
        <f>Coin3!D29</f>
        <v>26.36</v>
      </c>
      <c r="E667" t="s">
        <v>45</v>
      </c>
    </row>
    <row r="668" spans="1:5" x14ac:dyDescent="0.35">
      <c r="A668">
        <f>Coin3!A30</f>
        <v>1029</v>
      </c>
      <c r="B668">
        <f>Coin3!B30</f>
        <v>58.717948729810786</v>
      </c>
      <c r="C668">
        <f>Coin3!C30</f>
        <v>-1.6</v>
      </c>
      <c r="D668">
        <f>Coin3!D30</f>
        <v>26.36</v>
      </c>
      <c r="E668" t="s">
        <v>45</v>
      </c>
    </row>
    <row r="669" spans="1:5" x14ac:dyDescent="0.35">
      <c r="A669">
        <f>Coin3!A31</f>
        <v>1030</v>
      </c>
      <c r="B669">
        <f>Coin3!B31</f>
        <v>59.667500000000004</v>
      </c>
      <c r="C669">
        <f>Coin3!C31</f>
        <v>-1.6</v>
      </c>
      <c r="D669">
        <f>Coin3!D31</f>
        <v>26.36</v>
      </c>
      <c r="E669" t="s">
        <v>45</v>
      </c>
    </row>
    <row r="670" spans="1:5" x14ac:dyDescent="0.35">
      <c r="A670">
        <f>Coin3!A32</f>
        <v>1031</v>
      </c>
      <c r="B670">
        <f>Coin3!B32</f>
        <v>60.607500000000002</v>
      </c>
      <c r="C670">
        <f>Coin3!C32</f>
        <v>-1.6</v>
      </c>
      <c r="D670">
        <f>Coin3!D32</f>
        <v>26.36</v>
      </c>
      <c r="E670" t="s">
        <v>45</v>
      </c>
    </row>
    <row r="671" spans="1:5" x14ac:dyDescent="0.35">
      <c r="A671">
        <f>Coin3!A33</f>
        <v>1032</v>
      </c>
      <c r="B671">
        <f>Coin3!B33</f>
        <v>61.837500000000006</v>
      </c>
      <c r="C671">
        <f>Coin3!C33</f>
        <v>-1.6</v>
      </c>
      <c r="D671">
        <f>Coin3!D33</f>
        <v>26.36</v>
      </c>
      <c r="E671" t="s">
        <v>45</v>
      </c>
    </row>
    <row r="672" spans="1:5" x14ac:dyDescent="0.35">
      <c r="A672">
        <f>Coin3!A34</f>
        <v>1033</v>
      </c>
      <c r="B672">
        <f>Coin3!B34</f>
        <v>62.777500000000003</v>
      </c>
      <c r="C672">
        <f>Coin3!C34</f>
        <v>-1.6</v>
      </c>
      <c r="D672">
        <f>Coin3!D34</f>
        <v>26.36</v>
      </c>
      <c r="E672" t="s">
        <v>45</v>
      </c>
    </row>
    <row r="673" spans="1:5" x14ac:dyDescent="0.35">
      <c r="A673">
        <f>Coin3!A35</f>
        <v>1034</v>
      </c>
      <c r="B673">
        <f>Coin3!B35</f>
        <v>63.727051270189229</v>
      </c>
      <c r="C673">
        <f>Coin3!C35</f>
        <v>-1.6</v>
      </c>
      <c r="D673">
        <f>Coin3!D35</f>
        <v>26.36</v>
      </c>
      <c r="E673" t="s">
        <v>45</v>
      </c>
    </row>
    <row r="674" spans="1:5" x14ac:dyDescent="0.35">
      <c r="A674">
        <f>Coin3!A36</f>
        <v>1035</v>
      </c>
      <c r="B674">
        <f>Coin3!B36</f>
        <v>64.667051270189233</v>
      </c>
      <c r="C674">
        <f>Coin3!C36</f>
        <v>-1.6</v>
      </c>
      <c r="D674">
        <f>Coin3!D36</f>
        <v>26.36</v>
      </c>
      <c r="E674" t="s">
        <v>45</v>
      </c>
    </row>
    <row r="675" spans="1:5" x14ac:dyDescent="0.35">
      <c r="A675">
        <f>Coin3!A37</f>
        <v>1036</v>
      </c>
      <c r="B675">
        <f>Coin3!B37</f>
        <v>65.787051270189224</v>
      </c>
      <c r="C675">
        <f>Coin3!C37</f>
        <v>-1.6</v>
      </c>
      <c r="D675">
        <f>Coin3!D37</f>
        <v>26.36</v>
      </c>
      <c r="E675" t="s">
        <v>45</v>
      </c>
    </row>
    <row r="676" spans="1:5" x14ac:dyDescent="0.35">
      <c r="A676">
        <f>Coin3!A38</f>
        <v>1037</v>
      </c>
      <c r="B676">
        <f>Coin3!B38</f>
        <v>66.905000000000001</v>
      </c>
      <c r="C676">
        <f>Coin3!C38</f>
        <v>-1.6</v>
      </c>
      <c r="D676">
        <f>Coin3!D38</f>
        <v>26.36</v>
      </c>
      <c r="E676" t="s">
        <v>45</v>
      </c>
    </row>
    <row r="677" spans="1:5" x14ac:dyDescent="0.35">
      <c r="A677">
        <f>Coin3!A39</f>
        <v>1038</v>
      </c>
      <c r="B677">
        <f>Coin3!B39</f>
        <v>68.025000000000006</v>
      </c>
      <c r="C677">
        <f>Coin3!C39</f>
        <v>-1.6</v>
      </c>
      <c r="D677">
        <f>Coin3!D39</f>
        <v>26.36</v>
      </c>
      <c r="E677" t="s">
        <v>45</v>
      </c>
    </row>
    <row r="678" spans="1:5" x14ac:dyDescent="0.35">
      <c r="A678">
        <f>Coin3!A40</f>
        <v>1039</v>
      </c>
      <c r="B678">
        <f>Coin3!B40</f>
        <v>69.425000000000011</v>
      </c>
      <c r="C678">
        <f>Coin3!C40</f>
        <v>-1.6</v>
      </c>
      <c r="D678">
        <f>Coin3!D40</f>
        <v>26.36</v>
      </c>
      <c r="E678" t="s">
        <v>45</v>
      </c>
    </row>
    <row r="679" spans="1:5" x14ac:dyDescent="0.35">
      <c r="A679">
        <f>Coin3!A41</f>
        <v>1040</v>
      </c>
      <c r="B679">
        <f>Coin3!B41</f>
        <v>57.777948729810781</v>
      </c>
      <c r="C679">
        <f>Coin3!C41</f>
        <v>-0.35</v>
      </c>
      <c r="D679">
        <f>Coin3!D41</f>
        <v>26.36</v>
      </c>
      <c r="E679" t="s">
        <v>45</v>
      </c>
    </row>
    <row r="680" spans="1:5" x14ac:dyDescent="0.35">
      <c r="A680">
        <f>Coin3!A42</f>
        <v>1041</v>
      </c>
      <c r="B680">
        <f>Coin3!B42</f>
        <v>60.607500000000002</v>
      </c>
      <c r="C680">
        <f>Coin3!C42</f>
        <v>-0.35</v>
      </c>
      <c r="D680">
        <f>Coin3!D42</f>
        <v>26.36</v>
      </c>
      <c r="E680" t="s">
        <v>45</v>
      </c>
    </row>
    <row r="681" spans="1:5" x14ac:dyDescent="0.35">
      <c r="A681">
        <f>Coin3!A43</f>
        <v>1042</v>
      </c>
      <c r="B681">
        <f>Coin3!B43</f>
        <v>61.837500000000006</v>
      </c>
      <c r="C681">
        <f>Coin3!C43</f>
        <v>-0.35</v>
      </c>
      <c r="D681">
        <f>Coin3!D43</f>
        <v>26.36</v>
      </c>
      <c r="E681" t="s">
        <v>45</v>
      </c>
    </row>
    <row r="682" spans="1:5" x14ac:dyDescent="0.35">
      <c r="A682">
        <f>Coin3!A44</f>
        <v>1043</v>
      </c>
      <c r="B682">
        <f>Coin3!B44</f>
        <v>64.667051270189233</v>
      </c>
      <c r="C682">
        <f>Coin3!C44</f>
        <v>-0.35</v>
      </c>
      <c r="D682">
        <f>Coin3!D44</f>
        <v>26.36</v>
      </c>
      <c r="E682" t="s">
        <v>45</v>
      </c>
    </row>
    <row r="683" spans="1:5" x14ac:dyDescent="0.35">
      <c r="A683">
        <f>Coin3!A45</f>
        <v>1044</v>
      </c>
      <c r="B683">
        <f>Coin3!B45</f>
        <v>68.025000000000006</v>
      </c>
      <c r="C683">
        <f>Coin3!C45</f>
        <v>-0.35</v>
      </c>
      <c r="D683">
        <f>Coin3!D45</f>
        <v>26.36</v>
      </c>
      <c r="E683" t="s">
        <v>45</v>
      </c>
    </row>
    <row r="684" spans="1:5" x14ac:dyDescent="0.35">
      <c r="A684">
        <f>Coin3!A46</f>
        <v>1045</v>
      </c>
      <c r="B684">
        <f>Coin3!B46</f>
        <v>69.425000000000011</v>
      </c>
      <c r="C684">
        <f>Coin3!C46</f>
        <v>-0.35</v>
      </c>
      <c r="D684">
        <f>Coin3!D46</f>
        <v>26.36</v>
      </c>
      <c r="E684" t="s">
        <v>45</v>
      </c>
    </row>
    <row r="685" spans="1:5" x14ac:dyDescent="0.35">
      <c r="A685">
        <f>Coin3!A47</f>
        <v>1046</v>
      </c>
      <c r="B685">
        <f>Coin3!B47</f>
        <v>54.42</v>
      </c>
      <c r="C685">
        <f>Coin3!C47</f>
        <v>0</v>
      </c>
      <c r="D685">
        <f>Coin3!D47</f>
        <v>26.36</v>
      </c>
      <c r="E685" t="s">
        <v>45</v>
      </c>
    </row>
    <row r="686" spans="1:5" x14ac:dyDescent="0.35">
      <c r="A686">
        <f>Coin3!A48</f>
        <v>1047</v>
      </c>
      <c r="B686">
        <f>Coin3!B48</f>
        <v>55.540000000000006</v>
      </c>
      <c r="C686">
        <f>Coin3!C48</f>
        <v>0</v>
      </c>
      <c r="D686">
        <f>Coin3!D48</f>
        <v>26.36</v>
      </c>
      <c r="E686" t="s">
        <v>45</v>
      </c>
    </row>
    <row r="687" spans="1:5" x14ac:dyDescent="0.35">
      <c r="A687">
        <f>Coin3!A49</f>
        <v>1048</v>
      </c>
      <c r="B687">
        <f>Coin3!B49</f>
        <v>56.474624462656628</v>
      </c>
      <c r="C687">
        <f>Coin3!C49</f>
        <v>0</v>
      </c>
      <c r="D687">
        <f>Coin3!D49</f>
        <v>26.36</v>
      </c>
      <c r="E687" t="s">
        <v>45</v>
      </c>
    </row>
    <row r="688" spans="1:5" x14ac:dyDescent="0.35">
      <c r="A688">
        <f>Coin3!A50</f>
        <v>1049</v>
      </c>
      <c r="B688">
        <f>Coin3!B50</f>
        <v>56.657948729810784</v>
      </c>
      <c r="C688">
        <f>Coin3!C50</f>
        <v>0</v>
      </c>
      <c r="D688">
        <f>Coin3!D50</f>
        <v>26.36</v>
      </c>
      <c r="E688" t="s">
        <v>45</v>
      </c>
    </row>
    <row r="689" spans="1:5" x14ac:dyDescent="0.35">
      <c r="A689">
        <f>Coin3!A51</f>
        <v>1050</v>
      </c>
      <c r="B689">
        <f>Coin3!B51</f>
        <v>57.777948729810781</v>
      </c>
      <c r="C689">
        <f>Coin3!C51</f>
        <v>0</v>
      </c>
      <c r="D689">
        <f>Coin3!D51</f>
        <v>26.36</v>
      </c>
      <c r="E689" t="s">
        <v>45</v>
      </c>
    </row>
    <row r="690" spans="1:5" x14ac:dyDescent="0.35">
      <c r="A690">
        <f>Coin3!A52</f>
        <v>1051</v>
      </c>
      <c r="B690">
        <f>Coin3!B52</f>
        <v>58.529248925313254</v>
      </c>
      <c r="C690">
        <f>Coin3!C52</f>
        <v>0</v>
      </c>
      <c r="D690">
        <f>Coin3!D52</f>
        <v>26.36</v>
      </c>
      <c r="E690" t="s">
        <v>45</v>
      </c>
    </row>
    <row r="691" spans="1:5" x14ac:dyDescent="0.35">
      <c r="A691">
        <f>Coin3!A53</f>
        <v>1052</v>
      </c>
      <c r="B691">
        <f>Coin3!B53</f>
        <v>58.717948729810786</v>
      </c>
      <c r="C691">
        <f>Coin3!C53</f>
        <v>0</v>
      </c>
      <c r="D691">
        <f>Coin3!D53</f>
        <v>26.36</v>
      </c>
      <c r="E691" t="s">
        <v>45</v>
      </c>
    </row>
    <row r="692" spans="1:5" x14ac:dyDescent="0.35">
      <c r="A692">
        <f>Coin3!A54</f>
        <v>1053</v>
      </c>
      <c r="B692">
        <f>Coin3!B54</f>
        <v>59.667500000000004</v>
      </c>
      <c r="C692">
        <f>Coin3!C54</f>
        <v>0</v>
      </c>
      <c r="D692">
        <f>Coin3!D54</f>
        <v>26.36</v>
      </c>
      <c r="E692" t="s">
        <v>45</v>
      </c>
    </row>
    <row r="693" spans="1:5" x14ac:dyDescent="0.35">
      <c r="A693">
        <f>Coin3!A55</f>
        <v>1054</v>
      </c>
      <c r="B693">
        <f>Coin3!B55</f>
        <v>60.583873387969874</v>
      </c>
      <c r="C693">
        <f>Coin3!C55</f>
        <v>0</v>
      </c>
      <c r="D693">
        <f>Coin3!D55</f>
        <v>26.36</v>
      </c>
      <c r="E693" t="s">
        <v>45</v>
      </c>
    </row>
    <row r="694" spans="1:5" x14ac:dyDescent="0.35">
      <c r="A694">
        <f>Coin3!A56</f>
        <v>1055</v>
      </c>
      <c r="B694">
        <f>Coin3!B56</f>
        <v>60.372500000000002</v>
      </c>
      <c r="C694">
        <f>Coin3!C56</f>
        <v>0</v>
      </c>
      <c r="D694">
        <f>Coin3!D56</f>
        <v>26.36</v>
      </c>
      <c r="E694" t="s">
        <v>45</v>
      </c>
    </row>
    <row r="695" spans="1:5" x14ac:dyDescent="0.35">
      <c r="A695">
        <f>Coin3!A57</f>
        <v>1056</v>
      </c>
      <c r="B695">
        <f>Coin3!B57</f>
        <v>60.607500000000002</v>
      </c>
      <c r="C695">
        <f>Coin3!C57</f>
        <v>0</v>
      </c>
      <c r="D695">
        <f>Coin3!D57</f>
        <v>26.36</v>
      </c>
      <c r="E695" t="s">
        <v>45</v>
      </c>
    </row>
    <row r="696" spans="1:5" x14ac:dyDescent="0.35">
      <c r="A696">
        <f>Coin3!A58</f>
        <v>1057</v>
      </c>
      <c r="B696">
        <f>Coin3!B58</f>
        <v>61.222500000000004</v>
      </c>
      <c r="C696">
        <f>Coin3!C58</f>
        <v>0</v>
      </c>
      <c r="D696">
        <f>Coin3!D58</f>
        <v>26.36</v>
      </c>
      <c r="E696" t="s">
        <v>45</v>
      </c>
    </row>
    <row r="697" spans="1:5" x14ac:dyDescent="0.35">
      <c r="A697">
        <f>Coin3!A59</f>
        <v>1058</v>
      </c>
      <c r="B697">
        <f>Coin3!B59</f>
        <v>61.837500000000006</v>
      </c>
      <c r="C697">
        <f>Coin3!C59</f>
        <v>0</v>
      </c>
      <c r="D697">
        <f>Coin3!D59</f>
        <v>26.36</v>
      </c>
      <c r="E697" t="s">
        <v>45</v>
      </c>
    </row>
    <row r="698" spans="1:5" x14ac:dyDescent="0.35">
      <c r="A698">
        <f>Coin3!A60</f>
        <v>1059</v>
      </c>
      <c r="B698">
        <f>Coin3!B60</f>
        <v>62.072500000000005</v>
      </c>
      <c r="C698">
        <f>Coin3!C60</f>
        <v>0</v>
      </c>
      <c r="D698">
        <f>Coin3!D60</f>
        <v>26.36</v>
      </c>
      <c r="E698" t="s">
        <v>45</v>
      </c>
    </row>
    <row r="699" spans="1:5" x14ac:dyDescent="0.35">
      <c r="A699">
        <f>Coin3!A61</f>
        <v>1060</v>
      </c>
      <c r="B699">
        <f>Coin3!B61</f>
        <v>61.861126612030134</v>
      </c>
      <c r="C699">
        <f>Coin3!C61</f>
        <v>0</v>
      </c>
      <c r="D699">
        <f>Coin3!D61</f>
        <v>26.36</v>
      </c>
      <c r="E699" t="s">
        <v>45</v>
      </c>
    </row>
    <row r="700" spans="1:5" x14ac:dyDescent="0.35">
      <c r="A700">
        <f>Coin3!A62</f>
        <v>1061</v>
      </c>
      <c r="B700">
        <f>Coin3!B62</f>
        <v>62.777500000000003</v>
      </c>
      <c r="C700">
        <f>Coin3!C62</f>
        <v>0</v>
      </c>
      <c r="D700">
        <f>Coin3!D62</f>
        <v>26.36</v>
      </c>
      <c r="E700" t="s">
        <v>45</v>
      </c>
    </row>
    <row r="701" spans="1:5" x14ac:dyDescent="0.35">
      <c r="A701">
        <f>Coin3!A63</f>
        <v>1062</v>
      </c>
      <c r="B701">
        <f>Coin3!B63</f>
        <v>63.727051270189229</v>
      </c>
      <c r="C701">
        <f>Coin3!C63</f>
        <v>0</v>
      </c>
      <c r="D701">
        <f>Coin3!D63</f>
        <v>26.36</v>
      </c>
      <c r="E701" t="s">
        <v>45</v>
      </c>
    </row>
    <row r="702" spans="1:5" x14ac:dyDescent="0.35">
      <c r="A702">
        <f>Coin3!A64</f>
        <v>1063</v>
      </c>
      <c r="B702">
        <f>Coin3!B64</f>
        <v>63.91575107468676</v>
      </c>
      <c r="C702">
        <f>Coin3!C64</f>
        <v>0</v>
      </c>
      <c r="D702">
        <f>Coin3!D64</f>
        <v>26.36</v>
      </c>
      <c r="E702" t="s">
        <v>45</v>
      </c>
    </row>
    <row r="703" spans="1:5" x14ac:dyDescent="0.35">
      <c r="A703">
        <f>Coin3!A65</f>
        <v>1064</v>
      </c>
      <c r="B703">
        <f>Coin3!B65</f>
        <v>64.667051270189233</v>
      </c>
      <c r="C703">
        <f>Coin3!C65</f>
        <v>0</v>
      </c>
      <c r="D703">
        <f>Coin3!D65</f>
        <v>26.36</v>
      </c>
      <c r="E703" t="s">
        <v>45</v>
      </c>
    </row>
    <row r="704" spans="1:5" x14ac:dyDescent="0.35">
      <c r="A704">
        <f>Coin3!A66</f>
        <v>1065</v>
      </c>
      <c r="B704">
        <f>Coin3!B66</f>
        <v>65.787051270189224</v>
      </c>
      <c r="C704">
        <f>Coin3!C66</f>
        <v>0</v>
      </c>
      <c r="D704">
        <f>Coin3!D66</f>
        <v>26.36</v>
      </c>
      <c r="E704" t="s">
        <v>45</v>
      </c>
    </row>
    <row r="705" spans="1:5" x14ac:dyDescent="0.35">
      <c r="A705">
        <f>Coin3!A67</f>
        <v>1066</v>
      </c>
      <c r="B705">
        <f>Coin3!B67</f>
        <v>65.970375537343386</v>
      </c>
      <c r="C705">
        <f>Coin3!C67</f>
        <v>0</v>
      </c>
      <c r="D705">
        <f>Coin3!D67</f>
        <v>26.36</v>
      </c>
      <c r="E705" t="s">
        <v>45</v>
      </c>
    </row>
    <row r="706" spans="1:5" x14ac:dyDescent="0.35">
      <c r="A706">
        <f>Coin3!A68</f>
        <v>1067</v>
      </c>
      <c r="B706">
        <f>Coin3!B68</f>
        <v>66.905000000000001</v>
      </c>
      <c r="C706">
        <f>Coin3!C68</f>
        <v>0</v>
      </c>
      <c r="D706">
        <f>Coin3!D68</f>
        <v>26.36</v>
      </c>
      <c r="E706" t="s">
        <v>45</v>
      </c>
    </row>
    <row r="707" spans="1:5" x14ac:dyDescent="0.35">
      <c r="A707">
        <f>Coin3!A69</f>
        <v>1068</v>
      </c>
      <c r="B707">
        <f>Coin3!B69</f>
        <v>68.025000000000006</v>
      </c>
      <c r="C707">
        <f>Coin3!C69</f>
        <v>0</v>
      </c>
      <c r="D707">
        <f>Coin3!D69</f>
        <v>26.36</v>
      </c>
      <c r="E707" t="s">
        <v>45</v>
      </c>
    </row>
    <row r="708" spans="1:5" x14ac:dyDescent="0.35">
      <c r="A708">
        <f>Coin3!A70</f>
        <v>1069</v>
      </c>
      <c r="B708">
        <f>Coin3!B70</f>
        <v>69.425000000000011</v>
      </c>
      <c r="C708">
        <f>Coin3!C70</f>
        <v>0</v>
      </c>
      <c r="D708">
        <f>Coin3!D70</f>
        <v>26.36</v>
      </c>
      <c r="E708" t="s">
        <v>45</v>
      </c>
    </row>
    <row r="709" spans="1:5" x14ac:dyDescent="0.35">
      <c r="A709">
        <f>Coin3!A71</f>
        <v>1070</v>
      </c>
      <c r="B709">
        <f>Coin3!B71</f>
        <v>58.668873387969874</v>
      </c>
      <c r="C709">
        <f>Coin3!C71</f>
        <v>1.9150000000000005</v>
      </c>
      <c r="D709">
        <f>Coin3!D71</f>
        <v>26.36</v>
      </c>
      <c r="E709" t="s">
        <v>45</v>
      </c>
    </row>
    <row r="710" spans="1:5" x14ac:dyDescent="0.35">
      <c r="A710">
        <f>Coin3!A72</f>
        <v>1071</v>
      </c>
      <c r="B710">
        <f>Coin3!B72</f>
        <v>61.222500000000004</v>
      </c>
      <c r="C710">
        <f>Coin3!C72</f>
        <v>1.9150000000000005</v>
      </c>
      <c r="D710">
        <f>Coin3!D72</f>
        <v>26.36</v>
      </c>
      <c r="E710" t="s">
        <v>45</v>
      </c>
    </row>
    <row r="711" spans="1:5" x14ac:dyDescent="0.35">
      <c r="A711">
        <f>Coin3!A73</f>
        <v>1072</v>
      </c>
      <c r="B711">
        <f>Coin3!B73</f>
        <v>63.77612661203014</v>
      </c>
      <c r="C711">
        <f>Coin3!C73</f>
        <v>1.9150000000000005</v>
      </c>
      <c r="D711">
        <f>Coin3!D73</f>
        <v>26.36</v>
      </c>
      <c r="E711" t="s">
        <v>45</v>
      </c>
    </row>
    <row r="712" spans="1:5" x14ac:dyDescent="0.35">
      <c r="A712">
        <f>Coin3!A74</f>
        <v>1073</v>
      </c>
      <c r="B712">
        <f>Coin3!B74</f>
        <v>61.222500000000004</v>
      </c>
      <c r="C712">
        <f>Coin3!C74</f>
        <v>2.2300000000000004</v>
      </c>
      <c r="D712">
        <f>Coin3!D74</f>
        <v>26.36</v>
      </c>
      <c r="E712" t="s">
        <v>45</v>
      </c>
    </row>
    <row r="713" spans="1:5" x14ac:dyDescent="0.35">
      <c r="A713">
        <f>Coin3!A75</f>
        <v>1074</v>
      </c>
      <c r="B713">
        <f>Coin3!B75</f>
        <v>54.42</v>
      </c>
      <c r="C713">
        <f>Coin3!C75</f>
        <v>2.0546244626566232</v>
      </c>
      <c r="D713">
        <f>Coin3!D75</f>
        <v>26.36</v>
      </c>
      <c r="E713" t="s">
        <v>45</v>
      </c>
    </row>
    <row r="714" spans="1:5" x14ac:dyDescent="0.35">
      <c r="A714">
        <f>Coin3!A76</f>
        <v>1075</v>
      </c>
      <c r="B714">
        <f>Coin3!B76</f>
        <v>68.025000000000006</v>
      </c>
      <c r="C714">
        <f>Coin3!C76</f>
        <v>2.0546244626566232</v>
      </c>
      <c r="D714">
        <f>Coin3!D76</f>
        <v>26.36</v>
      </c>
      <c r="E714" t="s">
        <v>45</v>
      </c>
    </row>
    <row r="715" spans="1:5" x14ac:dyDescent="0.35">
      <c r="A715">
        <f>Coin3!A77</f>
        <v>1076</v>
      </c>
      <c r="B715">
        <f>Coin3!B77</f>
        <v>55.83550000000001</v>
      </c>
      <c r="C715">
        <f>Coin3!C77</f>
        <v>2.6930000000000005</v>
      </c>
      <c r="D715">
        <f>Coin3!D77</f>
        <v>26.36</v>
      </c>
      <c r="E715" t="s">
        <v>45</v>
      </c>
    </row>
    <row r="716" spans="1:5" x14ac:dyDescent="0.35">
      <c r="A716">
        <f>Coin3!A78</f>
        <v>1077</v>
      </c>
      <c r="B716">
        <f>Coin3!B78</f>
        <v>66.609500000000011</v>
      </c>
      <c r="C716">
        <f>Coin3!C78</f>
        <v>2.6930000000000005</v>
      </c>
      <c r="D716">
        <f>Coin3!D78</f>
        <v>26.36</v>
      </c>
      <c r="E716" t="s">
        <v>45</v>
      </c>
    </row>
    <row r="717" spans="1:5" x14ac:dyDescent="0.35">
      <c r="A717">
        <f>Coin3!A79</f>
        <v>1078</v>
      </c>
      <c r="B717">
        <f>Coin3!B79</f>
        <v>68.025000000000006</v>
      </c>
      <c r="C717">
        <f>Coin3!C79</f>
        <v>2.6930000000000001</v>
      </c>
      <c r="D717">
        <f>Coin3!D79</f>
        <v>26.36</v>
      </c>
      <c r="E717" t="s">
        <v>45</v>
      </c>
    </row>
    <row r="718" spans="1:5" x14ac:dyDescent="0.35">
      <c r="A718">
        <f>Coin3!A80</f>
        <v>1079</v>
      </c>
      <c r="B718">
        <f>Coin3!B80</f>
        <v>69.425000000000011</v>
      </c>
      <c r="C718">
        <f>Coin3!C80</f>
        <v>2.6930000000000001</v>
      </c>
      <c r="D718">
        <f>Coin3!D80</f>
        <v>26.36</v>
      </c>
      <c r="E718" t="s">
        <v>45</v>
      </c>
    </row>
    <row r="719" spans="1:5" x14ac:dyDescent="0.35">
      <c r="A719">
        <f>Coin3!A81</f>
        <v>1080</v>
      </c>
      <c r="B719">
        <f>Coin3!B81</f>
        <v>56.863500000000002</v>
      </c>
      <c r="C719">
        <f>Coin3!C81</f>
        <v>3.7210000000000001</v>
      </c>
      <c r="D719">
        <f>Coin3!D81</f>
        <v>26.36</v>
      </c>
      <c r="E719" t="s">
        <v>45</v>
      </c>
    </row>
    <row r="720" spans="1:5" x14ac:dyDescent="0.35">
      <c r="A720">
        <f>Coin3!A82</f>
        <v>1081</v>
      </c>
      <c r="B720">
        <f>Coin3!B82</f>
        <v>65.581500000000005</v>
      </c>
      <c r="C720">
        <f>Coin3!C82</f>
        <v>3.7210000000000001</v>
      </c>
      <c r="D720">
        <f>Coin3!D82</f>
        <v>26.36</v>
      </c>
      <c r="E720" t="s">
        <v>45</v>
      </c>
    </row>
    <row r="721" spans="1:5" x14ac:dyDescent="0.35">
      <c r="A721">
        <f>Coin3!A83</f>
        <v>1082</v>
      </c>
      <c r="B721">
        <f>Coin3!B83</f>
        <v>57.08550000000001</v>
      </c>
      <c r="C721">
        <f>Coin3!C83</f>
        <v>3.9430000000000005</v>
      </c>
      <c r="D721">
        <f>Coin3!D83</f>
        <v>26.36</v>
      </c>
      <c r="E721" t="s">
        <v>45</v>
      </c>
    </row>
    <row r="722" spans="1:5" x14ac:dyDescent="0.35">
      <c r="A722">
        <f>Coin3!A84</f>
        <v>1083</v>
      </c>
      <c r="B722">
        <f>Coin3!B84</f>
        <v>65.359500000000011</v>
      </c>
      <c r="C722">
        <f>Coin3!C84</f>
        <v>3.9430000000000005</v>
      </c>
      <c r="D722">
        <f>Coin3!D84</f>
        <v>26.36</v>
      </c>
      <c r="E722" t="s">
        <v>45</v>
      </c>
    </row>
    <row r="723" spans="1:5" x14ac:dyDescent="0.35">
      <c r="A723">
        <f>Coin3!A85</f>
        <v>1084</v>
      </c>
      <c r="B723">
        <f>Coin3!B85</f>
        <v>54.42</v>
      </c>
      <c r="C723">
        <f>Coin3!C85</f>
        <v>4.1092489253132465</v>
      </c>
      <c r="D723">
        <f>Coin3!D85</f>
        <v>26.36</v>
      </c>
      <c r="E723" t="s">
        <v>45</v>
      </c>
    </row>
    <row r="724" spans="1:5" x14ac:dyDescent="0.35">
      <c r="A724">
        <f>Coin3!A86</f>
        <v>1085</v>
      </c>
      <c r="B724">
        <f>Coin3!B86</f>
        <v>68.025000000000006</v>
      </c>
      <c r="C724">
        <f>Coin3!C86</f>
        <v>4.1092489253132465</v>
      </c>
      <c r="D724">
        <f>Coin3!D86</f>
        <v>26.36</v>
      </c>
      <c r="E724" t="s">
        <v>45</v>
      </c>
    </row>
    <row r="725" spans="1:5" x14ac:dyDescent="0.35">
      <c r="A725">
        <f>Coin3!A87</f>
        <v>1086</v>
      </c>
      <c r="B725">
        <f>Coin3!B87</f>
        <v>55.057500000000005</v>
      </c>
      <c r="C725">
        <f>Coin3!C87</f>
        <v>5.5263733879698691</v>
      </c>
      <c r="D725">
        <f>Coin3!D87</f>
        <v>26.36</v>
      </c>
      <c r="E725" t="s">
        <v>45</v>
      </c>
    </row>
    <row r="726" spans="1:5" x14ac:dyDescent="0.35">
      <c r="A726">
        <f>Coin3!A88</f>
        <v>1087</v>
      </c>
      <c r="B726">
        <f>Coin3!B88</f>
        <v>67.387500000000003</v>
      </c>
      <c r="C726">
        <f>Coin3!C88</f>
        <v>5.5263733879698691</v>
      </c>
      <c r="D726">
        <f>Coin3!D88</f>
        <v>26.36</v>
      </c>
      <c r="E726" t="s">
        <v>45</v>
      </c>
    </row>
    <row r="727" spans="1:5" x14ac:dyDescent="0.35">
      <c r="A727">
        <f>Coin3!A89</f>
        <v>1088</v>
      </c>
      <c r="B727">
        <f>Coin3!B89</f>
        <v>68.025000000000006</v>
      </c>
      <c r="C727">
        <f>Coin3!C89</f>
        <v>5.3869999999999996</v>
      </c>
      <c r="D727">
        <f>Coin3!D89</f>
        <v>26.36</v>
      </c>
      <c r="E727" t="s">
        <v>45</v>
      </c>
    </row>
    <row r="728" spans="1:5" x14ac:dyDescent="0.35">
      <c r="A728">
        <f>Coin3!A90</f>
        <v>1089</v>
      </c>
      <c r="B728">
        <f>Coin3!B90</f>
        <v>69.425000000000011</v>
      </c>
      <c r="C728">
        <f>Coin3!C90</f>
        <v>5.3869999999999996</v>
      </c>
      <c r="D728">
        <f>Coin3!D90</f>
        <v>26.36</v>
      </c>
      <c r="E728" t="s">
        <v>45</v>
      </c>
    </row>
    <row r="729" spans="1:5" x14ac:dyDescent="0.35">
      <c r="A729">
        <f>Coin3!A91</f>
        <v>1090</v>
      </c>
      <c r="B729">
        <f>Coin3!B91</f>
        <v>54.42</v>
      </c>
      <c r="C729">
        <f>Coin3!C91</f>
        <v>6.1638733879698702</v>
      </c>
      <c r="D729">
        <f>Coin3!D91</f>
        <v>26.36</v>
      </c>
      <c r="E729" t="s">
        <v>45</v>
      </c>
    </row>
    <row r="730" spans="1:5" x14ac:dyDescent="0.35">
      <c r="A730">
        <f>Coin3!A92</f>
        <v>1091</v>
      </c>
      <c r="B730">
        <f>Coin3!B92</f>
        <v>68.025000000000006</v>
      </c>
      <c r="C730">
        <f>Coin3!C92</f>
        <v>6.1638733879698702</v>
      </c>
      <c r="D730">
        <f>Coin3!D92</f>
        <v>26.36</v>
      </c>
      <c r="E730" t="s">
        <v>45</v>
      </c>
    </row>
    <row r="731" spans="1:5" x14ac:dyDescent="0.35">
      <c r="A731">
        <f>Coin3!A93</f>
        <v>1092</v>
      </c>
      <c r="B731">
        <f>Coin3!B93</f>
        <v>54.42</v>
      </c>
      <c r="C731">
        <f>Coin3!C93</f>
        <v>8.08</v>
      </c>
      <c r="D731">
        <f>Coin3!D93</f>
        <v>26.36</v>
      </c>
      <c r="E731" t="s">
        <v>45</v>
      </c>
    </row>
    <row r="732" spans="1:5" x14ac:dyDescent="0.35">
      <c r="A732">
        <f>Coin3!A94</f>
        <v>1093</v>
      </c>
      <c r="B732">
        <f>Coin3!B94</f>
        <v>55.057500000000005</v>
      </c>
      <c r="C732">
        <f>Coin3!C94</f>
        <v>8.08</v>
      </c>
      <c r="D732">
        <f>Coin3!D94</f>
        <v>26.36</v>
      </c>
      <c r="E732" t="s">
        <v>45</v>
      </c>
    </row>
    <row r="733" spans="1:5" x14ac:dyDescent="0.35">
      <c r="A733">
        <f>Coin3!A95</f>
        <v>1094</v>
      </c>
      <c r="B733">
        <f>Coin3!B95</f>
        <v>55.372500000000002</v>
      </c>
      <c r="C733">
        <f>Coin3!C95</f>
        <v>8.08</v>
      </c>
      <c r="D733">
        <f>Coin3!D95</f>
        <v>26.36</v>
      </c>
      <c r="E733" t="s">
        <v>45</v>
      </c>
    </row>
    <row r="734" spans="1:5" x14ac:dyDescent="0.35">
      <c r="A734">
        <f>Coin3!A96</f>
        <v>1095</v>
      </c>
      <c r="B734">
        <f>Coin3!B96</f>
        <v>67.072500000000005</v>
      </c>
      <c r="C734">
        <f>Coin3!C96</f>
        <v>8.08</v>
      </c>
      <c r="D734">
        <f>Coin3!D96</f>
        <v>26.36</v>
      </c>
      <c r="E734" t="s">
        <v>45</v>
      </c>
    </row>
    <row r="735" spans="1:5" x14ac:dyDescent="0.35">
      <c r="A735">
        <f>Coin3!A97</f>
        <v>1096</v>
      </c>
      <c r="B735">
        <f>Coin3!B97</f>
        <v>67.387500000000003</v>
      </c>
      <c r="C735">
        <f>Coin3!C97</f>
        <v>8.08</v>
      </c>
      <c r="D735">
        <f>Coin3!D97</f>
        <v>26.36</v>
      </c>
      <c r="E735" t="s">
        <v>45</v>
      </c>
    </row>
    <row r="736" spans="1:5" x14ac:dyDescent="0.35">
      <c r="A736">
        <f>Coin3!A98</f>
        <v>1097</v>
      </c>
      <c r="B736">
        <f>Coin3!B98</f>
        <v>68.025000000000006</v>
      </c>
      <c r="C736">
        <f>Coin3!C98</f>
        <v>8.08</v>
      </c>
      <c r="D736">
        <f>Coin3!D98</f>
        <v>26.36</v>
      </c>
      <c r="E736" t="s">
        <v>45</v>
      </c>
    </row>
    <row r="737" spans="1:5" x14ac:dyDescent="0.35">
      <c r="A737">
        <f>Coin3!A99</f>
        <v>1098</v>
      </c>
      <c r="B737">
        <f>Coin3!B99</f>
        <v>69.425000000000011</v>
      </c>
      <c r="C737">
        <f>Coin3!C99</f>
        <v>8.08</v>
      </c>
      <c r="D737">
        <f>Coin3!D99</f>
        <v>26.36</v>
      </c>
      <c r="E737" t="s">
        <v>45</v>
      </c>
    </row>
    <row r="738" spans="1:5" x14ac:dyDescent="0.35">
      <c r="A738">
        <f>Coin3!A100</f>
        <v>1099</v>
      </c>
      <c r="B738">
        <f>Coin3!B100</f>
        <v>54.42</v>
      </c>
      <c r="C738">
        <f>Coin3!C100</f>
        <v>9.9961266120301318</v>
      </c>
      <c r="D738">
        <f>Coin3!D100</f>
        <v>26.36</v>
      </c>
      <c r="E738" t="s">
        <v>45</v>
      </c>
    </row>
    <row r="739" spans="1:5" x14ac:dyDescent="0.35">
      <c r="A739">
        <f>Coin3!A101</f>
        <v>1100</v>
      </c>
      <c r="B739">
        <f>Coin3!B101</f>
        <v>68.025000000000006</v>
      </c>
      <c r="C739">
        <f>Coin3!C101</f>
        <v>9.9961266120301318</v>
      </c>
      <c r="D739">
        <f>Coin3!D101</f>
        <v>26.36</v>
      </c>
      <c r="E739" t="s">
        <v>45</v>
      </c>
    </row>
    <row r="740" spans="1:5" x14ac:dyDescent="0.35">
      <c r="A740">
        <f>Coin3!A102</f>
        <v>1101</v>
      </c>
      <c r="B740">
        <f>Coin3!B102</f>
        <v>68.025000000000006</v>
      </c>
      <c r="C740">
        <f>Coin3!C102</f>
        <v>10.773</v>
      </c>
      <c r="D740">
        <f>Coin3!D102</f>
        <v>26.36</v>
      </c>
      <c r="E740" t="s">
        <v>45</v>
      </c>
    </row>
    <row r="741" spans="1:5" x14ac:dyDescent="0.35">
      <c r="A741">
        <f>Coin3!A103</f>
        <v>1102</v>
      </c>
      <c r="B741">
        <f>Coin3!B103</f>
        <v>69.425000000000011</v>
      </c>
      <c r="C741">
        <f>Coin3!C103</f>
        <v>10.773</v>
      </c>
      <c r="D741">
        <f>Coin3!D103</f>
        <v>26.36</v>
      </c>
      <c r="E741" t="s">
        <v>45</v>
      </c>
    </row>
    <row r="742" spans="1:5" x14ac:dyDescent="0.35">
      <c r="A742">
        <f>Coin3!A104</f>
        <v>1103</v>
      </c>
      <c r="B742">
        <f>Coin3!B104</f>
        <v>55.057500000000005</v>
      </c>
      <c r="C742">
        <f>Coin3!C104</f>
        <v>10.633626612030131</v>
      </c>
      <c r="D742">
        <f>Coin3!D104</f>
        <v>26.36</v>
      </c>
      <c r="E742" t="s">
        <v>45</v>
      </c>
    </row>
    <row r="743" spans="1:5" x14ac:dyDescent="0.35">
      <c r="A743">
        <f>Coin3!A105</f>
        <v>1104</v>
      </c>
      <c r="B743">
        <f>Coin3!B105</f>
        <v>67.387500000000003</v>
      </c>
      <c r="C743">
        <f>Coin3!C105</f>
        <v>10.633626612030131</v>
      </c>
      <c r="D743">
        <f>Coin3!D105</f>
        <v>26.36</v>
      </c>
      <c r="E743" t="s">
        <v>45</v>
      </c>
    </row>
    <row r="744" spans="1:5" x14ac:dyDescent="0.35">
      <c r="A744">
        <f>Coin3!A106</f>
        <v>1105</v>
      </c>
      <c r="B744">
        <f>Coin3!B106</f>
        <v>54.42</v>
      </c>
      <c r="C744">
        <f>Coin3!C106</f>
        <v>12.050751074686755</v>
      </c>
      <c r="D744">
        <f>Coin3!D106</f>
        <v>26.36</v>
      </c>
      <c r="E744" t="s">
        <v>45</v>
      </c>
    </row>
    <row r="745" spans="1:5" x14ac:dyDescent="0.35">
      <c r="A745">
        <f>Coin3!A107</f>
        <v>1106</v>
      </c>
      <c r="B745">
        <f>Coin3!B107</f>
        <v>68.025000000000006</v>
      </c>
      <c r="C745">
        <f>Coin3!C107</f>
        <v>12.050751074686755</v>
      </c>
      <c r="D745">
        <f>Coin3!D107</f>
        <v>26.36</v>
      </c>
      <c r="E745" t="s">
        <v>45</v>
      </c>
    </row>
    <row r="746" spans="1:5" x14ac:dyDescent="0.35">
      <c r="A746">
        <f>Coin3!A108</f>
        <v>1107</v>
      </c>
      <c r="B746">
        <f>Coin3!B108</f>
        <v>57.08550000000001</v>
      </c>
      <c r="C746">
        <f>Coin3!C108</f>
        <v>12.216999999999999</v>
      </c>
      <c r="D746">
        <f>Coin3!D108</f>
        <v>26.36</v>
      </c>
      <c r="E746" t="s">
        <v>45</v>
      </c>
    </row>
    <row r="747" spans="1:5" x14ac:dyDescent="0.35">
      <c r="A747">
        <f>Coin3!A109</f>
        <v>1108</v>
      </c>
      <c r="B747">
        <f>Coin3!B109</f>
        <v>65.359500000000011</v>
      </c>
      <c r="C747">
        <f>Coin3!C109</f>
        <v>12.216999999999999</v>
      </c>
      <c r="D747">
        <f>Coin3!D109</f>
        <v>26.36</v>
      </c>
      <c r="E747" t="s">
        <v>45</v>
      </c>
    </row>
    <row r="748" spans="1:5" x14ac:dyDescent="0.35">
      <c r="A748">
        <f>Coin3!A110</f>
        <v>1109</v>
      </c>
      <c r="B748">
        <f>Coin3!B110</f>
        <v>56.863500000000002</v>
      </c>
      <c r="C748">
        <f>Coin3!C110</f>
        <v>12.439</v>
      </c>
      <c r="D748">
        <f>Coin3!D110</f>
        <v>26.36</v>
      </c>
      <c r="E748" t="s">
        <v>45</v>
      </c>
    </row>
    <row r="749" spans="1:5" x14ac:dyDescent="0.35">
      <c r="A749">
        <f>Coin3!A111</f>
        <v>1110</v>
      </c>
      <c r="B749">
        <f>Coin3!B111</f>
        <v>65.581500000000005</v>
      </c>
      <c r="C749">
        <f>Coin3!C111</f>
        <v>12.439</v>
      </c>
      <c r="D749">
        <f>Coin3!D111</f>
        <v>26.36</v>
      </c>
      <c r="E749" t="s">
        <v>45</v>
      </c>
    </row>
    <row r="750" spans="1:5" x14ac:dyDescent="0.35">
      <c r="A750">
        <f>Coin3!A112</f>
        <v>1111</v>
      </c>
      <c r="B750">
        <f>Coin3!B112</f>
        <v>68.025000000000006</v>
      </c>
      <c r="C750">
        <f>Coin3!C112</f>
        <v>13.467000000000001</v>
      </c>
      <c r="D750">
        <f>Coin3!D112</f>
        <v>26.36</v>
      </c>
      <c r="E750" t="s">
        <v>45</v>
      </c>
    </row>
    <row r="751" spans="1:5" x14ac:dyDescent="0.35">
      <c r="A751">
        <f>Coin3!A113</f>
        <v>1112</v>
      </c>
      <c r="B751">
        <f>Coin3!B113</f>
        <v>69.425000000000011</v>
      </c>
      <c r="C751">
        <f>Coin3!C113</f>
        <v>13.467000000000001</v>
      </c>
      <c r="D751">
        <f>Coin3!D113</f>
        <v>26.36</v>
      </c>
      <c r="E751" t="s">
        <v>45</v>
      </c>
    </row>
    <row r="752" spans="1:5" x14ac:dyDescent="0.35">
      <c r="A752">
        <f>Coin3!A114</f>
        <v>1113</v>
      </c>
      <c r="B752">
        <f>Coin3!B114</f>
        <v>55.83550000000001</v>
      </c>
      <c r="C752">
        <f>Coin3!C114</f>
        <v>13.466999999999999</v>
      </c>
      <c r="D752">
        <f>Coin3!D114</f>
        <v>26.36</v>
      </c>
      <c r="E752" t="s">
        <v>45</v>
      </c>
    </row>
    <row r="753" spans="1:5" x14ac:dyDescent="0.35">
      <c r="A753">
        <f>Coin3!A115</f>
        <v>1114</v>
      </c>
      <c r="B753">
        <f>Coin3!B115</f>
        <v>66.609500000000011</v>
      </c>
      <c r="C753">
        <f>Coin3!C115</f>
        <v>13.466999999999999</v>
      </c>
      <c r="D753">
        <f>Coin3!D115</f>
        <v>26.36</v>
      </c>
      <c r="E753" t="s">
        <v>45</v>
      </c>
    </row>
    <row r="754" spans="1:5" x14ac:dyDescent="0.35">
      <c r="A754">
        <f>Coin3!A116</f>
        <v>1115</v>
      </c>
      <c r="B754">
        <f>Coin3!B116</f>
        <v>54.42</v>
      </c>
      <c r="C754">
        <f>Coin3!C116</f>
        <v>14.105375537343377</v>
      </c>
      <c r="D754">
        <f>Coin3!D116</f>
        <v>26.36</v>
      </c>
      <c r="E754" t="s">
        <v>45</v>
      </c>
    </row>
    <row r="755" spans="1:5" x14ac:dyDescent="0.35">
      <c r="A755">
        <f>Coin3!A117</f>
        <v>1116</v>
      </c>
      <c r="B755">
        <f>Coin3!B117</f>
        <v>68.025000000000006</v>
      </c>
      <c r="C755">
        <f>Coin3!C117</f>
        <v>14.105375537343377</v>
      </c>
      <c r="D755">
        <f>Coin3!D117</f>
        <v>26.36</v>
      </c>
      <c r="E755" t="s">
        <v>45</v>
      </c>
    </row>
    <row r="756" spans="1:5" x14ac:dyDescent="0.35">
      <c r="A756">
        <f>Coin3!A118</f>
        <v>1117</v>
      </c>
      <c r="B756">
        <f>Coin3!B118</f>
        <v>61.222500000000004</v>
      </c>
      <c r="C756">
        <f>Coin3!C118</f>
        <v>13.93</v>
      </c>
      <c r="D756">
        <f>Coin3!D118</f>
        <v>26.36</v>
      </c>
      <c r="E756" t="s">
        <v>45</v>
      </c>
    </row>
    <row r="757" spans="1:5" x14ac:dyDescent="0.35">
      <c r="A757">
        <f>Coin3!A119</f>
        <v>1118</v>
      </c>
      <c r="B757">
        <f>Coin3!B119</f>
        <v>58.668873387969874</v>
      </c>
      <c r="C757">
        <f>Coin3!C119</f>
        <v>14.244999999999999</v>
      </c>
      <c r="D757">
        <f>Coin3!D119</f>
        <v>26.36</v>
      </c>
      <c r="E757" t="s">
        <v>45</v>
      </c>
    </row>
    <row r="758" spans="1:5" x14ac:dyDescent="0.35">
      <c r="A758">
        <f>Coin3!A120</f>
        <v>1119</v>
      </c>
      <c r="B758">
        <f>Coin3!B120</f>
        <v>61.222500000000004</v>
      </c>
      <c r="C758">
        <f>Coin3!C120</f>
        <v>14.244999999999999</v>
      </c>
      <c r="D758">
        <f>Coin3!D120</f>
        <v>26.36</v>
      </c>
      <c r="E758" t="s">
        <v>45</v>
      </c>
    </row>
    <row r="759" spans="1:5" x14ac:dyDescent="0.35">
      <c r="A759">
        <f>Coin3!A121</f>
        <v>1120</v>
      </c>
      <c r="B759">
        <f>Coin3!B121</f>
        <v>63.77612661203014</v>
      </c>
      <c r="C759">
        <f>Coin3!C121</f>
        <v>14.244999999999999</v>
      </c>
      <c r="D759">
        <f>Coin3!D121</f>
        <v>26.36</v>
      </c>
      <c r="E759" t="s">
        <v>45</v>
      </c>
    </row>
    <row r="760" spans="1:5" x14ac:dyDescent="0.35">
      <c r="A760">
        <f>Coin3!A122</f>
        <v>1121</v>
      </c>
      <c r="B760">
        <f>Coin3!B122</f>
        <v>54.42</v>
      </c>
      <c r="C760">
        <f>Coin3!C122</f>
        <v>16.16</v>
      </c>
      <c r="D760">
        <f>Coin3!D122</f>
        <v>26.36</v>
      </c>
      <c r="E760" t="s">
        <v>45</v>
      </c>
    </row>
    <row r="761" spans="1:5" x14ac:dyDescent="0.35">
      <c r="A761">
        <f>Coin3!A123</f>
        <v>1122</v>
      </c>
      <c r="B761">
        <f>Coin3!B123</f>
        <v>56.474624462656628</v>
      </c>
      <c r="C761">
        <f>Coin3!C123</f>
        <v>16.16</v>
      </c>
      <c r="D761">
        <f>Coin3!D123</f>
        <v>26.36</v>
      </c>
      <c r="E761" t="s">
        <v>45</v>
      </c>
    </row>
    <row r="762" spans="1:5" x14ac:dyDescent="0.35">
      <c r="A762">
        <f>Coin3!A124</f>
        <v>1123</v>
      </c>
      <c r="B762">
        <f>Coin3!B124</f>
        <v>58.529248925313254</v>
      </c>
      <c r="C762">
        <f>Coin3!C124</f>
        <v>16.16</v>
      </c>
      <c r="D762">
        <f>Coin3!D124</f>
        <v>26.36</v>
      </c>
      <c r="E762" t="s">
        <v>45</v>
      </c>
    </row>
    <row r="763" spans="1:5" x14ac:dyDescent="0.35">
      <c r="A763">
        <f>Coin3!A125</f>
        <v>1124</v>
      </c>
      <c r="B763">
        <f>Coin3!B125</f>
        <v>60.583873387969874</v>
      </c>
      <c r="C763">
        <f>Coin3!C125</f>
        <v>16.16</v>
      </c>
      <c r="D763">
        <f>Coin3!D125</f>
        <v>26.36</v>
      </c>
      <c r="E763" t="s">
        <v>45</v>
      </c>
    </row>
    <row r="764" spans="1:5" x14ac:dyDescent="0.35">
      <c r="A764">
        <f>Coin3!A126</f>
        <v>1125</v>
      </c>
      <c r="B764">
        <f>Coin3!B126</f>
        <v>60.372500000000002</v>
      </c>
      <c r="C764">
        <f>Coin3!C126</f>
        <v>16.16</v>
      </c>
      <c r="D764">
        <f>Coin3!D126</f>
        <v>26.36</v>
      </c>
      <c r="E764" t="s">
        <v>45</v>
      </c>
    </row>
    <row r="765" spans="1:5" x14ac:dyDescent="0.35">
      <c r="A765">
        <f>Coin3!A127</f>
        <v>1126</v>
      </c>
      <c r="B765">
        <f>Coin3!B127</f>
        <v>60.607500000000002</v>
      </c>
      <c r="C765">
        <f>Coin3!C127</f>
        <v>16.16</v>
      </c>
      <c r="D765">
        <f>Coin3!D127</f>
        <v>26.36</v>
      </c>
      <c r="E765" t="s">
        <v>45</v>
      </c>
    </row>
    <row r="766" spans="1:5" x14ac:dyDescent="0.35">
      <c r="A766">
        <f>Coin3!A128</f>
        <v>1127</v>
      </c>
      <c r="B766">
        <f>Coin3!B128</f>
        <v>61.222500000000004</v>
      </c>
      <c r="C766">
        <f>Coin3!C128</f>
        <v>16.16</v>
      </c>
      <c r="D766">
        <f>Coin3!D128</f>
        <v>26.36</v>
      </c>
      <c r="E766" t="s">
        <v>45</v>
      </c>
    </row>
    <row r="767" spans="1:5" x14ac:dyDescent="0.35">
      <c r="A767">
        <f>Coin3!A129</f>
        <v>1128</v>
      </c>
      <c r="B767">
        <f>Coin3!B129</f>
        <v>61.837500000000006</v>
      </c>
      <c r="C767">
        <f>Coin3!C129</f>
        <v>16.16</v>
      </c>
      <c r="D767">
        <f>Coin3!D129</f>
        <v>26.36</v>
      </c>
      <c r="E767" t="s">
        <v>45</v>
      </c>
    </row>
    <row r="768" spans="1:5" x14ac:dyDescent="0.35">
      <c r="A768">
        <f>Coin3!A130</f>
        <v>1129</v>
      </c>
      <c r="B768">
        <f>Coin3!B130</f>
        <v>62.072500000000005</v>
      </c>
      <c r="C768">
        <f>Coin3!C130</f>
        <v>16.16</v>
      </c>
      <c r="D768">
        <f>Coin3!D130</f>
        <v>26.36</v>
      </c>
      <c r="E768" t="s">
        <v>45</v>
      </c>
    </row>
    <row r="769" spans="1:5" x14ac:dyDescent="0.35">
      <c r="A769">
        <f>Coin3!A131</f>
        <v>1130</v>
      </c>
      <c r="B769">
        <f>Coin3!B131</f>
        <v>61.861126612030134</v>
      </c>
      <c r="C769">
        <f>Coin3!C131</f>
        <v>16.16</v>
      </c>
      <c r="D769">
        <f>Coin3!D131</f>
        <v>26.36</v>
      </c>
      <c r="E769" t="s">
        <v>45</v>
      </c>
    </row>
    <row r="770" spans="1:5" x14ac:dyDescent="0.35">
      <c r="A770">
        <f>Coin3!A132</f>
        <v>1131</v>
      </c>
      <c r="B770">
        <f>Coin3!B132</f>
        <v>63.91575107468676</v>
      </c>
      <c r="C770">
        <f>Coin3!C132</f>
        <v>16.16</v>
      </c>
      <c r="D770">
        <f>Coin3!D132</f>
        <v>26.36</v>
      </c>
      <c r="E770" t="s">
        <v>45</v>
      </c>
    </row>
    <row r="771" spans="1:5" x14ac:dyDescent="0.35">
      <c r="A771">
        <f>Coin3!A133</f>
        <v>1132</v>
      </c>
      <c r="B771">
        <f>Coin3!B133</f>
        <v>65.970375537343386</v>
      </c>
      <c r="C771">
        <f>Coin3!C133</f>
        <v>16.16</v>
      </c>
      <c r="D771">
        <f>Coin3!D133</f>
        <v>26.36</v>
      </c>
      <c r="E771" t="s">
        <v>45</v>
      </c>
    </row>
    <row r="772" spans="1:5" x14ac:dyDescent="0.35">
      <c r="A772">
        <f>Coin3!A134</f>
        <v>1133</v>
      </c>
      <c r="B772">
        <f>Coin3!B134</f>
        <v>68.025000000000006</v>
      </c>
      <c r="C772">
        <f>Coin3!C134</f>
        <v>16.16</v>
      </c>
      <c r="D772">
        <f>Coin3!D134</f>
        <v>26.36</v>
      </c>
      <c r="E772" t="s">
        <v>45</v>
      </c>
    </row>
    <row r="773" spans="1:5" x14ac:dyDescent="0.35">
      <c r="A773">
        <f>Coin3!A135</f>
        <v>1134</v>
      </c>
      <c r="B773">
        <f>Coin3!B135</f>
        <v>69.425000000000011</v>
      </c>
      <c r="C773">
        <f>Coin3!C135</f>
        <v>16.16</v>
      </c>
      <c r="D773">
        <f>Coin3!D135</f>
        <v>26.36</v>
      </c>
      <c r="E773" t="s">
        <v>45</v>
      </c>
    </row>
    <row r="774" spans="1:5" x14ac:dyDescent="0.35">
      <c r="A774">
        <f>Coin3!A136</f>
        <v>1135</v>
      </c>
      <c r="B774">
        <f>Coin3!B136</f>
        <v>60.372500000000002</v>
      </c>
      <c r="C774">
        <f>Coin3!C136</f>
        <v>7.3750000000000009</v>
      </c>
      <c r="D774">
        <f>Coin3!D136</f>
        <v>27.25</v>
      </c>
      <c r="E774" t="s">
        <v>45</v>
      </c>
    </row>
    <row r="775" spans="1:5" x14ac:dyDescent="0.35">
      <c r="A775">
        <f>Coin3!A137</f>
        <v>1136</v>
      </c>
      <c r="B775">
        <f>Coin3!B137</f>
        <v>60.772500000000008</v>
      </c>
      <c r="C775">
        <f>Coin3!C137</f>
        <v>7.3750000000000009</v>
      </c>
      <c r="D775">
        <f>Coin3!D137</f>
        <v>27.25</v>
      </c>
      <c r="E775" t="s">
        <v>45</v>
      </c>
    </row>
    <row r="776" spans="1:5" x14ac:dyDescent="0.35">
      <c r="A776">
        <f>Coin3!A138</f>
        <v>1137</v>
      </c>
      <c r="B776">
        <f>Coin3!B138</f>
        <v>61.672500000000007</v>
      </c>
      <c r="C776">
        <f>Coin3!C138</f>
        <v>7.3750000000000009</v>
      </c>
      <c r="D776">
        <f>Coin3!D138</f>
        <v>27.25</v>
      </c>
      <c r="E776" t="s">
        <v>45</v>
      </c>
    </row>
    <row r="777" spans="1:5" x14ac:dyDescent="0.35">
      <c r="A777">
        <f>Coin3!A139</f>
        <v>1138</v>
      </c>
      <c r="B777">
        <f>Coin3!B139</f>
        <v>62.072500000000005</v>
      </c>
      <c r="C777">
        <f>Coin3!C139</f>
        <v>7.3750000000000009</v>
      </c>
      <c r="D777">
        <f>Coin3!D139</f>
        <v>27.25</v>
      </c>
      <c r="E777" t="s">
        <v>45</v>
      </c>
    </row>
    <row r="778" spans="1:5" x14ac:dyDescent="0.35">
      <c r="A778">
        <f>Coin3!A140</f>
        <v>1139</v>
      </c>
      <c r="B778">
        <f>Coin3!B140</f>
        <v>61.222500000000004</v>
      </c>
      <c r="C778">
        <f>Coin3!C140</f>
        <v>8.08</v>
      </c>
      <c r="D778">
        <f>Coin3!D140</f>
        <v>27.25</v>
      </c>
      <c r="E778" t="s">
        <v>45</v>
      </c>
    </row>
    <row r="779" spans="1:5" x14ac:dyDescent="0.35">
      <c r="A779">
        <f>Coin3!A141</f>
        <v>1140</v>
      </c>
      <c r="B779">
        <f>Coin3!B141</f>
        <v>60.372500000000002</v>
      </c>
      <c r="C779">
        <f>Coin3!C141</f>
        <v>8.7849999999999984</v>
      </c>
      <c r="D779">
        <f>Coin3!D141</f>
        <v>27.25</v>
      </c>
      <c r="E779" t="s">
        <v>45</v>
      </c>
    </row>
    <row r="780" spans="1:5" x14ac:dyDescent="0.35">
      <c r="A780">
        <f>Coin3!A142</f>
        <v>1141</v>
      </c>
      <c r="B780">
        <f>Coin3!B142</f>
        <v>60.772500000000008</v>
      </c>
      <c r="C780">
        <f>Coin3!C142</f>
        <v>8.7849999999999984</v>
      </c>
      <c r="D780">
        <f>Coin3!D142</f>
        <v>27.25</v>
      </c>
      <c r="E780" t="s">
        <v>45</v>
      </c>
    </row>
    <row r="781" spans="1:5" x14ac:dyDescent="0.35">
      <c r="A781">
        <f>Coin3!A143</f>
        <v>1142</v>
      </c>
      <c r="B781">
        <f>Coin3!B143</f>
        <v>61.672500000000007</v>
      </c>
      <c r="C781">
        <f>Coin3!C143</f>
        <v>8.7849999999999984</v>
      </c>
      <c r="D781">
        <f>Coin3!D143</f>
        <v>27.25</v>
      </c>
      <c r="E781" t="s">
        <v>45</v>
      </c>
    </row>
    <row r="782" spans="1:5" x14ac:dyDescent="0.35">
      <c r="A782">
        <f>Coin3!A144</f>
        <v>1143</v>
      </c>
      <c r="B782">
        <f>Coin3!B144</f>
        <v>62.072500000000005</v>
      </c>
      <c r="C782">
        <f>Coin3!C144</f>
        <v>8.7849999999999984</v>
      </c>
      <c r="D782">
        <f>Coin3!D144</f>
        <v>27.25</v>
      </c>
      <c r="E782" t="s">
        <v>45</v>
      </c>
    </row>
    <row r="783" spans="1:5" x14ac:dyDescent="0.35">
      <c r="A783">
        <f>Coin3!A145</f>
        <v>1144</v>
      </c>
      <c r="B783">
        <f>Coin3!B145</f>
        <v>60.372500000000002</v>
      </c>
      <c r="C783">
        <f>Coin3!C145</f>
        <v>0</v>
      </c>
      <c r="D783">
        <f>Coin3!D145</f>
        <v>27.55</v>
      </c>
      <c r="E783" t="s">
        <v>45</v>
      </c>
    </row>
    <row r="784" spans="1:5" x14ac:dyDescent="0.35">
      <c r="A784">
        <f>Coin3!A146</f>
        <v>1145</v>
      </c>
      <c r="B784">
        <f>Coin3!B146</f>
        <v>62.072500000000005</v>
      </c>
      <c r="C784">
        <f>Coin3!C146</f>
        <v>0</v>
      </c>
      <c r="D784">
        <f>Coin3!D146</f>
        <v>27.55</v>
      </c>
      <c r="E784" t="s">
        <v>45</v>
      </c>
    </row>
    <row r="785" spans="1:5" x14ac:dyDescent="0.35">
      <c r="A785">
        <f>Coin3!A147</f>
        <v>1146</v>
      </c>
      <c r="B785">
        <f>Coin3!B147</f>
        <v>60.372500000000002</v>
      </c>
      <c r="C785">
        <f>Coin3!C147</f>
        <v>0.4</v>
      </c>
      <c r="D785">
        <f>Coin3!D147</f>
        <v>27.55</v>
      </c>
      <c r="E785" t="s">
        <v>45</v>
      </c>
    </row>
    <row r="786" spans="1:5" x14ac:dyDescent="0.35">
      <c r="A786">
        <f>Coin3!A148</f>
        <v>1147</v>
      </c>
      <c r="B786">
        <f>Coin3!B148</f>
        <v>62.072500000000005</v>
      </c>
      <c r="C786">
        <f>Coin3!C148</f>
        <v>0.4</v>
      </c>
      <c r="D786">
        <f>Coin3!D148</f>
        <v>27.55</v>
      </c>
      <c r="E786" t="s">
        <v>45</v>
      </c>
    </row>
    <row r="787" spans="1:5" x14ac:dyDescent="0.35">
      <c r="A787">
        <f>Coin3!A149</f>
        <v>1148</v>
      </c>
      <c r="B787">
        <f>Coin3!B149</f>
        <v>60.372500000000002</v>
      </c>
      <c r="C787">
        <f>Coin3!C149</f>
        <v>2.4249999999999998</v>
      </c>
      <c r="D787">
        <f>Coin3!D149</f>
        <v>27.55</v>
      </c>
      <c r="E787" t="s">
        <v>45</v>
      </c>
    </row>
    <row r="788" spans="1:5" x14ac:dyDescent="0.35">
      <c r="A788">
        <f>Coin3!A150</f>
        <v>1149</v>
      </c>
      <c r="B788">
        <f>Coin3!B150</f>
        <v>62.072500000000005</v>
      </c>
      <c r="C788">
        <f>Coin3!C150</f>
        <v>2.4249999999999998</v>
      </c>
      <c r="D788">
        <f>Coin3!D150</f>
        <v>27.55</v>
      </c>
      <c r="E788" t="s">
        <v>45</v>
      </c>
    </row>
    <row r="789" spans="1:5" x14ac:dyDescent="0.35">
      <c r="A789">
        <f>Coin3!A151</f>
        <v>1150</v>
      </c>
      <c r="B789">
        <f>Coin3!B151</f>
        <v>60.372500000000002</v>
      </c>
      <c r="C789">
        <f>Coin3!C151</f>
        <v>4.45</v>
      </c>
      <c r="D789">
        <f>Coin3!D151</f>
        <v>27.55</v>
      </c>
      <c r="E789" t="s">
        <v>45</v>
      </c>
    </row>
    <row r="790" spans="1:5" x14ac:dyDescent="0.35">
      <c r="A790">
        <f>Coin3!A152</f>
        <v>1151</v>
      </c>
      <c r="B790">
        <f>Coin3!B152</f>
        <v>62.072500000000005</v>
      </c>
      <c r="C790">
        <f>Coin3!C152</f>
        <v>4.45</v>
      </c>
      <c r="D790">
        <f>Coin3!D152</f>
        <v>27.55</v>
      </c>
      <c r="E790" t="s">
        <v>45</v>
      </c>
    </row>
    <row r="791" spans="1:5" x14ac:dyDescent="0.35">
      <c r="A791">
        <f>Coin3!A153</f>
        <v>1152</v>
      </c>
      <c r="B791">
        <f>Coin3!B153</f>
        <v>60.372500000000002</v>
      </c>
      <c r="C791">
        <f>Coin3!C153</f>
        <v>6.4750000000000005</v>
      </c>
      <c r="D791">
        <f>Coin3!D153</f>
        <v>27.55</v>
      </c>
      <c r="E791" t="s">
        <v>45</v>
      </c>
    </row>
    <row r="792" spans="1:5" x14ac:dyDescent="0.35">
      <c r="A792">
        <f>Coin3!A154</f>
        <v>1153</v>
      </c>
      <c r="B792">
        <f>Coin3!B154</f>
        <v>62.072500000000005</v>
      </c>
      <c r="C792">
        <f>Coin3!C154</f>
        <v>6.4750000000000005</v>
      </c>
      <c r="D792">
        <f>Coin3!D154</f>
        <v>27.55</v>
      </c>
      <c r="E792" t="s">
        <v>45</v>
      </c>
    </row>
    <row r="793" spans="1:5" x14ac:dyDescent="0.35">
      <c r="A793">
        <f>Coin3!A155</f>
        <v>1154</v>
      </c>
      <c r="B793">
        <f>Coin3!B155</f>
        <v>60.372500000000002</v>
      </c>
      <c r="C793">
        <f>Coin3!C155</f>
        <v>7.3750000000000009</v>
      </c>
      <c r="D793">
        <f>Coin3!D155</f>
        <v>27.55</v>
      </c>
      <c r="E793" t="s">
        <v>45</v>
      </c>
    </row>
    <row r="794" spans="1:5" x14ac:dyDescent="0.35">
      <c r="A794">
        <f>Coin3!A156</f>
        <v>1155</v>
      </c>
      <c r="B794">
        <f>Coin3!B156</f>
        <v>62.072500000000005</v>
      </c>
      <c r="C794">
        <f>Coin3!C156</f>
        <v>7.3750000000000009</v>
      </c>
      <c r="D794">
        <f>Coin3!D156</f>
        <v>27.55</v>
      </c>
      <c r="E794" t="s">
        <v>45</v>
      </c>
    </row>
    <row r="795" spans="1:5" x14ac:dyDescent="0.35">
      <c r="A795">
        <f>Coin3!A157</f>
        <v>1156</v>
      </c>
      <c r="B795">
        <f>Coin3!B157</f>
        <v>60.372500000000002</v>
      </c>
      <c r="C795">
        <f>Coin3!C157</f>
        <v>8.7849999999999984</v>
      </c>
      <c r="D795">
        <f>Coin3!D157</f>
        <v>27.55</v>
      </c>
      <c r="E795" t="s">
        <v>45</v>
      </c>
    </row>
    <row r="796" spans="1:5" x14ac:dyDescent="0.35">
      <c r="A796">
        <f>Coin3!A158</f>
        <v>1157</v>
      </c>
      <c r="B796">
        <f>Coin3!B158</f>
        <v>62.072500000000005</v>
      </c>
      <c r="C796">
        <f>Coin3!C158</f>
        <v>8.7849999999999984</v>
      </c>
      <c r="D796">
        <f>Coin3!D158</f>
        <v>27.55</v>
      </c>
      <c r="E796" t="s">
        <v>45</v>
      </c>
    </row>
    <row r="797" spans="1:5" x14ac:dyDescent="0.35">
      <c r="A797">
        <f>Coin3!A159</f>
        <v>1158</v>
      </c>
      <c r="B797">
        <f>Coin3!B159</f>
        <v>60.372500000000002</v>
      </c>
      <c r="C797">
        <f>Coin3!C159</f>
        <v>9.6849999999999987</v>
      </c>
      <c r="D797">
        <f>Coin3!D159</f>
        <v>27.55</v>
      </c>
      <c r="E797" t="s">
        <v>45</v>
      </c>
    </row>
    <row r="798" spans="1:5" x14ac:dyDescent="0.35">
      <c r="A798">
        <f>Coin3!A160</f>
        <v>1159</v>
      </c>
      <c r="B798">
        <f>Coin3!B160</f>
        <v>62.072500000000005</v>
      </c>
      <c r="C798">
        <f>Coin3!C160</f>
        <v>9.6849999999999987</v>
      </c>
      <c r="D798">
        <f>Coin3!D160</f>
        <v>27.55</v>
      </c>
      <c r="E798" t="s">
        <v>45</v>
      </c>
    </row>
    <row r="799" spans="1:5" x14ac:dyDescent="0.35">
      <c r="A799">
        <f>Coin3!A161</f>
        <v>1160</v>
      </c>
      <c r="B799">
        <f>Coin3!B161</f>
        <v>60.372500000000002</v>
      </c>
      <c r="C799">
        <f>Coin3!C161</f>
        <v>11.71</v>
      </c>
      <c r="D799">
        <f>Coin3!D161</f>
        <v>27.55</v>
      </c>
      <c r="E799" t="s">
        <v>45</v>
      </c>
    </row>
    <row r="800" spans="1:5" x14ac:dyDescent="0.35">
      <c r="A800">
        <f>Coin3!A162</f>
        <v>1161</v>
      </c>
      <c r="B800">
        <f>Coin3!B162</f>
        <v>62.072500000000005</v>
      </c>
      <c r="C800">
        <f>Coin3!C162</f>
        <v>11.71</v>
      </c>
      <c r="D800">
        <f>Coin3!D162</f>
        <v>27.55</v>
      </c>
      <c r="E800" t="s">
        <v>45</v>
      </c>
    </row>
    <row r="801" spans="1:5" x14ac:dyDescent="0.35">
      <c r="A801">
        <f>Coin3!A163</f>
        <v>1162</v>
      </c>
      <c r="B801">
        <f>Coin3!B163</f>
        <v>60.372500000000002</v>
      </c>
      <c r="C801">
        <f>Coin3!C163</f>
        <v>13.734999999999999</v>
      </c>
      <c r="D801">
        <f>Coin3!D163</f>
        <v>27.55</v>
      </c>
      <c r="E801" t="s">
        <v>45</v>
      </c>
    </row>
    <row r="802" spans="1:5" x14ac:dyDescent="0.35">
      <c r="A802">
        <f>Coin3!A164</f>
        <v>1163</v>
      </c>
      <c r="B802">
        <f>Coin3!B164</f>
        <v>62.072500000000005</v>
      </c>
      <c r="C802">
        <f>Coin3!C164</f>
        <v>13.734999999999999</v>
      </c>
      <c r="D802">
        <f>Coin3!D164</f>
        <v>27.55</v>
      </c>
      <c r="E802" t="s">
        <v>45</v>
      </c>
    </row>
    <row r="803" spans="1:5" x14ac:dyDescent="0.35">
      <c r="A803">
        <f>Coin3!A165</f>
        <v>1164</v>
      </c>
      <c r="B803">
        <f>Coin3!B165</f>
        <v>60.372500000000002</v>
      </c>
      <c r="C803">
        <f>Coin3!C165</f>
        <v>15.76</v>
      </c>
      <c r="D803">
        <f>Coin3!D165</f>
        <v>27.55</v>
      </c>
      <c r="E803" t="s">
        <v>45</v>
      </c>
    </row>
    <row r="804" spans="1:5" x14ac:dyDescent="0.35">
      <c r="A804">
        <f>Coin3!A166</f>
        <v>1165</v>
      </c>
      <c r="B804">
        <f>Coin3!B166</f>
        <v>62.072500000000005</v>
      </c>
      <c r="C804">
        <f>Coin3!C166</f>
        <v>15.76</v>
      </c>
      <c r="D804">
        <f>Coin3!D166</f>
        <v>27.55</v>
      </c>
      <c r="E804" t="s">
        <v>45</v>
      </c>
    </row>
    <row r="805" spans="1:5" x14ac:dyDescent="0.35">
      <c r="A805">
        <f>Coin3!A167</f>
        <v>1166</v>
      </c>
      <c r="B805">
        <f>Coin3!B167</f>
        <v>60.372500000000002</v>
      </c>
      <c r="C805">
        <f>Coin3!C167</f>
        <v>16.16</v>
      </c>
      <c r="D805">
        <f>Coin3!D167</f>
        <v>27.55</v>
      </c>
      <c r="E805" t="s">
        <v>45</v>
      </c>
    </row>
    <row r="806" spans="1:5" x14ac:dyDescent="0.35">
      <c r="A806">
        <f>Coin3!A168</f>
        <v>1167</v>
      </c>
      <c r="B806">
        <f>Coin3!B168</f>
        <v>62.072500000000005</v>
      </c>
      <c r="C806">
        <f>Coin3!C168</f>
        <v>16.16</v>
      </c>
      <c r="D806">
        <f>Coin3!D168</f>
        <v>27.55</v>
      </c>
      <c r="E806" t="s">
        <v>45</v>
      </c>
    </row>
    <row r="807" spans="1:5" x14ac:dyDescent="0.35">
      <c r="A807">
        <f>Coin3!A169</f>
        <v>1168</v>
      </c>
      <c r="B807">
        <f>Coin3!B169</f>
        <v>55.332000000000008</v>
      </c>
      <c r="C807">
        <f>Coin3!C169</f>
        <v>0</v>
      </c>
      <c r="D807">
        <f>Coin3!D169</f>
        <v>27.939999999999998</v>
      </c>
      <c r="E807" t="s">
        <v>45</v>
      </c>
    </row>
    <row r="808" spans="1:5" x14ac:dyDescent="0.35">
      <c r="A808">
        <f>Coin3!A170</f>
        <v>1169</v>
      </c>
      <c r="B808">
        <f>Coin3!B170</f>
        <v>67.113</v>
      </c>
      <c r="C808">
        <f>Coin3!C170</f>
        <v>0</v>
      </c>
      <c r="D808">
        <f>Coin3!D170</f>
        <v>27.939999999999998</v>
      </c>
      <c r="E808" t="s">
        <v>45</v>
      </c>
    </row>
    <row r="809" spans="1:5" x14ac:dyDescent="0.35">
      <c r="A809">
        <f>Coin3!A171</f>
        <v>1170</v>
      </c>
      <c r="B809">
        <f>Coin3!B171</f>
        <v>55.332000000000008</v>
      </c>
      <c r="C809">
        <f>Coin3!C171</f>
        <v>8.08</v>
      </c>
      <c r="D809">
        <f>Coin3!D171</f>
        <v>27.939999999999998</v>
      </c>
      <c r="E809" t="s">
        <v>45</v>
      </c>
    </row>
    <row r="810" spans="1:5" x14ac:dyDescent="0.35">
      <c r="A810">
        <f>Coin3!A172</f>
        <v>1171</v>
      </c>
      <c r="B810">
        <f>Coin3!B172</f>
        <v>67.113</v>
      </c>
      <c r="C810">
        <f>Coin3!C172</f>
        <v>8.08</v>
      </c>
      <c r="D810">
        <f>Coin3!D172</f>
        <v>27.939999999999998</v>
      </c>
      <c r="E810" t="s">
        <v>45</v>
      </c>
    </row>
    <row r="811" spans="1:5" x14ac:dyDescent="0.35">
      <c r="A811">
        <f>Coin3!A173</f>
        <v>1172</v>
      </c>
      <c r="B811">
        <f>Coin3!B173</f>
        <v>55.332000000000008</v>
      </c>
      <c r="C811">
        <f>Coin3!C173</f>
        <v>16.16</v>
      </c>
      <c r="D811">
        <f>Coin3!D173</f>
        <v>27.939999999999998</v>
      </c>
      <c r="E811" t="s">
        <v>45</v>
      </c>
    </row>
    <row r="812" spans="1:5" x14ac:dyDescent="0.35">
      <c r="A812">
        <f>Coin3!A174</f>
        <v>1173</v>
      </c>
      <c r="B812">
        <f>Coin3!B174</f>
        <v>67.113</v>
      </c>
      <c r="C812">
        <f>Coin3!C174</f>
        <v>16.16</v>
      </c>
      <c r="D812">
        <f>Coin3!D174</f>
        <v>27.939999999999998</v>
      </c>
      <c r="E812" t="s">
        <v>45</v>
      </c>
    </row>
    <row r="813" spans="1:5" x14ac:dyDescent="0.35">
      <c r="A813">
        <f>Coin3!A175</f>
        <v>1174</v>
      </c>
      <c r="B813">
        <f>Coin3!B175</f>
        <v>53.805000000000007</v>
      </c>
      <c r="C813">
        <f>Coin3!C175</f>
        <v>-0.35</v>
      </c>
      <c r="D813">
        <f>Coin3!D175</f>
        <v>29.268068904621821</v>
      </c>
      <c r="E813" t="s">
        <v>45</v>
      </c>
    </row>
    <row r="814" spans="1:5" x14ac:dyDescent="0.35">
      <c r="A814">
        <f>Coin3!A176</f>
        <v>1175</v>
      </c>
      <c r="B814">
        <f>Coin3!B176</f>
        <v>55.035000000000004</v>
      </c>
      <c r="C814">
        <f>Coin3!C176</f>
        <v>-0.35</v>
      </c>
      <c r="D814">
        <f>Coin3!D176</f>
        <v>29.268068904621821</v>
      </c>
      <c r="E814" t="s">
        <v>45</v>
      </c>
    </row>
    <row r="815" spans="1:5" x14ac:dyDescent="0.35">
      <c r="A815">
        <f>Coin3!A177</f>
        <v>1176</v>
      </c>
      <c r="B815">
        <f>Coin3!B177</f>
        <v>56.099000000000004</v>
      </c>
      <c r="C815">
        <f>Coin3!C177</f>
        <v>-0.35</v>
      </c>
      <c r="D815">
        <f>Coin3!D177</f>
        <v>29.268068904621821</v>
      </c>
      <c r="E815" t="s">
        <v>45</v>
      </c>
    </row>
    <row r="816" spans="1:5" x14ac:dyDescent="0.35">
      <c r="A816">
        <f>Coin3!A178</f>
        <v>1177</v>
      </c>
      <c r="B816">
        <f>Coin3!B178</f>
        <v>57.777948729810781</v>
      </c>
      <c r="C816">
        <f>Coin3!C178</f>
        <v>-0.35</v>
      </c>
      <c r="D816">
        <f>Coin3!D178</f>
        <v>29.268068904621821</v>
      </c>
      <c r="E816" t="s">
        <v>45</v>
      </c>
    </row>
    <row r="817" spans="1:5" x14ac:dyDescent="0.35">
      <c r="A817">
        <f>Coin3!A179</f>
        <v>1178</v>
      </c>
      <c r="B817">
        <f>Coin3!B179</f>
        <v>60.607500000000002</v>
      </c>
      <c r="C817">
        <f>Coin3!C179</f>
        <v>-0.35</v>
      </c>
      <c r="D817">
        <f>Coin3!D179</f>
        <v>29.268068904621821</v>
      </c>
      <c r="E817" t="s">
        <v>45</v>
      </c>
    </row>
    <row r="818" spans="1:5" x14ac:dyDescent="0.35">
      <c r="A818">
        <f>Coin3!A180</f>
        <v>1179</v>
      </c>
      <c r="B818">
        <f>Coin3!B180</f>
        <v>61.837500000000006</v>
      </c>
      <c r="C818">
        <f>Coin3!C180</f>
        <v>-0.35</v>
      </c>
      <c r="D818">
        <f>Coin3!D180</f>
        <v>29.268068904621821</v>
      </c>
      <c r="E818" t="s">
        <v>45</v>
      </c>
    </row>
    <row r="819" spans="1:5" x14ac:dyDescent="0.35">
      <c r="A819">
        <f>Coin3!A181</f>
        <v>1180</v>
      </c>
      <c r="B819">
        <f>Coin3!B181</f>
        <v>64.667051270189233</v>
      </c>
      <c r="C819">
        <f>Coin3!C181</f>
        <v>-0.35</v>
      </c>
      <c r="D819">
        <f>Coin3!D181</f>
        <v>29.268068904621821</v>
      </c>
      <c r="E819" t="s">
        <v>45</v>
      </c>
    </row>
    <row r="820" spans="1:5" x14ac:dyDescent="0.35">
      <c r="A820">
        <f>Coin3!A182</f>
        <v>1181</v>
      </c>
      <c r="B820">
        <f>Coin3!B182</f>
        <v>66.346000000000004</v>
      </c>
      <c r="C820">
        <f>Coin3!C182</f>
        <v>-0.35</v>
      </c>
      <c r="D820">
        <f>Coin3!D182</f>
        <v>29.268068904621821</v>
      </c>
      <c r="E820" t="s">
        <v>45</v>
      </c>
    </row>
    <row r="821" spans="1:5" x14ac:dyDescent="0.35">
      <c r="A821">
        <f>Coin3!A183</f>
        <v>1182</v>
      </c>
      <c r="B821">
        <f>Coin3!B183</f>
        <v>68.025000000000006</v>
      </c>
      <c r="C821">
        <f>Coin3!C183</f>
        <v>-0.35</v>
      </c>
      <c r="D821">
        <f>Coin3!D183</f>
        <v>29.268068904621821</v>
      </c>
      <c r="E821" t="s">
        <v>45</v>
      </c>
    </row>
    <row r="822" spans="1:5" x14ac:dyDescent="0.35">
      <c r="A822">
        <f>Coin3!A184</f>
        <v>1183</v>
      </c>
      <c r="B822">
        <f>Coin3!B184</f>
        <v>69.425000000000011</v>
      </c>
      <c r="C822">
        <f>Coin3!C184</f>
        <v>-0.35</v>
      </c>
      <c r="D822">
        <f>Coin3!D184</f>
        <v>29.268068904621821</v>
      </c>
      <c r="E822" t="s">
        <v>45</v>
      </c>
    </row>
    <row r="823" spans="1:5" x14ac:dyDescent="0.35">
      <c r="A823">
        <f>Coin3!A185</f>
        <v>1184</v>
      </c>
      <c r="B823">
        <f>Coin3!B185</f>
        <v>56.099000000000004</v>
      </c>
      <c r="C823">
        <f>Coin3!C185</f>
        <v>0</v>
      </c>
      <c r="D823">
        <f>Coin3!D185</f>
        <v>29.268068904621821</v>
      </c>
      <c r="E823" t="s">
        <v>45</v>
      </c>
    </row>
    <row r="824" spans="1:5" x14ac:dyDescent="0.35">
      <c r="A824">
        <f>Coin3!A186</f>
        <v>1185</v>
      </c>
      <c r="B824">
        <f>Coin3!B186</f>
        <v>66.346000000000004</v>
      </c>
      <c r="C824">
        <f>Coin3!C186</f>
        <v>0</v>
      </c>
      <c r="D824">
        <f>Coin3!D186</f>
        <v>29.268068904621821</v>
      </c>
      <c r="E824" t="s">
        <v>45</v>
      </c>
    </row>
    <row r="825" spans="1:5" x14ac:dyDescent="0.35">
      <c r="A825">
        <f>Coin3!A187</f>
        <v>1186</v>
      </c>
      <c r="B825">
        <f>Coin3!B187</f>
        <v>69.425000000000011</v>
      </c>
      <c r="C825">
        <f>Coin3!C187</f>
        <v>0</v>
      </c>
      <c r="D825">
        <f>Coin3!D187</f>
        <v>29.268068904621821</v>
      </c>
      <c r="E825" t="s">
        <v>45</v>
      </c>
    </row>
    <row r="826" spans="1:5" x14ac:dyDescent="0.35">
      <c r="A826">
        <f>Coin3!A188</f>
        <v>1187</v>
      </c>
      <c r="B826">
        <f>Coin3!B188</f>
        <v>69.425000000000011</v>
      </c>
      <c r="C826">
        <f>Coin3!C188</f>
        <v>2.6930000000000001</v>
      </c>
      <c r="D826">
        <f>Coin3!D188</f>
        <v>29.268068904621821</v>
      </c>
      <c r="E826" t="s">
        <v>45</v>
      </c>
    </row>
    <row r="827" spans="1:5" x14ac:dyDescent="0.35">
      <c r="A827">
        <f>Coin3!A189</f>
        <v>1188</v>
      </c>
      <c r="B827">
        <f>Coin3!B189</f>
        <v>69.425000000000011</v>
      </c>
      <c r="C827">
        <f>Coin3!C189</f>
        <v>5.3869999999999996</v>
      </c>
      <c r="D827">
        <f>Coin3!D189</f>
        <v>29.268068904621821</v>
      </c>
      <c r="E827" t="s">
        <v>45</v>
      </c>
    </row>
    <row r="828" spans="1:5" x14ac:dyDescent="0.35">
      <c r="A828">
        <f>Coin3!A190</f>
        <v>1189</v>
      </c>
      <c r="B828">
        <f>Coin3!B190</f>
        <v>56.099000000000004</v>
      </c>
      <c r="C828">
        <f>Coin3!C190</f>
        <v>8.08</v>
      </c>
      <c r="D828">
        <f>Coin3!D190</f>
        <v>29.268068904621821</v>
      </c>
      <c r="E828" t="s">
        <v>45</v>
      </c>
    </row>
    <row r="829" spans="1:5" x14ac:dyDescent="0.35">
      <c r="A829">
        <f>Coin3!A191</f>
        <v>1190</v>
      </c>
      <c r="B829">
        <f>Coin3!B191</f>
        <v>66.346000000000004</v>
      </c>
      <c r="C829">
        <f>Coin3!C191</f>
        <v>8.08</v>
      </c>
      <c r="D829">
        <f>Coin3!D191</f>
        <v>29.268068904621821</v>
      </c>
      <c r="E829" t="s">
        <v>45</v>
      </c>
    </row>
    <row r="830" spans="1:5" x14ac:dyDescent="0.35">
      <c r="A830">
        <f>Coin3!A192</f>
        <v>1191</v>
      </c>
      <c r="B830">
        <f>Coin3!B192</f>
        <v>69.425000000000011</v>
      </c>
      <c r="C830">
        <f>Coin3!C192</f>
        <v>8.08</v>
      </c>
      <c r="D830">
        <f>Coin3!D192</f>
        <v>29.268068904621821</v>
      </c>
      <c r="E830" t="s">
        <v>45</v>
      </c>
    </row>
    <row r="831" spans="1:5" x14ac:dyDescent="0.35">
      <c r="A831">
        <f>Coin3!A193</f>
        <v>1192</v>
      </c>
      <c r="B831">
        <f>Coin3!B193</f>
        <v>69.425000000000011</v>
      </c>
      <c r="C831">
        <f>Coin3!C193</f>
        <v>10.773</v>
      </c>
      <c r="D831">
        <f>Coin3!D193</f>
        <v>29.268068904621821</v>
      </c>
      <c r="E831" t="s">
        <v>45</v>
      </c>
    </row>
    <row r="832" spans="1:5" x14ac:dyDescent="0.35">
      <c r="A832">
        <f>Coin3!A194</f>
        <v>1193</v>
      </c>
      <c r="B832">
        <f>Coin3!B194</f>
        <v>69.425000000000011</v>
      </c>
      <c r="C832">
        <f>Coin3!C194</f>
        <v>13.467000000000001</v>
      </c>
      <c r="D832">
        <f>Coin3!D194</f>
        <v>29.268068904621821</v>
      </c>
      <c r="E832" t="s">
        <v>45</v>
      </c>
    </row>
    <row r="833" spans="1:5" x14ac:dyDescent="0.35">
      <c r="A833">
        <f>Coin3!A195</f>
        <v>1194</v>
      </c>
      <c r="B833">
        <f>Coin3!B195</f>
        <v>56.099000000000004</v>
      </c>
      <c r="C833">
        <f>Coin3!C195</f>
        <v>16.16</v>
      </c>
      <c r="D833">
        <f>Coin3!D195</f>
        <v>29.268068904621821</v>
      </c>
      <c r="E833" t="s">
        <v>45</v>
      </c>
    </row>
    <row r="834" spans="1:5" x14ac:dyDescent="0.35">
      <c r="A834">
        <f>Coin3!A196</f>
        <v>1195</v>
      </c>
      <c r="B834">
        <f>Coin3!B196</f>
        <v>60.607500000000002</v>
      </c>
      <c r="C834">
        <f>Coin3!C196</f>
        <v>16.16</v>
      </c>
      <c r="D834">
        <f>Coin3!D196</f>
        <v>29.268068904621821</v>
      </c>
      <c r="E834" t="s">
        <v>45</v>
      </c>
    </row>
    <row r="835" spans="1:5" x14ac:dyDescent="0.35">
      <c r="A835">
        <f>Coin3!A197</f>
        <v>1196</v>
      </c>
      <c r="B835">
        <f>Coin3!B197</f>
        <v>61.837500000000006</v>
      </c>
      <c r="C835">
        <f>Coin3!C197</f>
        <v>16.16</v>
      </c>
      <c r="D835">
        <f>Coin3!D197</f>
        <v>29.268068904621821</v>
      </c>
      <c r="E835" t="s">
        <v>45</v>
      </c>
    </row>
    <row r="836" spans="1:5" x14ac:dyDescent="0.35">
      <c r="A836">
        <f>Coin3!A198</f>
        <v>1197</v>
      </c>
      <c r="B836">
        <f>Coin3!B198</f>
        <v>66.346000000000004</v>
      </c>
      <c r="C836">
        <f>Coin3!C198</f>
        <v>16.16</v>
      </c>
      <c r="D836">
        <f>Coin3!D198</f>
        <v>29.268068904621821</v>
      </c>
      <c r="E836" t="s">
        <v>45</v>
      </c>
    </row>
    <row r="837" spans="1:5" x14ac:dyDescent="0.35">
      <c r="A837">
        <f>Coin3!A199</f>
        <v>1198</v>
      </c>
      <c r="B837">
        <f>Coin3!B199</f>
        <v>69.425000000000011</v>
      </c>
      <c r="C837">
        <f>Coin3!C199</f>
        <v>16.16</v>
      </c>
      <c r="D837">
        <f>Coin3!D199</f>
        <v>29.268068904621821</v>
      </c>
      <c r="E837" t="s">
        <v>45</v>
      </c>
    </row>
    <row r="838" spans="1:5" x14ac:dyDescent="0.35">
      <c r="A838">
        <f>Coin3!A200</f>
        <v>1199</v>
      </c>
      <c r="B838">
        <f>Coin3!B200</f>
        <v>60.607500000000002</v>
      </c>
      <c r="C838">
        <f>Coin3!C200</f>
        <v>-0.35</v>
      </c>
      <c r="D838">
        <f>Coin3!D200</f>
        <v>29.75</v>
      </c>
      <c r="E838" t="s">
        <v>45</v>
      </c>
    </row>
    <row r="839" spans="1:5" x14ac:dyDescent="0.35">
      <c r="A839">
        <f>Coin3!A201</f>
        <v>1200</v>
      </c>
      <c r="B839">
        <f>Coin3!B201</f>
        <v>61.837500000000006</v>
      </c>
      <c r="C839">
        <f>Coin3!C201</f>
        <v>-0.35</v>
      </c>
      <c r="D839">
        <f>Coin3!D201</f>
        <v>29.75</v>
      </c>
      <c r="E839" t="s">
        <v>45</v>
      </c>
    </row>
    <row r="840" spans="1:5" x14ac:dyDescent="0.35">
      <c r="A840">
        <f>Coin3!A202</f>
        <v>1201</v>
      </c>
      <c r="B840">
        <f>Coin3!B202</f>
        <v>60.607500000000002</v>
      </c>
      <c r="C840">
        <f>Coin3!C202</f>
        <v>16.16</v>
      </c>
      <c r="D840">
        <f>Coin3!D202</f>
        <v>29.75</v>
      </c>
      <c r="E840" t="s">
        <v>45</v>
      </c>
    </row>
    <row r="841" spans="1:5" x14ac:dyDescent="0.35">
      <c r="A841">
        <f>Coin3!A203</f>
        <v>1202</v>
      </c>
      <c r="B841">
        <f>Coin3!B203</f>
        <v>61.837500000000006</v>
      </c>
      <c r="C841">
        <f>Coin3!C203</f>
        <v>16.16</v>
      </c>
      <c r="D841">
        <f>Coin3!D203</f>
        <v>29.75</v>
      </c>
      <c r="E841" t="s">
        <v>45</v>
      </c>
    </row>
    <row r="842" spans="1:5" x14ac:dyDescent="0.35">
      <c r="A842">
        <f>Coin3!A204</f>
        <v>1203</v>
      </c>
      <c r="B842">
        <f>Coin3!B204</f>
        <v>55.035000000000004</v>
      </c>
      <c r="C842">
        <f>Coin3!C204</f>
        <v>-0.35</v>
      </c>
      <c r="D842">
        <f>Coin3!D204</f>
        <v>32.176137809243642</v>
      </c>
      <c r="E842" t="s">
        <v>45</v>
      </c>
    </row>
    <row r="843" spans="1:5" x14ac:dyDescent="0.35">
      <c r="A843">
        <f>Coin3!A205</f>
        <v>1204</v>
      </c>
      <c r="B843">
        <f>Coin3!B205</f>
        <v>57.778000000000006</v>
      </c>
      <c r="C843">
        <f>Coin3!C205</f>
        <v>-0.35</v>
      </c>
      <c r="D843">
        <f>Coin3!D205</f>
        <v>32.176137809243642</v>
      </c>
      <c r="E843" t="s">
        <v>45</v>
      </c>
    </row>
    <row r="844" spans="1:5" x14ac:dyDescent="0.35">
      <c r="A844">
        <f>Coin3!A206</f>
        <v>1205</v>
      </c>
      <c r="B844">
        <f>Coin3!B206</f>
        <v>57.777948729810781</v>
      </c>
      <c r="C844">
        <f>Coin3!C206</f>
        <v>-0.35</v>
      </c>
      <c r="D844">
        <f>Coin3!D206</f>
        <v>32.176137809243642</v>
      </c>
      <c r="E844" t="s">
        <v>45</v>
      </c>
    </row>
    <row r="845" spans="1:5" x14ac:dyDescent="0.35">
      <c r="A845">
        <f>Coin3!A207</f>
        <v>1206</v>
      </c>
      <c r="B845">
        <f>Coin3!B207</f>
        <v>60.607500000000002</v>
      </c>
      <c r="C845">
        <f>Coin3!C207</f>
        <v>-0.35</v>
      </c>
      <c r="D845">
        <f>Coin3!D207</f>
        <v>32.176137809243642</v>
      </c>
      <c r="E845" t="s">
        <v>45</v>
      </c>
    </row>
    <row r="846" spans="1:5" x14ac:dyDescent="0.35">
      <c r="A846">
        <f>Coin3!A208</f>
        <v>1207</v>
      </c>
      <c r="B846">
        <f>Coin3!B208</f>
        <v>61.837500000000006</v>
      </c>
      <c r="C846">
        <f>Coin3!C208</f>
        <v>-0.35</v>
      </c>
      <c r="D846">
        <f>Coin3!D208</f>
        <v>32.176137809243642</v>
      </c>
      <c r="E846" t="s">
        <v>45</v>
      </c>
    </row>
    <row r="847" spans="1:5" x14ac:dyDescent="0.35">
      <c r="A847">
        <f>Coin3!A209</f>
        <v>1208</v>
      </c>
      <c r="B847">
        <f>Coin3!B209</f>
        <v>64.667051270189233</v>
      </c>
      <c r="C847">
        <f>Coin3!C209</f>
        <v>-0.35</v>
      </c>
      <c r="D847">
        <f>Coin3!D209</f>
        <v>32.176137809243642</v>
      </c>
      <c r="E847" t="s">
        <v>45</v>
      </c>
    </row>
    <row r="848" spans="1:5" x14ac:dyDescent="0.35">
      <c r="A848">
        <f>Coin3!A210</f>
        <v>1209</v>
      </c>
      <c r="B848">
        <f>Coin3!B210</f>
        <v>64.667000000000002</v>
      </c>
      <c r="C848">
        <f>Coin3!C210</f>
        <v>-0.35</v>
      </c>
      <c r="D848">
        <f>Coin3!D210</f>
        <v>32.176137809243642</v>
      </c>
      <c r="E848" t="s">
        <v>45</v>
      </c>
    </row>
    <row r="849" spans="1:5" x14ac:dyDescent="0.35">
      <c r="A849">
        <f>Coin3!A211</f>
        <v>1210</v>
      </c>
      <c r="B849">
        <f>Coin3!B211</f>
        <v>69.425000000000011</v>
      </c>
      <c r="C849">
        <f>Coin3!C211</f>
        <v>-0.35</v>
      </c>
      <c r="D849">
        <f>Coin3!D211</f>
        <v>32.176137809243642</v>
      </c>
      <c r="E849" t="s">
        <v>45</v>
      </c>
    </row>
    <row r="850" spans="1:5" x14ac:dyDescent="0.35">
      <c r="A850">
        <f>Coin3!A212</f>
        <v>1211</v>
      </c>
      <c r="B850">
        <f>Coin3!B212</f>
        <v>57.778000000000006</v>
      </c>
      <c r="C850">
        <f>Coin3!C212</f>
        <v>0</v>
      </c>
      <c r="D850">
        <f>Coin3!D212</f>
        <v>32.176137809243642</v>
      </c>
      <c r="E850" t="s">
        <v>45</v>
      </c>
    </row>
    <row r="851" spans="1:5" x14ac:dyDescent="0.35">
      <c r="A851">
        <f>Coin3!A213</f>
        <v>1212</v>
      </c>
      <c r="B851">
        <f>Coin3!B213</f>
        <v>64.667000000000002</v>
      </c>
      <c r="C851">
        <f>Coin3!C213</f>
        <v>0</v>
      </c>
      <c r="D851">
        <f>Coin3!D213</f>
        <v>32.176137809243642</v>
      </c>
      <c r="E851" t="s">
        <v>45</v>
      </c>
    </row>
    <row r="852" spans="1:5" x14ac:dyDescent="0.35">
      <c r="A852">
        <f>Coin3!A214</f>
        <v>1213</v>
      </c>
      <c r="B852">
        <f>Coin3!B214</f>
        <v>69.425000000000011</v>
      </c>
      <c r="C852">
        <f>Coin3!C214</f>
        <v>0</v>
      </c>
      <c r="D852">
        <f>Coin3!D214</f>
        <v>32.176137809243642</v>
      </c>
      <c r="E852" t="s">
        <v>45</v>
      </c>
    </row>
    <row r="853" spans="1:5" x14ac:dyDescent="0.35">
      <c r="A853">
        <f>Coin3!A215</f>
        <v>1214</v>
      </c>
      <c r="B853">
        <f>Coin3!B215</f>
        <v>69.425000000000011</v>
      </c>
      <c r="C853">
        <f>Coin3!C215</f>
        <v>2.6930000000000001</v>
      </c>
      <c r="D853">
        <f>Coin3!D215</f>
        <v>32.176137809243642</v>
      </c>
      <c r="E853" t="s">
        <v>45</v>
      </c>
    </row>
    <row r="854" spans="1:5" x14ac:dyDescent="0.35">
      <c r="A854">
        <f>Coin3!A216</f>
        <v>1215</v>
      </c>
      <c r="B854">
        <f>Coin3!B216</f>
        <v>69.425000000000011</v>
      </c>
      <c r="C854">
        <f>Coin3!C216</f>
        <v>5.3869999999999996</v>
      </c>
      <c r="D854">
        <f>Coin3!D216</f>
        <v>32.176137809243642</v>
      </c>
      <c r="E854" t="s">
        <v>45</v>
      </c>
    </row>
    <row r="855" spans="1:5" x14ac:dyDescent="0.35">
      <c r="A855">
        <f>Coin3!A217</f>
        <v>1216</v>
      </c>
      <c r="B855">
        <f>Coin3!B217</f>
        <v>57.778000000000006</v>
      </c>
      <c r="C855">
        <f>Coin3!C217</f>
        <v>8.08</v>
      </c>
      <c r="D855">
        <f>Coin3!D217</f>
        <v>32.176137809243642</v>
      </c>
      <c r="E855" t="s">
        <v>45</v>
      </c>
    </row>
    <row r="856" spans="1:5" x14ac:dyDescent="0.35">
      <c r="A856">
        <f>Coin3!A218</f>
        <v>1217</v>
      </c>
      <c r="B856">
        <f>Coin3!B218</f>
        <v>64.667000000000002</v>
      </c>
      <c r="C856">
        <f>Coin3!C218</f>
        <v>8.08</v>
      </c>
      <c r="D856">
        <f>Coin3!D218</f>
        <v>32.176137809243642</v>
      </c>
      <c r="E856" t="s">
        <v>45</v>
      </c>
    </row>
    <row r="857" spans="1:5" x14ac:dyDescent="0.35">
      <c r="A857">
        <f>Coin3!A219</f>
        <v>1218</v>
      </c>
      <c r="B857">
        <f>Coin3!B219</f>
        <v>69.425000000000011</v>
      </c>
      <c r="C857">
        <f>Coin3!C219</f>
        <v>8.08</v>
      </c>
      <c r="D857">
        <f>Coin3!D219</f>
        <v>32.176137809243642</v>
      </c>
      <c r="E857" t="s">
        <v>45</v>
      </c>
    </row>
    <row r="858" spans="1:5" x14ac:dyDescent="0.35">
      <c r="A858">
        <f>Coin3!A220</f>
        <v>1219</v>
      </c>
      <c r="B858">
        <f>Coin3!B220</f>
        <v>69.425000000000011</v>
      </c>
      <c r="C858">
        <f>Coin3!C220</f>
        <v>10.773</v>
      </c>
      <c r="D858">
        <f>Coin3!D220</f>
        <v>32.176137809243642</v>
      </c>
      <c r="E858" t="s">
        <v>45</v>
      </c>
    </row>
    <row r="859" spans="1:5" x14ac:dyDescent="0.35">
      <c r="A859">
        <f>Coin3!A221</f>
        <v>1220</v>
      </c>
      <c r="B859">
        <f>Coin3!B221</f>
        <v>69.425000000000011</v>
      </c>
      <c r="C859">
        <f>Coin3!C221</f>
        <v>13.467000000000001</v>
      </c>
      <c r="D859">
        <f>Coin3!D221</f>
        <v>32.176137809243642</v>
      </c>
      <c r="E859" t="s">
        <v>45</v>
      </c>
    </row>
    <row r="860" spans="1:5" x14ac:dyDescent="0.35">
      <c r="A860">
        <f>Coin3!A222</f>
        <v>1221</v>
      </c>
      <c r="B860">
        <f>Coin3!B222</f>
        <v>57.778000000000006</v>
      </c>
      <c r="C860">
        <f>Coin3!C222</f>
        <v>16.16</v>
      </c>
      <c r="D860">
        <f>Coin3!D222</f>
        <v>32.176137809243642</v>
      </c>
      <c r="E860" t="s">
        <v>45</v>
      </c>
    </row>
    <row r="861" spans="1:5" x14ac:dyDescent="0.35">
      <c r="A861">
        <f>Coin3!A223</f>
        <v>1222</v>
      </c>
      <c r="B861">
        <f>Coin3!B223</f>
        <v>60.607500000000002</v>
      </c>
      <c r="C861">
        <f>Coin3!C223</f>
        <v>16.16</v>
      </c>
      <c r="D861">
        <f>Coin3!D223</f>
        <v>32.176137809243642</v>
      </c>
      <c r="E861" t="s">
        <v>45</v>
      </c>
    </row>
    <row r="862" spans="1:5" x14ac:dyDescent="0.35">
      <c r="A862">
        <f>Coin3!A224</f>
        <v>1223</v>
      </c>
      <c r="B862">
        <f>Coin3!B224</f>
        <v>61.837500000000006</v>
      </c>
      <c r="C862">
        <f>Coin3!C224</f>
        <v>16.16</v>
      </c>
      <c r="D862">
        <f>Coin3!D224</f>
        <v>32.176137809243642</v>
      </c>
      <c r="E862" t="s">
        <v>45</v>
      </c>
    </row>
    <row r="863" spans="1:5" x14ac:dyDescent="0.35">
      <c r="A863">
        <f>Coin3!A225</f>
        <v>1224</v>
      </c>
      <c r="B863">
        <f>Coin3!B225</f>
        <v>64.667000000000002</v>
      </c>
      <c r="C863">
        <f>Coin3!C225</f>
        <v>16.16</v>
      </c>
      <c r="D863">
        <f>Coin3!D225</f>
        <v>32.176137809243642</v>
      </c>
      <c r="E863" t="s">
        <v>45</v>
      </c>
    </row>
    <row r="864" spans="1:5" x14ac:dyDescent="0.35">
      <c r="A864">
        <f>Coin3!A226</f>
        <v>1225</v>
      </c>
      <c r="B864">
        <f>Coin3!B226</f>
        <v>69.425000000000011</v>
      </c>
      <c r="C864">
        <f>Coin3!C226</f>
        <v>16.16</v>
      </c>
      <c r="D864">
        <f>Coin3!D226</f>
        <v>32.176137809243642</v>
      </c>
      <c r="E864" t="s">
        <v>45</v>
      </c>
    </row>
    <row r="865" spans="1:5" x14ac:dyDescent="0.35">
      <c r="A865">
        <f>Coin3!A227</f>
        <v>1226</v>
      </c>
      <c r="B865">
        <f>Coin3!B227</f>
        <v>53.805000000000007</v>
      </c>
      <c r="C865">
        <f>Coin3!C227</f>
        <v>-0.35</v>
      </c>
      <c r="D865">
        <f>Coin3!D227</f>
        <v>32.176137809243642</v>
      </c>
      <c r="E865" t="s">
        <v>45</v>
      </c>
    </row>
    <row r="866" spans="1:5" x14ac:dyDescent="0.35">
      <c r="A866">
        <f>Coin3!A228</f>
        <v>1227</v>
      </c>
      <c r="B866">
        <f>Coin3!B228</f>
        <v>55.035000000000004</v>
      </c>
      <c r="C866">
        <f>Coin3!C228</f>
        <v>-0.35</v>
      </c>
      <c r="D866">
        <f>Coin3!D228</f>
        <v>32.176137809243642</v>
      </c>
      <c r="E866" t="s">
        <v>45</v>
      </c>
    </row>
    <row r="867" spans="1:5" x14ac:dyDescent="0.35">
      <c r="A867">
        <f>Coin3!A229</f>
        <v>1228</v>
      </c>
      <c r="B867">
        <f>Coin3!B229</f>
        <v>57.777948729810781</v>
      </c>
      <c r="C867">
        <f>Coin3!C229</f>
        <v>-0.35</v>
      </c>
      <c r="D867">
        <f>Coin3!D229</f>
        <v>32.176137809243642</v>
      </c>
      <c r="E867" t="s">
        <v>45</v>
      </c>
    </row>
    <row r="868" spans="1:5" x14ac:dyDescent="0.35">
      <c r="A868">
        <f>Coin3!A230</f>
        <v>1229</v>
      </c>
      <c r="B868">
        <f>Coin3!B230</f>
        <v>60.607500000000002</v>
      </c>
      <c r="C868">
        <f>Coin3!C230</f>
        <v>-0.35</v>
      </c>
      <c r="D868">
        <f>Coin3!D230</f>
        <v>32.176137809243642</v>
      </c>
      <c r="E868" t="s">
        <v>45</v>
      </c>
    </row>
    <row r="869" spans="1:5" x14ac:dyDescent="0.35">
      <c r="A869">
        <f>Coin3!A231</f>
        <v>1230</v>
      </c>
      <c r="B869">
        <f>Coin3!B231</f>
        <v>61.837500000000006</v>
      </c>
      <c r="C869">
        <f>Coin3!C231</f>
        <v>-0.35</v>
      </c>
      <c r="D869">
        <f>Coin3!D231</f>
        <v>32.176137809243642</v>
      </c>
      <c r="E869" t="s">
        <v>45</v>
      </c>
    </row>
    <row r="870" spans="1:5" x14ac:dyDescent="0.35">
      <c r="A870">
        <f>Coin3!A232</f>
        <v>1231</v>
      </c>
      <c r="B870">
        <f>Coin3!B232</f>
        <v>64.667051270189233</v>
      </c>
      <c r="C870">
        <f>Coin3!C232</f>
        <v>-0.35</v>
      </c>
      <c r="D870">
        <f>Coin3!D232</f>
        <v>32.176137809243642</v>
      </c>
      <c r="E870" t="s">
        <v>45</v>
      </c>
    </row>
    <row r="871" spans="1:5" x14ac:dyDescent="0.35">
      <c r="A871">
        <f>Coin3!A233</f>
        <v>1232</v>
      </c>
      <c r="B871">
        <f>Coin3!B233</f>
        <v>69.425000000000011</v>
      </c>
      <c r="C871">
        <f>Coin3!C233</f>
        <v>-0.35</v>
      </c>
      <c r="D871">
        <f>Coin3!D233</f>
        <v>32.176137809243642</v>
      </c>
      <c r="E871" t="s">
        <v>45</v>
      </c>
    </row>
    <row r="872" spans="1:5" x14ac:dyDescent="0.35">
      <c r="A872">
        <f>Coin3!A234</f>
        <v>1233</v>
      </c>
      <c r="B872">
        <f>Coin3!B234</f>
        <v>57.777948729810781</v>
      </c>
      <c r="C872">
        <f>Coin3!C234</f>
        <v>0</v>
      </c>
      <c r="D872">
        <f>Coin3!D234</f>
        <v>32.176137809243642</v>
      </c>
      <c r="E872" t="s">
        <v>45</v>
      </c>
    </row>
    <row r="873" spans="1:5" x14ac:dyDescent="0.35">
      <c r="A873">
        <f>Coin3!A235</f>
        <v>1234</v>
      </c>
      <c r="B873">
        <f>Coin3!B235</f>
        <v>60.607500000000002</v>
      </c>
      <c r="C873">
        <f>Coin3!C235</f>
        <v>0</v>
      </c>
      <c r="D873">
        <f>Coin3!D235</f>
        <v>32.176137809243642</v>
      </c>
      <c r="E873" t="s">
        <v>45</v>
      </c>
    </row>
    <row r="874" spans="1:5" x14ac:dyDescent="0.35">
      <c r="A874">
        <f>Coin3!A236</f>
        <v>1235</v>
      </c>
      <c r="B874">
        <f>Coin3!B236</f>
        <v>61.222500000000004</v>
      </c>
      <c r="C874">
        <f>Coin3!C236</f>
        <v>0</v>
      </c>
      <c r="D874">
        <f>Coin3!D236</f>
        <v>32.176137809243642</v>
      </c>
      <c r="E874" t="s">
        <v>45</v>
      </c>
    </row>
    <row r="875" spans="1:5" x14ac:dyDescent="0.35">
      <c r="A875">
        <f>Coin3!A237</f>
        <v>1236</v>
      </c>
      <c r="B875">
        <f>Coin3!B237</f>
        <v>61.837500000000006</v>
      </c>
      <c r="C875">
        <f>Coin3!C237</f>
        <v>0</v>
      </c>
      <c r="D875">
        <f>Coin3!D237</f>
        <v>32.176137809243642</v>
      </c>
      <c r="E875" t="s">
        <v>45</v>
      </c>
    </row>
    <row r="876" spans="1:5" x14ac:dyDescent="0.35">
      <c r="A876">
        <f>Coin3!A238</f>
        <v>1237</v>
      </c>
      <c r="B876">
        <f>Coin3!B238</f>
        <v>64.667051270189233</v>
      </c>
      <c r="C876">
        <f>Coin3!C238</f>
        <v>0</v>
      </c>
      <c r="D876">
        <f>Coin3!D238</f>
        <v>32.176137809243642</v>
      </c>
      <c r="E876" t="s">
        <v>45</v>
      </c>
    </row>
    <row r="877" spans="1:5" x14ac:dyDescent="0.35">
      <c r="A877">
        <f>Coin3!A239</f>
        <v>1238</v>
      </c>
      <c r="B877">
        <f>Coin3!B239</f>
        <v>69.425000000000011</v>
      </c>
      <c r="C877">
        <f>Coin3!C239</f>
        <v>0</v>
      </c>
      <c r="D877">
        <f>Coin3!D239</f>
        <v>32.176137809243642</v>
      </c>
      <c r="E877" t="s">
        <v>45</v>
      </c>
    </row>
    <row r="878" spans="1:5" x14ac:dyDescent="0.35">
      <c r="A878">
        <f>Coin3!A240</f>
        <v>1239</v>
      </c>
      <c r="B878">
        <f>Coin3!B240</f>
        <v>69.425000000000011</v>
      </c>
      <c r="C878">
        <f>Coin3!C240</f>
        <v>2.6930000000000001</v>
      </c>
      <c r="D878">
        <f>Coin3!D240</f>
        <v>32.176137809243642</v>
      </c>
      <c r="E878" t="s">
        <v>45</v>
      </c>
    </row>
    <row r="879" spans="1:5" x14ac:dyDescent="0.35">
      <c r="A879">
        <f>Coin3!A241</f>
        <v>1240</v>
      </c>
      <c r="B879">
        <f>Coin3!B241</f>
        <v>61.222500000000004</v>
      </c>
      <c r="C879">
        <f>Coin3!C241</f>
        <v>4.04</v>
      </c>
      <c r="D879">
        <f>Coin3!D241</f>
        <v>32.176137809243642</v>
      </c>
      <c r="E879" t="s">
        <v>45</v>
      </c>
    </row>
    <row r="880" spans="1:5" x14ac:dyDescent="0.35">
      <c r="A880">
        <f>Coin3!A242</f>
        <v>1241</v>
      </c>
      <c r="B880">
        <f>Coin3!B242</f>
        <v>69.425000000000011</v>
      </c>
      <c r="C880">
        <f>Coin3!C242</f>
        <v>5.3869999999999996</v>
      </c>
      <c r="D880">
        <f>Coin3!D242</f>
        <v>32.176137809243642</v>
      </c>
      <c r="E880" t="s">
        <v>45</v>
      </c>
    </row>
    <row r="881" spans="1:5" x14ac:dyDescent="0.35">
      <c r="A881">
        <f>Coin3!A243</f>
        <v>1242</v>
      </c>
      <c r="B881">
        <f>Coin3!B243</f>
        <v>57.777948729810781</v>
      </c>
      <c r="C881">
        <f>Coin3!C243</f>
        <v>8.08</v>
      </c>
      <c r="D881">
        <f>Coin3!D243</f>
        <v>32.176137809243642</v>
      </c>
      <c r="E881" t="s">
        <v>45</v>
      </c>
    </row>
    <row r="882" spans="1:5" x14ac:dyDescent="0.35">
      <c r="A882">
        <f>Coin3!A244</f>
        <v>1243</v>
      </c>
      <c r="B882">
        <f>Coin3!B244</f>
        <v>60.607500000000002</v>
      </c>
      <c r="C882">
        <f>Coin3!C244</f>
        <v>8.08</v>
      </c>
      <c r="D882">
        <f>Coin3!D244</f>
        <v>32.176137809243642</v>
      </c>
      <c r="E882" t="s">
        <v>45</v>
      </c>
    </row>
    <row r="883" spans="1:5" x14ac:dyDescent="0.35">
      <c r="A883">
        <f>Coin3!A245</f>
        <v>1244</v>
      </c>
      <c r="B883">
        <f>Coin3!B245</f>
        <v>61.222500000000004</v>
      </c>
      <c r="C883">
        <f>Coin3!C245</f>
        <v>8.08</v>
      </c>
      <c r="D883">
        <f>Coin3!D245</f>
        <v>32.176137809243642</v>
      </c>
      <c r="E883" t="s">
        <v>45</v>
      </c>
    </row>
    <row r="884" spans="1:5" x14ac:dyDescent="0.35">
      <c r="A884">
        <f>Coin3!A246</f>
        <v>1245</v>
      </c>
      <c r="B884">
        <f>Coin3!B246</f>
        <v>61.837500000000006</v>
      </c>
      <c r="C884">
        <f>Coin3!C246</f>
        <v>8.08</v>
      </c>
      <c r="D884">
        <f>Coin3!D246</f>
        <v>32.176137809243642</v>
      </c>
      <c r="E884" t="s">
        <v>45</v>
      </c>
    </row>
    <row r="885" spans="1:5" x14ac:dyDescent="0.35">
      <c r="A885">
        <f>Coin3!A247</f>
        <v>1246</v>
      </c>
      <c r="B885">
        <f>Coin3!B247</f>
        <v>64.667051270189233</v>
      </c>
      <c r="C885">
        <f>Coin3!C247</f>
        <v>8.08</v>
      </c>
      <c r="D885">
        <f>Coin3!D247</f>
        <v>32.176137809243642</v>
      </c>
      <c r="E885" t="s">
        <v>45</v>
      </c>
    </row>
    <row r="886" spans="1:5" x14ac:dyDescent="0.35">
      <c r="A886">
        <f>Coin3!A248</f>
        <v>1247</v>
      </c>
      <c r="B886">
        <f>Coin3!B248</f>
        <v>69.425000000000011</v>
      </c>
      <c r="C886">
        <f>Coin3!C248</f>
        <v>8.08</v>
      </c>
      <c r="D886">
        <f>Coin3!D248</f>
        <v>32.176137809243642</v>
      </c>
      <c r="E886" t="s">
        <v>45</v>
      </c>
    </row>
    <row r="887" spans="1:5" x14ac:dyDescent="0.35">
      <c r="A887">
        <f>Coin3!A249</f>
        <v>1248</v>
      </c>
      <c r="B887">
        <f>Coin3!B249</f>
        <v>69.425000000000011</v>
      </c>
      <c r="C887">
        <f>Coin3!C249</f>
        <v>10.773</v>
      </c>
      <c r="D887">
        <f>Coin3!D249</f>
        <v>32.176137809243642</v>
      </c>
      <c r="E887" t="s">
        <v>45</v>
      </c>
    </row>
    <row r="888" spans="1:5" x14ac:dyDescent="0.35">
      <c r="A888">
        <f>Coin3!A250</f>
        <v>1249</v>
      </c>
      <c r="B888">
        <f>Coin3!B250</f>
        <v>61.222500000000004</v>
      </c>
      <c r="C888">
        <f>Coin3!C250</f>
        <v>12.12</v>
      </c>
      <c r="D888">
        <f>Coin3!D250</f>
        <v>32.176137809243642</v>
      </c>
      <c r="E888" t="s">
        <v>45</v>
      </c>
    </row>
    <row r="889" spans="1:5" x14ac:dyDescent="0.35">
      <c r="A889">
        <f>Coin3!A251</f>
        <v>1250</v>
      </c>
      <c r="B889">
        <f>Coin3!B251</f>
        <v>69.425000000000011</v>
      </c>
      <c r="C889">
        <f>Coin3!C251</f>
        <v>13.467000000000001</v>
      </c>
      <c r="D889">
        <f>Coin3!D251</f>
        <v>32.176137809243642</v>
      </c>
      <c r="E889" t="s">
        <v>45</v>
      </c>
    </row>
    <row r="890" spans="1:5" x14ac:dyDescent="0.35">
      <c r="A890">
        <f>Coin3!A252</f>
        <v>1251</v>
      </c>
      <c r="B890">
        <f>Coin3!B252</f>
        <v>57.777948729810781</v>
      </c>
      <c r="C890">
        <f>Coin3!C252</f>
        <v>16.16</v>
      </c>
      <c r="D890">
        <f>Coin3!D252</f>
        <v>32.176137809243642</v>
      </c>
      <c r="E890" t="s">
        <v>45</v>
      </c>
    </row>
    <row r="891" spans="1:5" x14ac:dyDescent="0.35">
      <c r="A891">
        <f>Coin3!A253</f>
        <v>1252</v>
      </c>
      <c r="B891">
        <f>Coin3!B253</f>
        <v>60.607500000000002</v>
      </c>
      <c r="C891">
        <f>Coin3!C253</f>
        <v>16.16</v>
      </c>
      <c r="D891">
        <f>Coin3!D253</f>
        <v>32.176137809243642</v>
      </c>
      <c r="E891" t="s">
        <v>45</v>
      </c>
    </row>
    <row r="892" spans="1:5" x14ac:dyDescent="0.35">
      <c r="A892">
        <f>Coin3!A254</f>
        <v>1253</v>
      </c>
      <c r="B892">
        <f>Coin3!B254</f>
        <v>61.222500000000004</v>
      </c>
      <c r="C892">
        <f>Coin3!C254</f>
        <v>16.16</v>
      </c>
      <c r="D892">
        <f>Coin3!D254</f>
        <v>32.176137809243642</v>
      </c>
      <c r="E892" t="s">
        <v>45</v>
      </c>
    </row>
    <row r="893" spans="1:5" x14ac:dyDescent="0.35">
      <c r="A893">
        <f>Coin3!A255</f>
        <v>1254</v>
      </c>
      <c r="B893">
        <f>Coin3!B255</f>
        <v>61.837500000000006</v>
      </c>
      <c r="C893">
        <f>Coin3!C255</f>
        <v>16.16</v>
      </c>
      <c r="D893">
        <f>Coin3!D255</f>
        <v>32.176137809243642</v>
      </c>
      <c r="E893" t="s">
        <v>45</v>
      </c>
    </row>
    <row r="894" spans="1:5" x14ac:dyDescent="0.35">
      <c r="A894">
        <f>Coin3!A256</f>
        <v>1255</v>
      </c>
      <c r="B894">
        <f>Coin3!B256</f>
        <v>64.667051270189233</v>
      </c>
      <c r="C894">
        <f>Coin3!C256</f>
        <v>16.16</v>
      </c>
      <c r="D894">
        <f>Coin3!D256</f>
        <v>32.176137809243642</v>
      </c>
      <c r="E894" t="s">
        <v>45</v>
      </c>
    </row>
    <row r="895" spans="1:5" x14ac:dyDescent="0.35">
      <c r="A895">
        <f>Coin3!A257</f>
        <v>1256</v>
      </c>
      <c r="B895">
        <f>Coin3!B257</f>
        <v>69.425000000000011</v>
      </c>
      <c r="C895">
        <f>Coin3!C257</f>
        <v>16.16</v>
      </c>
      <c r="D895">
        <f>Coin3!D257</f>
        <v>32.176137809243642</v>
      </c>
      <c r="E895" t="s">
        <v>45</v>
      </c>
    </row>
    <row r="896" spans="1:5" x14ac:dyDescent="0.35">
      <c r="A896">
        <f>Coin3!A258</f>
        <v>1257</v>
      </c>
      <c r="B896">
        <f>Coin3!B258</f>
        <v>51.06205127018923</v>
      </c>
      <c r="C896">
        <f>Coin3!C258</f>
        <v>-0.35</v>
      </c>
      <c r="D896">
        <f>Coin3!D258</f>
        <v>35.084206713865463</v>
      </c>
      <c r="E896" t="s">
        <v>45</v>
      </c>
    </row>
    <row r="897" spans="1:5" x14ac:dyDescent="0.35">
      <c r="A897">
        <f>Coin3!A259</f>
        <v>1258</v>
      </c>
      <c r="B897">
        <f>Coin3!B259</f>
        <v>57.777948729810781</v>
      </c>
      <c r="C897">
        <f>Coin3!C259</f>
        <v>-0.35</v>
      </c>
      <c r="D897">
        <f>Coin3!D259</f>
        <v>35.084206713865463</v>
      </c>
      <c r="E897" t="s">
        <v>45</v>
      </c>
    </row>
    <row r="898" spans="1:5" x14ac:dyDescent="0.35">
      <c r="A898">
        <f>Coin3!A260</f>
        <v>1259</v>
      </c>
      <c r="B898">
        <f>Coin3!B260</f>
        <v>59.457000000000008</v>
      </c>
      <c r="C898">
        <f>Coin3!C260</f>
        <v>-0.35</v>
      </c>
      <c r="D898">
        <f>Coin3!D260</f>
        <v>35.084206713865463</v>
      </c>
      <c r="E898" t="s">
        <v>45</v>
      </c>
    </row>
    <row r="899" spans="1:5" x14ac:dyDescent="0.35">
      <c r="A899">
        <f>Coin3!A261</f>
        <v>1260</v>
      </c>
      <c r="B899">
        <f>Coin3!B261</f>
        <v>62.988000000000007</v>
      </c>
      <c r="C899">
        <f>Coin3!C261</f>
        <v>-0.35</v>
      </c>
      <c r="D899">
        <f>Coin3!D261</f>
        <v>35.084206713865463</v>
      </c>
      <c r="E899" t="s">
        <v>45</v>
      </c>
    </row>
    <row r="900" spans="1:5" x14ac:dyDescent="0.35">
      <c r="A900">
        <f>Coin3!A262</f>
        <v>1261</v>
      </c>
      <c r="B900">
        <f>Coin3!B262</f>
        <v>64.667051270189233</v>
      </c>
      <c r="C900">
        <f>Coin3!C262</f>
        <v>-0.35</v>
      </c>
      <c r="D900">
        <f>Coin3!D262</f>
        <v>35.084206713865463</v>
      </c>
      <c r="E900" t="s">
        <v>45</v>
      </c>
    </row>
    <row r="901" spans="1:5" x14ac:dyDescent="0.35">
      <c r="A901">
        <f>Coin3!A263</f>
        <v>1262</v>
      </c>
      <c r="B901">
        <f>Coin3!B263</f>
        <v>69.425000000000011</v>
      </c>
      <c r="C901">
        <f>Coin3!C263</f>
        <v>-0.35</v>
      </c>
      <c r="D901">
        <f>Coin3!D263</f>
        <v>35.084206713865463</v>
      </c>
      <c r="E901" t="s">
        <v>45</v>
      </c>
    </row>
    <row r="902" spans="1:5" x14ac:dyDescent="0.35">
      <c r="A902">
        <f>Coin3!A264</f>
        <v>1263</v>
      </c>
      <c r="B902">
        <f>Coin3!B264</f>
        <v>59.457000000000008</v>
      </c>
      <c r="C902">
        <f>Coin3!C264</f>
        <v>0</v>
      </c>
      <c r="D902">
        <f>Coin3!D264</f>
        <v>35.084206713865463</v>
      </c>
      <c r="E902" t="s">
        <v>45</v>
      </c>
    </row>
    <row r="903" spans="1:5" x14ac:dyDescent="0.35">
      <c r="A903">
        <f>Coin3!A265</f>
        <v>1264</v>
      </c>
      <c r="B903">
        <f>Coin3!B265</f>
        <v>62.988000000000007</v>
      </c>
      <c r="C903">
        <f>Coin3!C265</f>
        <v>0</v>
      </c>
      <c r="D903">
        <f>Coin3!D265</f>
        <v>35.084206713865463</v>
      </c>
      <c r="E903" t="s">
        <v>45</v>
      </c>
    </row>
    <row r="904" spans="1:5" x14ac:dyDescent="0.35">
      <c r="A904">
        <f>Coin3!A266</f>
        <v>1265</v>
      </c>
      <c r="B904">
        <f>Coin3!B266</f>
        <v>69.425000000000011</v>
      </c>
      <c r="C904">
        <f>Coin3!C266</f>
        <v>0</v>
      </c>
      <c r="D904">
        <f>Coin3!D266</f>
        <v>35.084206713865463</v>
      </c>
      <c r="E904" t="s">
        <v>45</v>
      </c>
    </row>
    <row r="905" spans="1:5" x14ac:dyDescent="0.35">
      <c r="A905">
        <f>Coin3!A267</f>
        <v>1266</v>
      </c>
      <c r="B905">
        <f>Coin3!B267</f>
        <v>69.425000000000011</v>
      </c>
      <c r="C905">
        <f>Coin3!C267</f>
        <v>2.6930000000000001</v>
      </c>
      <c r="D905">
        <f>Coin3!D267</f>
        <v>35.084206713865463</v>
      </c>
      <c r="E905" t="s">
        <v>45</v>
      </c>
    </row>
    <row r="906" spans="1:5" x14ac:dyDescent="0.35">
      <c r="A906">
        <f>Coin3!A268</f>
        <v>1267</v>
      </c>
      <c r="B906">
        <f>Coin3!B268</f>
        <v>69.425000000000011</v>
      </c>
      <c r="C906">
        <f>Coin3!C268</f>
        <v>5.3869999999999996</v>
      </c>
      <c r="D906">
        <f>Coin3!D268</f>
        <v>35.084206713865463</v>
      </c>
      <c r="E906" t="s">
        <v>45</v>
      </c>
    </row>
    <row r="907" spans="1:5" x14ac:dyDescent="0.35">
      <c r="A907">
        <f>Coin3!A269</f>
        <v>1268</v>
      </c>
      <c r="B907">
        <f>Coin3!B269</f>
        <v>59.457000000000008</v>
      </c>
      <c r="C907">
        <f>Coin3!C269</f>
        <v>8.08</v>
      </c>
      <c r="D907">
        <f>Coin3!D269</f>
        <v>35.084206713865463</v>
      </c>
      <c r="E907" t="s">
        <v>45</v>
      </c>
    </row>
    <row r="908" spans="1:5" x14ac:dyDescent="0.35">
      <c r="A908">
        <f>Coin3!A270</f>
        <v>1269</v>
      </c>
      <c r="B908">
        <f>Coin3!B270</f>
        <v>62.988000000000007</v>
      </c>
      <c r="C908">
        <f>Coin3!C270</f>
        <v>8.08</v>
      </c>
      <c r="D908">
        <f>Coin3!D270</f>
        <v>35.084206713865463</v>
      </c>
      <c r="E908" t="s">
        <v>45</v>
      </c>
    </row>
    <row r="909" spans="1:5" x14ac:dyDescent="0.35">
      <c r="A909">
        <f>Coin3!A271</f>
        <v>1270</v>
      </c>
      <c r="B909">
        <f>Coin3!B271</f>
        <v>69.425000000000011</v>
      </c>
      <c r="C909">
        <f>Coin3!C271</f>
        <v>8.08</v>
      </c>
      <c r="D909">
        <f>Coin3!D271</f>
        <v>35.084206713865463</v>
      </c>
      <c r="E909" t="s">
        <v>45</v>
      </c>
    </row>
    <row r="910" spans="1:5" x14ac:dyDescent="0.35">
      <c r="A910">
        <f>Coin3!A272</f>
        <v>1271</v>
      </c>
      <c r="B910">
        <f>Coin3!B272</f>
        <v>69.425000000000011</v>
      </c>
      <c r="C910">
        <f>Coin3!C272</f>
        <v>10.773</v>
      </c>
      <c r="D910">
        <f>Coin3!D272</f>
        <v>35.084206713865463</v>
      </c>
      <c r="E910" t="s">
        <v>45</v>
      </c>
    </row>
    <row r="911" spans="1:5" x14ac:dyDescent="0.35">
      <c r="A911">
        <f>Coin3!A273</f>
        <v>1272</v>
      </c>
      <c r="B911">
        <f>Coin3!B273</f>
        <v>69.425000000000011</v>
      </c>
      <c r="C911">
        <f>Coin3!C273</f>
        <v>13.467000000000001</v>
      </c>
      <c r="D911">
        <f>Coin3!D273</f>
        <v>35.084206713865463</v>
      </c>
      <c r="E911" t="s">
        <v>45</v>
      </c>
    </row>
    <row r="912" spans="1:5" x14ac:dyDescent="0.35">
      <c r="A912">
        <f>Coin3!A274</f>
        <v>1273</v>
      </c>
      <c r="B912">
        <f>Coin3!B274</f>
        <v>59.457000000000008</v>
      </c>
      <c r="C912">
        <f>Coin3!C274</f>
        <v>16.16</v>
      </c>
      <c r="D912">
        <f>Coin3!D274</f>
        <v>35.084206713865463</v>
      </c>
      <c r="E912" t="s">
        <v>45</v>
      </c>
    </row>
    <row r="913" spans="1:5" x14ac:dyDescent="0.35">
      <c r="A913">
        <f>Coin3!A275</f>
        <v>1274</v>
      </c>
      <c r="B913">
        <f>Coin3!B275</f>
        <v>62.988000000000007</v>
      </c>
      <c r="C913">
        <f>Coin3!C275</f>
        <v>16.16</v>
      </c>
      <c r="D913">
        <f>Coin3!D275</f>
        <v>35.084206713865463</v>
      </c>
      <c r="E913" t="s">
        <v>45</v>
      </c>
    </row>
    <row r="914" spans="1:5" x14ac:dyDescent="0.35">
      <c r="A914">
        <f>Coin3!A276</f>
        <v>1275</v>
      </c>
      <c r="B914">
        <f>Coin3!B276</f>
        <v>69.425000000000011</v>
      </c>
      <c r="C914">
        <f>Coin3!C276</f>
        <v>16.16</v>
      </c>
      <c r="D914">
        <f>Coin3!D276</f>
        <v>35.084206713865463</v>
      </c>
      <c r="E914" t="s">
        <v>45</v>
      </c>
    </row>
    <row r="915" spans="1:5" x14ac:dyDescent="0.35">
      <c r="A915">
        <f>Coin3!A277</f>
        <v>1276</v>
      </c>
      <c r="B915">
        <f>Coin3!B277</f>
        <v>51.06205127018923</v>
      </c>
      <c r="C915">
        <f>Coin3!C277</f>
        <v>-0.35</v>
      </c>
      <c r="D915">
        <f>Coin3!D277</f>
        <v>37.992275618487284</v>
      </c>
      <c r="E915" t="s">
        <v>45</v>
      </c>
    </row>
    <row r="916" spans="1:5" x14ac:dyDescent="0.35">
      <c r="A916">
        <f>Coin3!A278</f>
        <v>1277</v>
      </c>
      <c r="B916">
        <f>Coin3!B278</f>
        <v>57.777948729810781</v>
      </c>
      <c r="C916">
        <f>Coin3!C278</f>
        <v>-0.35</v>
      </c>
      <c r="D916">
        <f>Coin3!D278</f>
        <v>37.992275618487284</v>
      </c>
      <c r="E916" t="s">
        <v>45</v>
      </c>
    </row>
    <row r="917" spans="1:5" x14ac:dyDescent="0.35">
      <c r="A917">
        <f>Coin3!A279</f>
        <v>1278</v>
      </c>
      <c r="B917">
        <f>Coin3!B279</f>
        <v>61.136000000000003</v>
      </c>
      <c r="C917">
        <f>Coin3!C279</f>
        <v>-0.35</v>
      </c>
      <c r="D917">
        <f>Coin3!D279</f>
        <v>37.992275618487284</v>
      </c>
      <c r="E917" t="s">
        <v>45</v>
      </c>
    </row>
    <row r="918" spans="1:5" x14ac:dyDescent="0.35">
      <c r="A918">
        <f>Coin3!A280</f>
        <v>1279</v>
      </c>
      <c r="B918">
        <f>Coin3!B280</f>
        <v>61.309000000000005</v>
      </c>
      <c r="C918">
        <f>Coin3!C280</f>
        <v>-0.35</v>
      </c>
      <c r="D918">
        <f>Coin3!D280</f>
        <v>37.992275618487284</v>
      </c>
      <c r="E918" t="s">
        <v>45</v>
      </c>
    </row>
    <row r="919" spans="1:5" x14ac:dyDescent="0.35">
      <c r="A919">
        <f>Coin3!A281</f>
        <v>1280</v>
      </c>
      <c r="B919">
        <f>Coin3!B281</f>
        <v>64.667051270189233</v>
      </c>
      <c r="C919">
        <f>Coin3!C281</f>
        <v>-0.35</v>
      </c>
      <c r="D919">
        <f>Coin3!D281</f>
        <v>37.992275618487284</v>
      </c>
      <c r="E919" t="s">
        <v>45</v>
      </c>
    </row>
    <row r="920" spans="1:5" x14ac:dyDescent="0.35">
      <c r="A920">
        <f>Coin3!A282</f>
        <v>1281</v>
      </c>
      <c r="B920">
        <f>Coin3!B282</f>
        <v>69.425000000000011</v>
      </c>
      <c r="C920">
        <f>Coin3!C282</f>
        <v>-0.35</v>
      </c>
      <c r="D920">
        <f>Coin3!D282</f>
        <v>37.992275618487284</v>
      </c>
      <c r="E920" t="s">
        <v>45</v>
      </c>
    </row>
    <row r="921" spans="1:5" x14ac:dyDescent="0.35">
      <c r="A921">
        <f>Coin3!A283</f>
        <v>1282</v>
      </c>
      <c r="B921">
        <f>Coin3!B283</f>
        <v>61.136000000000003</v>
      </c>
      <c r="C921">
        <f>Coin3!C283</f>
        <v>0</v>
      </c>
      <c r="D921">
        <f>Coin3!D283</f>
        <v>37.992275618487284</v>
      </c>
      <c r="E921" t="s">
        <v>45</v>
      </c>
    </row>
    <row r="922" spans="1:5" x14ac:dyDescent="0.35">
      <c r="A922">
        <f>Coin3!A284</f>
        <v>1283</v>
      </c>
      <c r="B922">
        <f>Coin3!B284</f>
        <v>61.309000000000005</v>
      </c>
      <c r="C922">
        <f>Coin3!C284</f>
        <v>0</v>
      </c>
      <c r="D922">
        <f>Coin3!D284</f>
        <v>37.992275618487284</v>
      </c>
      <c r="E922" t="s">
        <v>45</v>
      </c>
    </row>
    <row r="923" spans="1:5" x14ac:dyDescent="0.35">
      <c r="A923">
        <f>Coin3!A285</f>
        <v>1284</v>
      </c>
      <c r="B923">
        <f>Coin3!B285</f>
        <v>69.425000000000011</v>
      </c>
      <c r="C923">
        <f>Coin3!C285</f>
        <v>0</v>
      </c>
      <c r="D923">
        <f>Coin3!D285</f>
        <v>37.992275618487284</v>
      </c>
      <c r="E923" t="s">
        <v>45</v>
      </c>
    </row>
    <row r="924" spans="1:5" x14ac:dyDescent="0.35">
      <c r="A924">
        <f>Coin3!A286</f>
        <v>1285</v>
      </c>
      <c r="B924">
        <f>Coin3!B286</f>
        <v>69.425000000000011</v>
      </c>
      <c r="C924">
        <f>Coin3!C286</f>
        <v>2.6930000000000001</v>
      </c>
      <c r="D924">
        <f>Coin3!D286</f>
        <v>37.992275618487284</v>
      </c>
      <c r="E924" t="s">
        <v>45</v>
      </c>
    </row>
    <row r="925" spans="1:5" x14ac:dyDescent="0.35">
      <c r="A925">
        <f>Coin3!A287</f>
        <v>1286</v>
      </c>
      <c r="B925">
        <f>Coin3!B287</f>
        <v>69.425000000000011</v>
      </c>
      <c r="C925">
        <f>Coin3!C287</f>
        <v>5.3869999999999996</v>
      </c>
      <c r="D925">
        <f>Coin3!D287</f>
        <v>37.992275618487284</v>
      </c>
      <c r="E925" t="s">
        <v>45</v>
      </c>
    </row>
    <row r="926" spans="1:5" x14ac:dyDescent="0.35">
      <c r="A926">
        <f>Coin3!A288</f>
        <v>1287</v>
      </c>
      <c r="B926">
        <f>Coin3!B288</f>
        <v>61.136000000000003</v>
      </c>
      <c r="C926">
        <f>Coin3!C288</f>
        <v>8.08</v>
      </c>
      <c r="D926">
        <f>Coin3!D288</f>
        <v>37.992275618487284</v>
      </c>
      <c r="E926" t="s">
        <v>45</v>
      </c>
    </row>
    <row r="927" spans="1:5" x14ac:dyDescent="0.35">
      <c r="A927">
        <f>Coin3!A289</f>
        <v>1288</v>
      </c>
      <c r="B927">
        <f>Coin3!B289</f>
        <v>61.309000000000005</v>
      </c>
      <c r="C927">
        <f>Coin3!C289</f>
        <v>8.08</v>
      </c>
      <c r="D927">
        <f>Coin3!D289</f>
        <v>37.992275618487284</v>
      </c>
      <c r="E927" t="s">
        <v>45</v>
      </c>
    </row>
    <row r="928" spans="1:5" x14ac:dyDescent="0.35">
      <c r="A928">
        <f>Coin3!A290</f>
        <v>1289</v>
      </c>
      <c r="B928">
        <f>Coin3!B290</f>
        <v>69.425000000000011</v>
      </c>
      <c r="C928">
        <f>Coin3!C290</f>
        <v>8.08</v>
      </c>
      <c r="D928">
        <f>Coin3!D290</f>
        <v>37.992275618487284</v>
      </c>
      <c r="E928" t="s">
        <v>45</v>
      </c>
    </row>
    <row r="929" spans="1:5" x14ac:dyDescent="0.35">
      <c r="A929">
        <f>Coin3!A291</f>
        <v>1290</v>
      </c>
      <c r="B929">
        <f>Coin3!B291</f>
        <v>69.425000000000011</v>
      </c>
      <c r="C929">
        <f>Coin3!C291</f>
        <v>10.773</v>
      </c>
      <c r="D929">
        <f>Coin3!D291</f>
        <v>37.992275618487284</v>
      </c>
      <c r="E929" t="s">
        <v>45</v>
      </c>
    </row>
    <row r="930" spans="1:5" x14ac:dyDescent="0.35">
      <c r="A930">
        <f>Coin3!A292</f>
        <v>1291</v>
      </c>
      <c r="B930">
        <f>Coin3!B292</f>
        <v>69.425000000000011</v>
      </c>
      <c r="C930">
        <f>Coin3!C292</f>
        <v>13.467000000000001</v>
      </c>
      <c r="D930">
        <f>Coin3!D292</f>
        <v>37.992275618487284</v>
      </c>
      <c r="E930" t="s">
        <v>45</v>
      </c>
    </row>
    <row r="931" spans="1:5" x14ac:dyDescent="0.35">
      <c r="A931">
        <f>Coin3!A293</f>
        <v>1292</v>
      </c>
      <c r="B931">
        <f>Coin3!B293</f>
        <v>61.136000000000003</v>
      </c>
      <c r="C931">
        <f>Coin3!C293</f>
        <v>16.16</v>
      </c>
      <c r="D931">
        <f>Coin3!D293</f>
        <v>37.992275618487284</v>
      </c>
      <c r="E931" t="s">
        <v>45</v>
      </c>
    </row>
    <row r="932" spans="1:5" x14ac:dyDescent="0.35">
      <c r="A932">
        <f>Coin3!A294</f>
        <v>1293</v>
      </c>
      <c r="B932">
        <f>Coin3!B294</f>
        <v>61.309000000000005</v>
      </c>
      <c r="C932">
        <f>Coin3!C294</f>
        <v>16.16</v>
      </c>
      <c r="D932">
        <f>Coin3!D294</f>
        <v>37.992275618487284</v>
      </c>
      <c r="E932" t="s">
        <v>45</v>
      </c>
    </row>
    <row r="933" spans="1:5" x14ac:dyDescent="0.35">
      <c r="A933">
        <f>Coin3!A295</f>
        <v>1294</v>
      </c>
      <c r="B933">
        <f>Coin3!B295</f>
        <v>69.425000000000011</v>
      </c>
      <c r="C933">
        <f>Coin3!C295</f>
        <v>16.16</v>
      </c>
      <c r="D933">
        <f>Coin3!D295</f>
        <v>37.992275618487284</v>
      </c>
      <c r="E933" t="s">
        <v>45</v>
      </c>
    </row>
    <row r="934" spans="1:5" x14ac:dyDescent="0.35">
      <c r="A934">
        <f>Coin3!A296</f>
        <v>1295</v>
      </c>
      <c r="B934">
        <f>Coin3!B296</f>
        <v>51.06205127018923</v>
      </c>
      <c r="C934">
        <f>Coin3!C296</f>
        <v>-0.35</v>
      </c>
      <c r="D934">
        <f>Coin3!D296</f>
        <v>37.992275618487284</v>
      </c>
      <c r="E934" t="s">
        <v>45</v>
      </c>
    </row>
    <row r="935" spans="1:5" x14ac:dyDescent="0.35">
      <c r="A935">
        <f>Coin3!A297</f>
        <v>1296</v>
      </c>
      <c r="B935">
        <f>Coin3!B297</f>
        <v>57.777948729810781</v>
      </c>
      <c r="C935">
        <f>Coin3!C297</f>
        <v>-0.35</v>
      </c>
      <c r="D935">
        <f>Coin3!D297</f>
        <v>37.992275618487284</v>
      </c>
      <c r="E935" t="s">
        <v>45</v>
      </c>
    </row>
    <row r="936" spans="1:5" x14ac:dyDescent="0.35">
      <c r="A936">
        <f>Coin3!A298</f>
        <v>1297</v>
      </c>
      <c r="B936">
        <f>Coin3!B298</f>
        <v>61.309000000000005</v>
      </c>
      <c r="C936">
        <f>Coin3!C298</f>
        <v>-0.35</v>
      </c>
      <c r="D936">
        <f>Coin3!D298</f>
        <v>37.992275618487284</v>
      </c>
      <c r="E936" t="s">
        <v>45</v>
      </c>
    </row>
    <row r="937" spans="1:5" x14ac:dyDescent="0.35">
      <c r="A937">
        <f>Coin3!A299</f>
        <v>1298</v>
      </c>
      <c r="B937">
        <f>Coin3!B299</f>
        <v>64.667051270189233</v>
      </c>
      <c r="C937">
        <f>Coin3!C299</f>
        <v>-0.35</v>
      </c>
      <c r="D937">
        <f>Coin3!D299</f>
        <v>37.992275618487284</v>
      </c>
      <c r="E937" t="s">
        <v>45</v>
      </c>
    </row>
    <row r="938" spans="1:5" x14ac:dyDescent="0.35">
      <c r="A938">
        <f>Coin3!A300</f>
        <v>1299</v>
      </c>
      <c r="B938">
        <f>Coin3!B300</f>
        <v>69.425000000000011</v>
      </c>
      <c r="C938">
        <f>Coin3!C300</f>
        <v>-0.35</v>
      </c>
      <c r="D938">
        <f>Coin3!D300</f>
        <v>37.992275618487284</v>
      </c>
      <c r="E938" t="s">
        <v>45</v>
      </c>
    </row>
    <row r="939" spans="1:5" x14ac:dyDescent="0.35">
      <c r="A939">
        <f>Coin3!A301</f>
        <v>1300</v>
      </c>
      <c r="B939">
        <f>Coin3!B301</f>
        <v>61.222500000000004</v>
      </c>
      <c r="C939">
        <f>Coin3!C301</f>
        <v>0</v>
      </c>
      <c r="D939">
        <f>Coin3!D301</f>
        <v>37.992275618487284</v>
      </c>
      <c r="E939" t="s">
        <v>45</v>
      </c>
    </row>
    <row r="940" spans="1:5" x14ac:dyDescent="0.35">
      <c r="A940">
        <f>Coin3!A302</f>
        <v>1301</v>
      </c>
      <c r="B940">
        <f>Coin3!B302</f>
        <v>69.425000000000011</v>
      </c>
      <c r="C940">
        <f>Coin3!C302</f>
        <v>0</v>
      </c>
      <c r="D940">
        <f>Coin3!D302</f>
        <v>37.992275618487284</v>
      </c>
      <c r="E940" t="s">
        <v>45</v>
      </c>
    </row>
    <row r="941" spans="1:5" x14ac:dyDescent="0.35">
      <c r="A941">
        <f>Coin3!A303</f>
        <v>1302</v>
      </c>
      <c r="B941">
        <f>Coin3!B303</f>
        <v>61.222500000000004</v>
      </c>
      <c r="C941">
        <f>Coin3!C303</f>
        <v>4.04</v>
      </c>
      <c r="D941">
        <f>Coin3!D303</f>
        <v>37.992275618487284</v>
      </c>
      <c r="E941" t="s">
        <v>45</v>
      </c>
    </row>
    <row r="942" spans="1:5" x14ac:dyDescent="0.35">
      <c r="A942">
        <f>Coin3!A304</f>
        <v>1303</v>
      </c>
      <c r="B942">
        <f>Coin3!B304</f>
        <v>61.222500000000004</v>
      </c>
      <c r="C942">
        <f>Coin3!C304</f>
        <v>8.08</v>
      </c>
      <c r="D942">
        <f>Coin3!D304</f>
        <v>37.992275618487284</v>
      </c>
      <c r="E942" t="s">
        <v>45</v>
      </c>
    </row>
    <row r="943" spans="1:5" x14ac:dyDescent="0.35">
      <c r="A943">
        <f>Coin3!A305</f>
        <v>1304</v>
      </c>
      <c r="B943">
        <f>Coin3!B305</f>
        <v>61.222500000000004</v>
      </c>
      <c r="C943">
        <f>Coin3!C305</f>
        <v>12.12</v>
      </c>
      <c r="D943">
        <f>Coin3!D305</f>
        <v>37.992275618487284</v>
      </c>
      <c r="E943" t="s">
        <v>45</v>
      </c>
    </row>
    <row r="944" spans="1:5" x14ac:dyDescent="0.35">
      <c r="A944">
        <f>Coin3!A306</f>
        <v>1305</v>
      </c>
      <c r="B944">
        <f>Coin3!B306</f>
        <v>61.222500000000004</v>
      </c>
      <c r="C944">
        <f>Coin3!C306</f>
        <v>16.16</v>
      </c>
      <c r="D944">
        <f>Coin3!D306</f>
        <v>37.992275618487284</v>
      </c>
      <c r="E944" t="s">
        <v>45</v>
      </c>
    </row>
    <row r="945" spans="1:5" x14ac:dyDescent="0.35">
      <c r="A945">
        <f>Coin3!A307</f>
        <v>1306</v>
      </c>
      <c r="B945">
        <f>Coin3!B307</f>
        <v>69.425000000000011</v>
      </c>
      <c r="C945">
        <f>Coin3!C307</f>
        <v>0</v>
      </c>
      <c r="D945">
        <f>Coin3!D307</f>
        <v>38.14227561848729</v>
      </c>
      <c r="E945" t="s">
        <v>45</v>
      </c>
    </row>
    <row r="946" spans="1:5" x14ac:dyDescent="0.35">
      <c r="A946">
        <f>Coin3!A308</f>
        <v>1307</v>
      </c>
      <c r="B946">
        <f>Coin3!B308</f>
        <v>69.425000000000011</v>
      </c>
      <c r="C946">
        <f>Coin3!C308</f>
        <v>2.6930000000000001</v>
      </c>
      <c r="D946">
        <f>Coin3!D308</f>
        <v>38.14227561848729</v>
      </c>
      <c r="E946" t="s">
        <v>45</v>
      </c>
    </row>
    <row r="947" spans="1:5" x14ac:dyDescent="0.35">
      <c r="A947">
        <f>Coin3!A309</f>
        <v>1308</v>
      </c>
      <c r="B947">
        <f>Coin3!B309</f>
        <v>69.425000000000011</v>
      </c>
      <c r="C947">
        <f>Coin3!C309</f>
        <v>5.3869999999999996</v>
      </c>
      <c r="D947">
        <f>Coin3!D309</f>
        <v>38.14227561848729</v>
      </c>
      <c r="E947" t="s">
        <v>45</v>
      </c>
    </row>
    <row r="948" spans="1:5" x14ac:dyDescent="0.35">
      <c r="A948">
        <f>Coin3!A310</f>
        <v>1309</v>
      </c>
      <c r="B948">
        <f>Coin3!B310</f>
        <v>69.425000000000011</v>
      </c>
      <c r="C948">
        <f>Coin3!C310</f>
        <v>8.08</v>
      </c>
      <c r="D948">
        <f>Coin3!D310</f>
        <v>38.14227561848729</v>
      </c>
      <c r="E948" t="s">
        <v>45</v>
      </c>
    </row>
    <row r="949" spans="1:5" x14ac:dyDescent="0.35">
      <c r="A949">
        <f>Coin3!A311</f>
        <v>1310</v>
      </c>
      <c r="B949">
        <f>Coin3!B311</f>
        <v>69.425000000000011</v>
      </c>
      <c r="C949">
        <f>Coin3!C311</f>
        <v>10.773</v>
      </c>
      <c r="D949">
        <f>Coin3!D311</f>
        <v>38.14227561848729</v>
      </c>
      <c r="E949" t="s">
        <v>45</v>
      </c>
    </row>
    <row r="950" spans="1:5" x14ac:dyDescent="0.35">
      <c r="A950">
        <f>Coin3!A312</f>
        <v>1311</v>
      </c>
      <c r="B950">
        <f>Coin3!B312</f>
        <v>69.425000000000011</v>
      </c>
      <c r="C950">
        <f>Coin3!C312</f>
        <v>13.467000000000001</v>
      </c>
      <c r="D950">
        <f>Coin3!D312</f>
        <v>38.14227561848729</v>
      </c>
      <c r="E950" t="s">
        <v>45</v>
      </c>
    </row>
    <row r="951" spans="1:5" x14ac:dyDescent="0.35">
      <c r="A951">
        <f>Coin3!A313</f>
        <v>1312</v>
      </c>
      <c r="B951">
        <f>Coin3!B313</f>
        <v>69.425000000000011</v>
      </c>
      <c r="C951">
        <f>Coin3!C313</f>
        <v>16.16</v>
      </c>
      <c r="D951">
        <f>Coin3!D313</f>
        <v>38.14227561848729</v>
      </c>
      <c r="E951" t="s">
        <v>45</v>
      </c>
    </row>
    <row r="952" spans="1:5" x14ac:dyDescent="0.35">
      <c r="A952">
        <f>Coin3!A314</f>
        <v>1313</v>
      </c>
      <c r="B952">
        <f>Coin3!B314</f>
        <v>61.222500000000004</v>
      </c>
      <c r="C952">
        <f>Coin3!C314</f>
        <v>0</v>
      </c>
      <c r="D952">
        <f>Coin3!D314</f>
        <v>38.292275618487288</v>
      </c>
      <c r="E952" t="s">
        <v>45</v>
      </c>
    </row>
    <row r="953" spans="1:5" x14ac:dyDescent="0.35">
      <c r="A953">
        <f>Coin3!A315</f>
        <v>1314</v>
      </c>
      <c r="B953">
        <f>Coin3!B315</f>
        <v>61.222500000000004</v>
      </c>
      <c r="C953">
        <f>Coin3!C315</f>
        <v>2.6930000000000001</v>
      </c>
      <c r="D953">
        <f>Coin3!D315</f>
        <v>38.292275618487288</v>
      </c>
      <c r="E953" t="s">
        <v>45</v>
      </c>
    </row>
    <row r="954" spans="1:5" x14ac:dyDescent="0.35">
      <c r="A954">
        <f>Coin3!A316</f>
        <v>1315</v>
      </c>
      <c r="B954">
        <f>Coin3!B316</f>
        <v>61.222500000000004</v>
      </c>
      <c r="C954">
        <f>Coin3!C316</f>
        <v>5.3869999999999996</v>
      </c>
      <c r="D954">
        <f>Coin3!D316</f>
        <v>38.292275618487288</v>
      </c>
      <c r="E954" t="s">
        <v>45</v>
      </c>
    </row>
    <row r="955" spans="1:5" x14ac:dyDescent="0.35">
      <c r="A955">
        <f>Coin3!A317</f>
        <v>1316</v>
      </c>
      <c r="B955">
        <f>Coin3!B317</f>
        <v>61.222500000000004</v>
      </c>
      <c r="C955">
        <f>Coin3!C317</f>
        <v>8.08</v>
      </c>
      <c r="D955">
        <f>Coin3!D317</f>
        <v>38.292275618487288</v>
      </c>
      <c r="E955" t="s">
        <v>45</v>
      </c>
    </row>
    <row r="956" spans="1:5" x14ac:dyDescent="0.35">
      <c r="A956">
        <f>Coin3!A318</f>
        <v>1317</v>
      </c>
      <c r="B956">
        <f>Coin3!B318</f>
        <v>61.222500000000004</v>
      </c>
      <c r="C956">
        <f>Coin3!C318</f>
        <v>10.773</v>
      </c>
      <c r="D956">
        <f>Coin3!D318</f>
        <v>38.292275618487288</v>
      </c>
      <c r="E956" t="s">
        <v>45</v>
      </c>
    </row>
    <row r="957" spans="1:5" x14ac:dyDescent="0.35">
      <c r="A957">
        <f>Coin3!A319</f>
        <v>1318</v>
      </c>
      <c r="B957">
        <f>Coin3!B319</f>
        <v>61.222500000000004</v>
      </c>
      <c r="C957">
        <f>Coin3!C319</f>
        <v>13.467000000000001</v>
      </c>
      <c r="D957">
        <f>Coin3!D319</f>
        <v>38.292275618487288</v>
      </c>
      <c r="E957" t="s">
        <v>45</v>
      </c>
    </row>
    <row r="958" spans="1:5" x14ac:dyDescent="0.35">
      <c r="A958">
        <f>Coin3!A320</f>
        <v>1319</v>
      </c>
      <c r="B958">
        <f>Coin3!B320</f>
        <v>61.222500000000004</v>
      </c>
      <c r="C958">
        <f>Coin3!C320</f>
        <v>16.16</v>
      </c>
      <c r="D958">
        <f>Coin3!D320</f>
        <v>38.292275618487288</v>
      </c>
      <c r="E958" t="s">
        <v>45</v>
      </c>
    </row>
    <row r="959" spans="1:5" x14ac:dyDescent="0.35">
      <c r="A959">
        <f>Coin4!A2</f>
        <v>1501</v>
      </c>
      <c r="B959">
        <f>Coin4!B2</f>
        <v>54.42</v>
      </c>
      <c r="C959">
        <f>Coin4!C2</f>
        <v>80.800000000000011</v>
      </c>
      <c r="D959">
        <f>Coin4!D2</f>
        <v>0</v>
      </c>
      <c r="E959" t="s">
        <v>45</v>
      </c>
    </row>
    <row r="960" spans="1:5" x14ac:dyDescent="0.35">
      <c r="A960">
        <f>Coin4!A3</f>
        <v>1502</v>
      </c>
      <c r="B960">
        <f>Coin4!B3</f>
        <v>68.025000000000006</v>
      </c>
      <c r="C960">
        <f>Coin4!C3</f>
        <v>80.800000000000011</v>
      </c>
      <c r="D960">
        <f>Coin4!D3</f>
        <v>0</v>
      </c>
      <c r="E960" t="s">
        <v>45</v>
      </c>
    </row>
    <row r="961" spans="1:5" x14ac:dyDescent="0.35">
      <c r="A961">
        <f>Coin4!A4</f>
        <v>1503</v>
      </c>
      <c r="B961">
        <f>Coin4!B4</f>
        <v>54.42</v>
      </c>
      <c r="C961">
        <f>Coin4!C4</f>
        <v>96.960000000000008</v>
      </c>
      <c r="D961">
        <f>Coin4!D4</f>
        <v>0</v>
      </c>
      <c r="E961" t="s">
        <v>45</v>
      </c>
    </row>
    <row r="962" spans="1:5" x14ac:dyDescent="0.35">
      <c r="A962">
        <f>Coin4!A5</f>
        <v>1504</v>
      </c>
      <c r="B962">
        <f>Coin4!B5</f>
        <v>68.025000000000006</v>
      </c>
      <c r="C962">
        <f>Coin4!C5</f>
        <v>96.960000000000008</v>
      </c>
      <c r="D962">
        <f>Coin4!D5</f>
        <v>0</v>
      </c>
      <c r="E962" t="s">
        <v>45</v>
      </c>
    </row>
    <row r="963" spans="1:5" x14ac:dyDescent="0.35">
      <c r="A963">
        <f>Coin4!A6</f>
        <v>1505</v>
      </c>
      <c r="B963">
        <f>Coin4!B6</f>
        <v>54.42</v>
      </c>
      <c r="C963">
        <f>Coin4!C6</f>
        <v>80.800000000000011</v>
      </c>
      <c r="D963">
        <f>Coin4!D6</f>
        <v>8.85</v>
      </c>
      <c r="E963" t="s">
        <v>45</v>
      </c>
    </row>
    <row r="964" spans="1:5" x14ac:dyDescent="0.35">
      <c r="A964">
        <f>Coin4!A7</f>
        <v>1506</v>
      </c>
      <c r="B964">
        <f>Coin4!B7</f>
        <v>61.222000000000008</v>
      </c>
      <c r="C964">
        <f>Coin4!C7</f>
        <v>80.800000000000011</v>
      </c>
      <c r="D964">
        <f>Coin4!D7</f>
        <v>8.85</v>
      </c>
      <c r="E964" t="s">
        <v>45</v>
      </c>
    </row>
    <row r="965" spans="1:5" x14ac:dyDescent="0.35">
      <c r="A965">
        <f>Coin4!A8</f>
        <v>1507</v>
      </c>
      <c r="B965">
        <f>Coin4!B8</f>
        <v>68.025000000000006</v>
      </c>
      <c r="C965">
        <f>Coin4!C8</f>
        <v>80.800000000000011</v>
      </c>
      <c r="D965">
        <f>Coin4!D8</f>
        <v>8.85</v>
      </c>
      <c r="E965" t="s">
        <v>45</v>
      </c>
    </row>
    <row r="966" spans="1:5" x14ac:dyDescent="0.35">
      <c r="A966">
        <f>Coin4!A9</f>
        <v>1508</v>
      </c>
      <c r="B966">
        <f>Coin4!B9</f>
        <v>54.42</v>
      </c>
      <c r="C966">
        <f>Coin4!C9</f>
        <v>88.88000000000001</v>
      </c>
      <c r="D966">
        <f>Coin4!D9</f>
        <v>8.85</v>
      </c>
      <c r="E966" t="s">
        <v>45</v>
      </c>
    </row>
    <row r="967" spans="1:5" x14ac:dyDescent="0.35">
      <c r="A967">
        <f>Coin4!A10</f>
        <v>1509</v>
      </c>
      <c r="B967">
        <f>Coin4!B10</f>
        <v>68.025000000000006</v>
      </c>
      <c r="C967">
        <f>Coin4!C10</f>
        <v>88.88000000000001</v>
      </c>
      <c r="D967">
        <f>Coin4!D10</f>
        <v>8.85</v>
      </c>
      <c r="E967" t="s">
        <v>45</v>
      </c>
    </row>
    <row r="968" spans="1:5" x14ac:dyDescent="0.35">
      <c r="A968">
        <f>Coin4!A11</f>
        <v>1510</v>
      </c>
      <c r="B968">
        <f>Coin4!B11</f>
        <v>54.42</v>
      </c>
      <c r="C968">
        <f>Coin4!C11</f>
        <v>96.960000000000008</v>
      </c>
      <c r="D968">
        <f>Coin4!D11</f>
        <v>8.85</v>
      </c>
      <c r="E968" t="s">
        <v>45</v>
      </c>
    </row>
    <row r="969" spans="1:5" x14ac:dyDescent="0.35">
      <c r="A969">
        <f>Coin4!A12</f>
        <v>1511</v>
      </c>
      <c r="B969">
        <f>Coin4!B12</f>
        <v>61.222000000000008</v>
      </c>
      <c r="C969">
        <f>Coin4!C12</f>
        <v>96.960000000000008</v>
      </c>
      <c r="D969">
        <f>Coin4!D12</f>
        <v>8.85</v>
      </c>
      <c r="E969" t="s">
        <v>45</v>
      </c>
    </row>
    <row r="970" spans="1:5" x14ac:dyDescent="0.35">
      <c r="A970">
        <f>Coin4!A13</f>
        <v>1512</v>
      </c>
      <c r="B970">
        <f>Coin4!B13</f>
        <v>68.025000000000006</v>
      </c>
      <c r="C970">
        <f>Coin4!C13</f>
        <v>96.960000000000008</v>
      </c>
      <c r="D970">
        <f>Coin4!D13</f>
        <v>8.85</v>
      </c>
      <c r="E970" t="s">
        <v>45</v>
      </c>
    </row>
    <row r="971" spans="1:5" x14ac:dyDescent="0.35">
      <c r="A971">
        <f>Coin4!A14</f>
        <v>1513</v>
      </c>
      <c r="B971">
        <f>Coin4!B14</f>
        <v>54.42</v>
      </c>
      <c r="C971">
        <f>Coin4!C14</f>
        <v>80.800000000000011</v>
      </c>
      <c r="D971">
        <f>Coin4!D14</f>
        <v>17.7</v>
      </c>
      <c r="E971" t="s">
        <v>45</v>
      </c>
    </row>
    <row r="972" spans="1:5" x14ac:dyDescent="0.35">
      <c r="A972">
        <f>Coin4!A15</f>
        <v>1514</v>
      </c>
      <c r="B972">
        <f>Coin4!B15</f>
        <v>61.222000000000008</v>
      </c>
      <c r="C972">
        <f>Coin4!C15</f>
        <v>80.800000000000011</v>
      </c>
      <c r="D972">
        <f>Coin4!D15</f>
        <v>17.7</v>
      </c>
      <c r="E972" t="s">
        <v>45</v>
      </c>
    </row>
    <row r="973" spans="1:5" x14ac:dyDescent="0.35">
      <c r="A973">
        <f>Coin4!A16</f>
        <v>1515</v>
      </c>
      <c r="B973">
        <f>Coin4!B16</f>
        <v>68.025000000000006</v>
      </c>
      <c r="C973">
        <f>Coin4!C16</f>
        <v>80.800000000000011</v>
      </c>
      <c r="D973">
        <f>Coin4!D16</f>
        <v>17.7</v>
      </c>
      <c r="E973" t="s">
        <v>45</v>
      </c>
    </row>
    <row r="974" spans="1:5" x14ac:dyDescent="0.35">
      <c r="A974">
        <f>Coin4!A17</f>
        <v>1516</v>
      </c>
      <c r="B974">
        <f>Coin4!B17</f>
        <v>54.42</v>
      </c>
      <c r="C974">
        <f>Coin4!C17</f>
        <v>88.88000000000001</v>
      </c>
      <c r="D974">
        <f>Coin4!D17</f>
        <v>17.7</v>
      </c>
      <c r="E974" t="s">
        <v>45</v>
      </c>
    </row>
    <row r="975" spans="1:5" x14ac:dyDescent="0.35">
      <c r="A975">
        <f>Coin4!A18</f>
        <v>1517</v>
      </c>
      <c r="B975">
        <f>Coin4!B18</f>
        <v>68.025000000000006</v>
      </c>
      <c r="C975">
        <f>Coin4!C18</f>
        <v>88.88000000000001</v>
      </c>
      <c r="D975">
        <f>Coin4!D18</f>
        <v>17.7</v>
      </c>
      <c r="E975" t="s">
        <v>45</v>
      </c>
    </row>
    <row r="976" spans="1:5" x14ac:dyDescent="0.35">
      <c r="A976">
        <f>Coin4!A19</f>
        <v>1518</v>
      </c>
      <c r="B976">
        <f>Coin4!B19</f>
        <v>54.42</v>
      </c>
      <c r="C976">
        <f>Coin4!C19</f>
        <v>96.960000000000008</v>
      </c>
      <c r="D976">
        <f>Coin4!D19</f>
        <v>17.7</v>
      </c>
      <c r="E976" t="s">
        <v>45</v>
      </c>
    </row>
    <row r="977" spans="1:5" x14ac:dyDescent="0.35">
      <c r="A977">
        <f>Coin4!A20</f>
        <v>1519</v>
      </c>
      <c r="B977">
        <f>Coin4!B20</f>
        <v>61.222000000000008</v>
      </c>
      <c r="C977">
        <f>Coin4!C20</f>
        <v>96.960000000000008</v>
      </c>
      <c r="D977">
        <f>Coin4!D20</f>
        <v>17.7</v>
      </c>
      <c r="E977" t="s">
        <v>45</v>
      </c>
    </row>
    <row r="978" spans="1:5" x14ac:dyDescent="0.35">
      <c r="A978">
        <f>Coin4!A21</f>
        <v>1520</v>
      </c>
      <c r="B978">
        <f>Coin4!B21</f>
        <v>68.025000000000006</v>
      </c>
      <c r="C978">
        <f>Coin4!C21</f>
        <v>96.960000000000008</v>
      </c>
      <c r="D978">
        <f>Coin4!D21</f>
        <v>17.7</v>
      </c>
      <c r="E978" t="s">
        <v>45</v>
      </c>
    </row>
    <row r="979" spans="1:5" x14ac:dyDescent="0.35">
      <c r="A979">
        <f>Coin4!A22</f>
        <v>1521</v>
      </c>
      <c r="B979">
        <f>Coin4!B22</f>
        <v>54.42</v>
      </c>
      <c r="C979">
        <f>Coin4!C22</f>
        <v>80.800000000000011</v>
      </c>
      <c r="D979">
        <f>Coin4!D22</f>
        <v>24.96</v>
      </c>
      <c r="E979" t="s">
        <v>45</v>
      </c>
    </row>
    <row r="980" spans="1:5" x14ac:dyDescent="0.35">
      <c r="A980">
        <f>Coin4!A23</f>
        <v>1522</v>
      </c>
      <c r="B980">
        <f>Coin4!B23</f>
        <v>68.025000000000006</v>
      </c>
      <c r="C980">
        <f>Coin4!C23</f>
        <v>80.800000000000011</v>
      </c>
      <c r="D980">
        <f>Coin4!D23</f>
        <v>24.96</v>
      </c>
      <c r="E980" t="s">
        <v>45</v>
      </c>
    </row>
    <row r="981" spans="1:5" x14ac:dyDescent="0.35">
      <c r="A981">
        <f>Coin4!A24</f>
        <v>1523</v>
      </c>
      <c r="B981">
        <f>Coin4!B24</f>
        <v>54.42</v>
      </c>
      <c r="C981">
        <f>Coin4!C24</f>
        <v>96.960000000000008</v>
      </c>
      <c r="D981">
        <f>Coin4!D24</f>
        <v>24.96</v>
      </c>
      <c r="E981" t="s">
        <v>45</v>
      </c>
    </row>
    <row r="982" spans="1:5" x14ac:dyDescent="0.35">
      <c r="A982">
        <f>Coin4!A25</f>
        <v>1524</v>
      </c>
      <c r="B982">
        <f>Coin4!B25</f>
        <v>68.025000000000006</v>
      </c>
      <c r="C982">
        <f>Coin4!C25</f>
        <v>96.960000000000008</v>
      </c>
      <c r="D982">
        <f>Coin4!D25</f>
        <v>24.96</v>
      </c>
      <c r="E982" t="s">
        <v>45</v>
      </c>
    </row>
    <row r="983" spans="1:5" x14ac:dyDescent="0.35">
      <c r="A983">
        <f>Coin4!A26</f>
        <v>1525</v>
      </c>
      <c r="B983">
        <f>Coin4!B26</f>
        <v>54.42</v>
      </c>
      <c r="C983">
        <f>Coin4!C26</f>
        <v>80.800000000000011</v>
      </c>
      <c r="D983">
        <f>Coin4!D26</f>
        <v>26.36</v>
      </c>
      <c r="E983" t="s">
        <v>45</v>
      </c>
    </row>
    <row r="984" spans="1:5" x14ac:dyDescent="0.35">
      <c r="A984">
        <f>Coin4!A27</f>
        <v>1526</v>
      </c>
      <c r="B984">
        <f>Coin4!B27</f>
        <v>56.474624462656628</v>
      </c>
      <c r="C984">
        <f>Coin4!C27</f>
        <v>80.800000000000011</v>
      </c>
      <c r="D984">
        <f>Coin4!D27</f>
        <v>26.36</v>
      </c>
      <c r="E984" t="s">
        <v>45</v>
      </c>
    </row>
    <row r="985" spans="1:5" x14ac:dyDescent="0.35">
      <c r="A985">
        <f>Coin4!A28</f>
        <v>1527</v>
      </c>
      <c r="B985">
        <f>Coin4!B28</f>
        <v>58.529248925313254</v>
      </c>
      <c r="C985">
        <f>Coin4!C28</f>
        <v>80.800000000000011</v>
      </c>
      <c r="D985">
        <f>Coin4!D28</f>
        <v>26.36</v>
      </c>
      <c r="E985" t="s">
        <v>45</v>
      </c>
    </row>
    <row r="986" spans="1:5" x14ac:dyDescent="0.35">
      <c r="A986">
        <f>Coin4!A29</f>
        <v>1528</v>
      </c>
      <c r="B986">
        <f>Coin4!B29</f>
        <v>60.583873387969874</v>
      </c>
      <c r="C986">
        <f>Coin4!C29</f>
        <v>80.800000000000011</v>
      </c>
      <c r="D986">
        <f>Coin4!D29</f>
        <v>26.36</v>
      </c>
      <c r="E986" t="s">
        <v>45</v>
      </c>
    </row>
    <row r="987" spans="1:5" x14ac:dyDescent="0.35">
      <c r="A987">
        <f>Coin4!A30</f>
        <v>1529</v>
      </c>
      <c r="B987">
        <f>Coin4!B30</f>
        <v>60.372500000000002</v>
      </c>
      <c r="C987">
        <f>Coin4!C30</f>
        <v>80.800000000000011</v>
      </c>
      <c r="D987">
        <f>Coin4!D30</f>
        <v>26.36</v>
      </c>
      <c r="E987" t="s">
        <v>45</v>
      </c>
    </row>
    <row r="988" spans="1:5" x14ac:dyDescent="0.35">
      <c r="A988">
        <f>Coin4!A31</f>
        <v>1530</v>
      </c>
      <c r="B988">
        <f>Coin4!B31</f>
        <v>60.607500000000002</v>
      </c>
      <c r="C988">
        <f>Coin4!C31</f>
        <v>80.800000000000011</v>
      </c>
      <c r="D988">
        <f>Coin4!D31</f>
        <v>26.36</v>
      </c>
      <c r="E988" t="s">
        <v>45</v>
      </c>
    </row>
    <row r="989" spans="1:5" x14ac:dyDescent="0.35">
      <c r="A989">
        <f>Coin4!A32</f>
        <v>1531</v>
      </c>
      <c r="B989">
        <f>Coin4!B32</f>
        <v>61.222500000000004</v>
      </c>
      <c r="C989">
        <f>Coin4!C32</f>
        <v>80.800000000000011</v>
      </c>
      <c r="D989">
        <f>Coin4!D32</f>
        <v>26.36</v>
      </c>
      <c r="E989" t="s">
        <v>45</v>
      </c>
    </row>
    <row r="990" spans="1:5" x14ac:dyDescent="0.35">
      <c r="A990">
        <f>Coin4!A33</f>
        <v>1532</v>
      </c>
      <c r="B990">
        <f>Coin4!B33</f>
        <v>61.837500000000006</v>
      </c>
      <c r="C990">
        <f>Coin4!C33</f>
        <v>80.800000000000011</v>
      </c>
      <c r="D990">
        <f>Coin4!D33</f>
        <v>26.36</v>
      </c>
      <c r="E990" t="s">
        <v>45</v>
      </c>
    </row>
    <row r="991" spans="1:5" x14ac:dyDescent="0.35">
      <c r="A991">
        <f>Coin4!A34</f>
        <v>1533</v>
      </c>
      <c r="B991">
        <f>Coin4!B34</f>
        <v>62.072500000000005</v>
      </c>
      <c r="C991">
        <f>Coin4!C34</f>
        <v>80.800000000000011</v>
      </c>
      <c r="D991">
        <f>Coin4!D34</f>
        <v>26.36</v>
      </c>
      <c r="E991" t="s">
        <v>45</v>
      </c>
    </row>
    <row r="992" spans="1:5" x14ac:dyDescent="0.35">
      <c r="A992">
        <f>Coin4!A35</f>
        <v>1534</v>
      </c>
      <c r="B992">
        <f>Coin4!B35</f>
        <v>61.861126612030134</v>
      </c>
      <c r="C992">
        <f>Coin4!C35</f>
        <v>80.800000000000011</v>
      </c>
      <c r="D992">
        <f>Coin4!D35</f>
        <v>26.36</v>
      </c>
      <c r="E992" t="s">
        <v>45</v>
      </c>
    </row>
    <row r="993" spans="1:5" x14ac:dyDescent="0.35">
      <c r="A993">
        <f>Coin4!A36</f>
        <v>1535</v>
      </c>
      <c r="B993">
        <f>Coin4!B36</f>
        <v>63.91575107468676</v>
      </c>
      <c r="C993">
        <f>Coin4!C36</f>
        <v>80.800000000000011</v>
      </c>
      <c r="D993">
        <f>Coin4!D36</f>
        <v>26.36</v>
      </c>
      <c r="E993" t="s">
        <v>45</v>
      </c>
    </row>
    <row r="994" spans="1:5" x14ac:dyDescent="0.35">
      <c r="A994">
        <f>Coin4!A37</f>
        <v>1536</v>
      </c>
      <c r="B994">
        <f>Coin4!B37</f>
        <v>65.970375537343386</v>
      </c>
      <c r="C994">
        <f>Coin4!C37</f>
        <v>80.800000000000011</v>
      </c>
      <c r="D994">
        <f>Coin4!D37</f>
        <v>26.36</v>
      </c>
      <c r="E994" t="s">
        <v>45</v>
      </c>
    </row>
    <row r="995" spans="1:5" x14ac:dyDescent="0.35">
      <c r="A995">
        <f>Coin4!A38</f>
        <v>1537</v>
      </c>
      <c r="B995">
        <f>Coin4!B38</f>
        <v>68.025000000000006</v>
      </c>
      <c r="C995">
        <f>Coin4!C38</f>
        <v>80.800000000000011</v>
      </c>
      <c r="D995">
        <f>Coin4!D38</f>
        <v>26.36</v>
      </c>
      <c r="E995" t="s">
        <v>45</v>
      </c>
    </row>
    <row r="996" spans="1:5" x14ac:dyDescent="0.35">
      <c r="A996">
        <f>Coin4!A39</f>
        <v>1538</v>
      </c>
      <c r="B996">
        <f>Coin4!B39</f>
        <v>69.425000000000011</v>
      </c>
      <c r="C996">
        <f>Coin4!C39</f>
        <v>80.800000000000011</v>
      </c>
      <c r="D996">
        <f>Coin4!D39</f>
        <v>26.36</v>
      </c>
      <c r="E996" t="s">
        <v>45</v>
      </c>
    </row>
    <row r="997" spans="1:5" x14ac:dyDescent="0.35">
      <c r="A997">
        <f>Coin4!A40</f>
        <v>1539</v>
      </c>
      <c r="B997">
        <f>Coin4!B40</f>
        <v>58.668873387969874</v>
      </c>
      <c r="C997">
        <f>Coin4!C40</f>
        <v>82.715000000000003</v>
      </c>
      <c r="D997">
        <f>Coin4!D40</f>
        <v>26.36</v>
      </c>
      <c r="E997" t="s">
        <v>45</v>
      </c>
    </row>
    <row r="998" spans="1:5" x14ac:dyDescent="0.35">
      <c r="A998">
        <f>Coin4!A41</f>
        <v>1540</v>
      </c>
      <c r="B998">
        <f>Coin4!B41</f>
        <v>61.222500000000004</v>
      </c>
      <c r="C998">
        <f>Coin4!C41</f>
        <v>82.715000000000003</v>
      </c>
      <c r="D998">
        <f>Coin4!D41</f>
        <v>26.36</v>
      </c>
      <c r="E998" t="s">
        <v>45</v>
      </c>
    </row>
    <row r="999" spans="1:5" x14ac:dyDescent="0.35">
      <c r="A999">
        <f>Coin4!A42</f>
        <v>1541</v>
      </c>
      <c r="B999">
        <f>Coin4!B42</f>
        <v>63.77612661203014</v>
      </c>
      <c r="C999">
        <f>Coin4!C42</f>
        <v>82.715000000000003</v>
      </c>
      <c r="D999">
        <f>Coin4!D42</f>
        <v>26.36</v>
      </c>
      <c r="E999" t="s">
        <v>45</v>
      </c>
    </row>
    <row r="1000" spans="1:5" x14ac:dyDescent="0.35">
      <c r="A1000">
        <f>Coin4!A43</f>
        <v>1542</v>
      </c>
      <c r="B1000">
        <f>Coin4!B43</f>
        <v>61.222500000000004</v>
      </c>
      <c r="C1000">
        <f>Coin4!C43</f>
        <v>83.03</v>
      </c>
      <c r="D1000">
        <f>Coin4!D43</f>
        <v>26.36</v>
      </c>
      <c r="E1000" t="s">
        <v>45</v>
      </c>
    </row>
    <row r="1001" spans="1:5" x14ac:dyDescent="0.35">
      <c r="A1001">
        <f>Coin4!A44</f>
        <v>1543</v>
      </c>
      <c r="B1001">
        <f>Coin4!B44</f>
        <v>54.42</v>
      </c>
      <c r="C1001">
        <f>Coin4!C44</f>
        <v>82.854624462656631</v>
      </c>
      <c r="D1001">
        <f>Coin4!D44</f>
        <v>26.36</v>
      </c>
      <c r="E1001" t="s">
        <v>45</v>
      </c>
    </row>
    <row r="1002" spans="1:5" x14ac:dyDescent="0.35">
      <c r="A1002">
        <f>Coin4!A45</f>
        <v>1544</v>
      </c>
      <c r="B1002">
        <f>Coin4!B45</f>
        <v>68.025000000000006</v>
      </c>
      <c r="C1002">
        <f>Coin4!C45</f>
        <v>82.854624462656631</v>
      </c>
      <c r="D1002">
        <f>Coin4!D45</f>
        <v>26.36</v>
      </c>
      <c r="E1002" t="s">
        <v>45</v>
      </c>
    </row>
    <row r="1003" spans="1:5" x14ac:dyDescent="0.35">
      <c r="A1003">
        <f>Coin4!A46</f>
        <v>1545</v>
      </c>
      <c r="B1003">
        <f>Coin4!B46</f>
        <v>55.83550000000001</v>
      </c>
      <c r="C1003">
        <f>Coin4!C46</f>
        <v>83.493000000000009</v>
      </c>
      <c r="D1003">
        <f>Coin4!D46</f>
        <v>26.36</v>
      </c>
      <c r="E1003" t="s">
        <v>45</v>
      </c>
    </row>
    <row r="1004" spans="1:5" x14ac:dyDescent="0.35">
      <c r="A1004">
        <f>Coin4!A47</f>
        <v>1546</v>
      </c>
      <c r="B1004">
        <f>Coin4!B47</f>
        <v>66.609500000000011</v>
      </c>
      <c r="C1004">
        <f>Coin4!C47</f>
        <v>83.493000000000009</v>
      </c>
      <c r="D1004">
        <f>Coin4!D47</f>
        <v>26.36</v>
      </c>
      <c r="E1004" t="s">
        <v>45</v>
      </c>
    </row>
    <row r="1005" spans="1:5" x14ac:dyDescent="0.35">
      <c r="A1005">
        <f>Coin4!A48</f>
        <v>1547</v>
      </c>
      <c r="B1005">
        <f>Coin4!B48</f>
        <v>68.025000000000006</v>
      </c>
      <c r="C1005">
        <f>Coin4!C48</f>
        <v>83.493000000000009</v>
      </c>
      <c r="D1005">
        <f>Coin4!D48</f>
        <v>26.36</v>
      </c>
      <c r="E1005" t="s">
        <v>45</v>
      </c>
    </row>
    <row r="1006" spans="1:5" x14ac:dyDescent="0.35">
      <c r="A1006">
        <f>Coin4!A49</f>
        <v>1548</v>
      </c>
      <c r="B1006">
        <f>Coin4!B49</f>
        <v>69.425000000000011</v>
      </c>
      <c r="C1006">
        <f>Coin4!C49</f>
        <v>83.493000000000009</v>
      </c>
      <c r="D1006">
        <f>Coin4!D49</f>
        <v>26.36</v>
      </c>
      <c r="E1006" t="s">
        <v>45</v>
      </c>
    </row>
    <row r="1007" spans="1:5" x14ac:dyDescent="0.35">
      <c r="A1007">
        <f>Coin4!A50</f>
        <v>1549</v>
      </c>
      <c r="B1007">
        <f>Coin4!B50</f>
        <v>56.863500000000002</v>
      </c>
      <c r="C1007">
        <f>Coin4!C50</f>
        <v>84.521000000000015</v>
      </c>
      <c r="D1007">
        <f>Coin4!D50</f>
        <v>26.36</v>
      </c>
      <c r="E1007" t="s">
        <v>45</v>
      </c>
    </row>
    <row r="1008" spans="1:5" x14ac:dyDescent="0.35">
      <c r="A1008">
        <f>Coin4!A51</f>
        <v>1550</v>
      </c>
      <c r="B1008">
        <f>Coin4!B51</f>
        <v>65.581500000000005</v>
      </c>
      <c r="C1008">
        <f>Coin4!C51</f>
        <v>84.521000000000015</v>
      </c>
      <c r="D1008">
        <f>Coin4!D51</f>
        <v>26.36</v>
      </c>
      <c r="E1008" t="s">
        <v>45</v>
      </c>
    </row>
    <row r="1009" spans="1:5" x14ac:dyDescent="0.35">
      <c r="A1009">
        <f>Coin4!A52</f>
        <v>1551</v>
      </c>
      <c r="B1009">
        <f>Coin4!B52</f>
        <v>57.08550000000001</v>
      </c>
      <c r="C1009">
        <f>Coin4!C52</f>
        <v>84.743000000000009</v>
      </c>
      <c r="D1009">
        <f>Coin4!D52</f>
        <v>26.36</v>
      </c>
      <c r="E1009" t="s">
        <v>45</v>
      </c>
    </row>
    <row r="1010" spans="1:5" x14ac:dyDescent="0.35">
      <c r="A1010">
        <f>Coin4!A53</f>
        <v>1552</v>
      </c>
      <c r="B1010">
        <f>Coin4!B53</f>
        <v>65.359500000000011</v>
      </c>
      <c r="C1010">
        <f>Coin4!C53</f>
        <v>84.743000000000009</v>
      </c>
      <c r="D1010">
        <f>Coin4!D53</f>
        <v>26.36</v>
      </c>
      <c r="E1010" t="s">
        <v>45</v>
      </c>
    </row>
    <row r="1011" spans="1:5" x14ac:dyDescent="0.35">
      <c r="A1011">
        <f>Coin4!A54</f>
        <v>1553</v>
      </c>
      <c r="B1011">
        <f>Coin4!B54</f>
        <v>54.42</v>
      </c>
      <c r="C1011">
        <f>Coin4!C54</f>
        <v>84.90924892531325</v>
      </c>
      <c r="D1011">
        <f>Coin4!D54</f>
        <v>26.36</v>
      </c>
      <c r="E1011" t="s">
        <v>45</v>
      </c>
    </row>
    <row r="1012" spans="1:5" x14ac:dyDescent="0.35">
      <c r="A1012">
        <f>Coin4!A55</f>
        <v>1554</v>
      </c>
      <c r="B1012">
        <f>Coin4!B55</f>
        <v>68.025000000000006</v>
      </c>
      <c r="C1012">
        <f>Coin4!C55</f>
        <v>84.90924892531325</v>
      </c>
      <c r="D1012">
        <f>Coin4!D55</f>
        <v>26.36</v>
      </c>
      <c r="E1012" t="s">
        <v>45</v>
      </c>
    </row>
    <row r="1013" spans="1:5" x14ac:dyDescent="0.35">
      <c r="A1013">
        <f>Coin4!A56</f>
        <v>1555</v>
      </c>
      <c r="B1013">
        <f>Coin4!B56</f>
        <v>55.057500000000005</v>
      </c>
      <c r="C1013">
        <f>Coin4!C56</f>
        <v>86.32637338796988</v>
      </c>
      <c r="D1013">
        <f>Coin4!D56</f>
        <v>26.36</v>
      </c>
      <c r="E1013" t="s">
        <v>45</v>
      </c>
    </row>
    <row r="1014" spans="1:5" x14ac:dyDescent="0.35">
      <c r="A1014">
        <f>Coin4!A57</f>
        <v>1556</v>
      </c>
      <c r="B1014">
        <f>Coin4!B57</f>
        <v>67.387500000000003</v>
      </c>
      <c r="C1014">
        <f>Coin4!C57</f>
        <v>86.32637338796988</v>
      </c>
      <c r="D1014">
        <f>Coin4!D57</f>
        <v>26.36</v>
      </c>
      <c r="E1014" t="s">
        <v>45</v>
      </c>
    </row>
    <row r="1015" spans="1:5" x14ac:dyDescent="0.35">
      <c r="A1015">
        <f>Coin4!A58</f>
        <v>1557</v>
      </c>
      <c r="B1015">
        <f>Coin4!B58</f>
        <v>68.025000000000006</v>
      </c>
      <c r="C1015">
        <f>Coin4!C58</f>
        <v>86.187000000000012</v>
      </c>
      <c r="D1015">
        <f>Coin4!D58</f>
        <v>26.36</v>
      </c>
      <c r="E1015" t="s">
        <v>45</v>
      </c>
    </row>
    <row r="1016" spans="1:5" x14ac:dyDescent="0.35">
      <c r="A1016">
        <f>Coin4!A59</f>
        <v>1558</v>
      </c>
      <c r="B1016">
        <f>Coin4!B59</f>
        <v>69.425000000000011</v>
      </c>
      <c r="C1016">
        <f>Coin4!C59</f>
        <v>86.187000000000012</v>
      </c>
      <c r="D1016">
        <f>Coin4!D59</f>
        <v>26.36</v>
      </c>
      <c r="E1016" t="s">
        <v>45</v>
      </c>
    </row>
    <row r="1017" spans="1:5" x14ac:dyDescent="0.35">
      <c r="A1017">
        <f>Coin4!A60</f>
        <v>1559</v>
      </c>
      <c r="B1017">
        <f>Coin4!B60</f>
        <v>54.42</v>
      </c>
      <c r="C1017">
        <f>Coin4!C60</f>
        <v>86.963873387969869</v>
      </c>
      <c r="D1017">
        <f>Coin4!D60</f>
        <v>26.36</v>
      </c>
      <c r="E1017" t="s">
        <v>45</v>
      </c>
    </row>
    <row r="1018" spans="1:5" x14ac:dyDescent="0.35">
      <c r="A1018">
        <f>Coin4!A61</f>
        <v>1560</v>
      </c>
      <c r="B1018">
        <f>Coin4!B61</f>
        <v>68.025000000000006</v>
      </c>
      <c r="C1018">
        <f>Coin4!C61</f>
        <v>86.963873387969869</v>
      </c>
      <c r="D1018">
        <f>Coin4!D61</f>
        <v>26.36</v>
      </c>
      <c r="E1018" t="s">
        <v>45</v>
      </c>
    </row>
    <row r="1019" spans="1:5" x14ac:dyDescent="0.35">
      <c r="A1019">
        <f>Coin4!A62</f>
        <v>1561</v>
      </c>
      <c r="B1019">
        <f>Coin4!B62</f>
        <v>54.42</v>
      </c>
      <c r="C1019">
        <f>Coin4!C62</f>
        <v>88.88000000000001</v>
      </c>
      <c r="D1019">
        <f>Coin4!D62</f>
        <v>26.36</v>
      </c>
      <c r="E1019" t="s">
        <v>45</v>
      </c>
    </row>
    <row r="1020" spans="1:5" x14ac:dyDescent="0.35">
      <c r="A1020">
        <f>Coin4!A63</f>
        <v>1562</v>
      </c>
      <c r="B1020">
        <f>Coin4!B63</f>
        <v>55.057500000000005</v>
      </c>
      <c r="C1020">
        <f>Coin4!C63</f>
        <v>88.88000000000001</v>
      </c>
      <c r="D1020">
        <f>Coin4!D63</f>
        <v>26.36</v>
      </c>
      <c r="E1020" t="s">
        <v>45</v>
      </c>
    </row>
    <row r="1021" spans="1:5" x14ac:dyDescent="0.35">
      <c r="A1021">
        <f>Coin4!A64</f>
        <v>1563</v>
      </c>
      <c r="B1021">
        <f>Coin4!B64</f>
        <v>55.372500000000002</v>
      </c>
      <c r="C1021">
        <f>Coin4!C64</f>
        <v>88.88000000000001</v>
      </c>
      <c r="D1021">
        <f>Coin4!D64</f>
        <v>26.36</v>
      </c>
      <c r="E1021" t="s">
        <v>45</v>
      </c>
    </row>
    <row r="1022" spans="1:5" x14ac:dyDescent="0.35">
      <c r="A1022">
        <f>Coin4!A65</f>
        <v>1564</v>
      </c>
      <c r="B1022">
        <f>Coin4!B65</f>
        <v>67.072500000000005</v>
      </c>
      <c r="C1022">
        <f>Coin4!C65</f>
        <v>88.88000000000001</v>
      </c>
      <c r="D1022">
        <f>Coin4!D65</f>
        <v>26.36</v>
      </c>
      <c r="E1022" t="s">
        <v>45</v>
      </c>
    </row>
    <row r="1023" spans="1:5" x14ac:dyDescent="0.35">
      <c r="A1023">
        <f>Coin4!A66</f>
        <v>1565</v>
      </c>
      <c r="B1023">
        <f>Coin4!B66</f>
        <v>67.387500000000003</v>
      </c>
      <c r="C1023">
        <f>Coin4!C66</f>
        <v>88.88000000000001</v>
      </c>
      <c r="D1023">
        <f>Coin4!D66</f>
        <v>26.36</v>
      </c>
      <c r="E1023" t="s">
        <v>45</v>
      </c>
    </row>
    <row r="1024" spans="1:5" x14ac:dyDescent="0.35">
      <c r="A1024">
        <f>Coin4!A67</f>
        <v>1566</v>
      </c>
      <c r="B1024">
        <f>Coin4!B67</f>
        <v>68.025000000000006</v>
      </c>
      <c r="C1024">
        <f>Coin4!C67</f>
        <v>88.88000000000001</v>
      </c>
      <c r="D1024">
        <f>Coin4!D67</f>
        <v>26.36</v>
      </c>
      <c r="E1024" t="s">
        <v>45</v>
      </c>
    </row>
    <row r="1025" spans="1:5" x14ac:dyDescent="0.35">
      <c r="A1025">
        <f>Coin4!A68</f>
        <v>1567</v>
      </c>
      <c r="B1025">
        <f>Coin4!B68</f>
        <v>69.425000000000011</v>
      </c>
      <c r="C1025">
        <f>Coin4!C68</f>
        <v>88.88000000000001</v>
      </c>
      <c r="D1025">
        <f>Coin4!D68</f>
        <v>26.36</v>
      </c>
      <c r="E1025" t="s">
        <v>45</v>
      </c>
    </row>
    <row r="1026" spans="1:5" x14ac:dyDescent="0.35">
      <c r="A1026">
        <f>Coin4!A69</f>
        <v>1568</v>
      </c>
      <c r="B1026">
        <f>Coin4!B69</f>
        <v>54.42</v>
      </c>
      <c r="C1026">
        <f>Coin4!C69</f>
        <v>90.796126612030136</v>
      </c>
      <c r="D1026">
        <f>Coin4!D69</f>
        <v>26.36</v>
      </c>
      <c r="E1026" t="s">
        <v>45</v>
      </c>
    </row>
    <row r="1027" spans="1:5" x14ac:dyDescent="0.35">
      <c r="A1027">
        <f>Coin4!A70</f>
        <v>1569</v>
      </c>
      <c r="B1027">
        <f>Coin4!B70</f>
        <v>68.025000000000006</v>
      </c>
      <c r="C1027">
        <f>Coin4!C70</f>
        <v>90.796126612030136</v>
      </c>
      <c r="D1027">
        <f>Coin4!D70</f>
        <v>26.36</v>
      </c>
      <c r="E1027" t="s">
        <v>45</v>
      </c>
    </row>
    <row r="1028" spans="1:5" x14ac:dyDescent="0.35">
      <c r="A1028">
        <f>Coin4!A71</f>
        <v>1570</v>
      </c>
      <c r="B1028">
        <f>Coin4!B71</f>
        <v>68.025000000000006</v>
      </c>
      <c r="C1028">
        <f>Coin4!C71</f>
        <v>91.573000000000008</v>
      </c>
      <c r="D1028">
        <f>Coin4!D71</f>
        <v>26.36</v>
      </c>
      <c r="E1028" t="s">
        <v>45</v>
      </c>
    </row>
    <row r="1029" spans="1:5" x14ac:dyDescent="0.35">
      <c r="A1029">
        <f>Coin4!A72</f>
        <v>1571</v>
      </c>
      <c r="B1029">
        <f>Coin4!B72</f>
        <v>69.425000000000011</v>
      </c>
      <c r="C1029">
        <f>Coin4!C72</f>
        <v>91.573000000000008</v>
      </c>
      <c r="D1029">
        <f>Coin4!D72</f>
        <v>26.36</v>
      </c>
      <c r="E1029" t="s">
        <v>45</v>
      </c>
    </row>
    <row r="1030" spans="1:5" x14ac:dyDescent="0.35">
      <c r="A1030">
        <f>Coin4!A73</f>
        <v>1572</v>
      </c>
      <c r="B1030">
        <f>Coin4!B73</f>
        <v>55.057500000000005</v>
      </c>
      <c r="C1030">
        <f>Coin4!C73</f>
        <v>91.433626612030139</v>
      </c>
      <c r="D1030">
        <f>Coin4!D73</f>
        <v>26.36</v>
      </c>
      <c r="E1030" t="s">
        <v>45</v>
      </c>
    </row>
    <row r="1031" spans="1:5" x14ac:dyDescent="0.35">
      <c r="A1031">
        <f>Coin4!A74</f>
        <v>1573</v>
      </c>
      <c r="B1031">
        <f>Coin4!B74</f>
        <v>67.387500000000003</v>
      </c>
      <c r="C1031">
        <f>Coin4!C74</f>
        <v>91.433626612030139</v>
      </c>
      <c r="D1031">
        <f>Coin4!D74</f>
        <v>26.36</v>
      </c>
      <c r="E1031" t="s">
        <v>45</v>
      </c>
    </row>
    <row r="1032" spans="1:5" x14ac:dyDescent="0.35">
      <c r="A1032">
        <f>Coin4!A75</f>
        <v>1574</v>
      </c>
      <c r="B1032">
        <f>Coin4!B75</f>
        <v>54.42</v>
      </c>
      <c r="C1032">
        <f>Coin4!C75</f>
        <v>92.850751074686755</v>
      </c>
      <c r="D1032">
        <f>Coin4!D75</f>
        <v>26.36</v>
      </c>
      <c r="E1032" t="s">
        <v>45</v>
      </c>
    </row>
    <row r="1033" spans="1:5" x14ac:dyDescent="0.35">
      <c r="A1033">
        <f>Coin4!A76</f>
        <v>1575</v>
      </c>
      <c r="B1033">
        <f>Coin4!B76</f>
        <v>68.025000000000006</v>
      </c>
      <c r="C1033">
        <f>Coin4!C76</f>
        <v>92.850751074686755</v>
      </c>
      <c r="D1033">
        <f>Coin4!D76</f>
        <v>26.36</v>
      </c>
      <c r="E1033" t="s">
        <v>45</v>
      </c>
    </row>
    <row r="1034" spans="1:5" x14ac:dyDescent="0.35">
      <c r="A1034">
        <f>Coin4!A77</f>
        <v>1576</v>
      </c>
      <c r="B1034">
        <f>Coin4!B77</f>
        <v>57.08550000000001</v>
      </c>
      <c r="C1034">
        <f>Coin4!C77</f>
        <v>93.01700000000001</v>
      </c>
      <c r="D1034">
        <f>Coin4!D77</f>
        <v>26.36</v>
      </c>
      <c r="E1034" t="s">
        <v>45</v>
      </c>
    </row>
    <row r="1035" spans="1:5" x14ac:dyDescent="0.35">
      <c r="A1035">
        <f>Coin4!A78</f>
        <v>1577</v>
      </c>
      <c r="B1035">
        <f>Coin4!B78</f>
        <v>65.359500000000011</v>
      </c>
      <c r="C1035">
        <f>Coin4!C78</f>
        <v>93.01700000000001</v>
      </c>
      <c r="D1035">
        <f>Coin4!D78</f>
        <v>26.36</v>
      </c>
      <c r="E1035" t="s">
        <v>45</v>
      </c>
    </row>
    <row r="1036" spans="1:5" x14ac:dyDescent="0.35">
      <c r="A1036">
        <f>Coin4!A79</f>
        <v>1578</v>
      </c>
      <c r="B1036">
        <f>Coin4!B79</f>
        <v>56.863500000000002</v>
      </c>
      <c r="C1036">
        <f>Coin4!C79</f>
        <v>93.239000000000004</v>
      </c>
      <c r="D1036">
        <f>Coin4!D79</f>
        <v>26.36</v>
      </c>
      <c r="E1036" t="s">
        <v>45</v>
      </c>
    </row>
    <row r="1037" spans="1:5" x14ac:dyDescent="0.35">
      <c r="A1037">
        <f>Coin4!A80</f>
        <v>1579</v>
      </c>
      <c r="B1037">
        <f>Coin4!B80</f>
        <v>65.581500000000005</v>
      </c>
      <c r="C1037">
        <f>Coin4!C80</f>
        <v>93.239000000000004</v>
      </c>
      <c r="D1037">
        <f>Coin4!D80</f>
        <v>26.36</v>
      </c>
      <c r="E1037" t="s">
        <v>45</v>
      </c>
    </row>
    <row r="1038" spans="1:5" x14ac:dyDescent="0.35">
      <c r="A1038">
        <f>Coin4!A81</f>
        <v>1580</v>
      </c>
      <c r="B1038">
        <f>Coin4!B81</f>
        <v>68.025000000000006</v>
      </c>
      <c r="C1038">
        <f>Coin4!C81</f>
        <v>94.26700000000001</v>
      </c>
      <c r="D1038">
        <f>Coin4!D81</f>
        <v>26.36</v>
      </c>
      <c r="E1038" t="s">
        <v>45</v>
      </c>
    </row>
    <row r="1039" spans="1:5" x14ac:dyDescent="0.35">
      <c r="A1039">
        <f>Coin4!A82</f>
        <v>1581</v>
      </c>
      <c r="B1039">
        <f>Coin4!B82</f>
        <v>69.425000000000011</v>
      </c>
      <c r="C1039">
        <f>Coin4!C82</f>
        <v>94.26700000000001</v>
      </c>
      <c r="D1039">
        <f>Coin4!D82</f>
        <v>26.36</v>
      </c>
      <c r="E1039" t="s">
        <v>45</v>
      </c>
    </row>
    <row r="1040" spans="1:5" x14ac:dyDescent="0.35">
      <c r="A1040">
        <f>Coin4!A83</f>
        <v>1582</v>
      </c>
      <c r="B1040">
        <f>Coin4!B83</f>
        <v>55.83550000000001</v>
      </c>
      <c r="C1040">
        <f>Coin4!C83</f>
        <v>94.26700000000001</v>
      </c>
      <c r="D1040">
        <f>Coin4!D83</f>
        <v>26.36</v>
      </c>
      <c r="E1040" t="s">
        <v>45</v>
      </c>
    </row>
    <row r="1041" spans="1:5" x14ac:dyDescent="0.35">
      <c r="A1041">
        <f>Coin4!A84</f>
        <v>1583</v>
      </c>
      <c r="B1041">
        <f>Coin4!B84</f>
        <v>66.609500000000011</v>
      </c>
      <c r="C1041">
        <f>Coin4!C84</f>
        <v>94.26700000000001</v>
      </c>
      <c r="D1041">
        <f>Coin4!D84</f>
        <v>26.36</v>
      </c>
      <c r="E1041" t="s">
        <v>45</v>
      </c>
    </row>
    <row r="1042" spans="1:5" x14ac:dyDescent="0.35">
      <c r="A1042">
        <f>Coin4!A85</f>
        <v>1584</v>
      </c>
      <c r="B1042">
        <f>Coin4!B85</f>
        <v>54.42</v>
      </c>
      <c r="C1042">
        <f>Coin4!C85</f>
        <v>94.905375537343389</v>
      </c>
      <c r="D1042">
        <f>Coin4!D85</f>
        <v>26.36</v>
      </c>
      <c r="E1042" t="s">
        <v>45</v>
      </c>
    </row>
    <row r="1043" spans="1:5" x14ac:dyDescent="0.35">
      <c r="A1043">
        <f>Coin4!A86</f>
        <v>1585</v>
      </c>
      <c r="B1043">
        <f>Coin4!B86</f>
        <v>68.025000000000006</v>
      </c>
      <c r="C1043">
        <f>Coin4!C86</f>
        <v>94.905375537343389</v>
      </c>
      <c r="D1043">
        <f>Coin4!D86</f>
        <v>26.36</v>
      </c>
      <c r="E1043" t="s">
        <v>45</v>
      </c>
    </row>
    <row r="1044" spans="1:5" x14ac:dyDescent="0.35">
      <c r="A1044">
        <f>Coin4!A87</f>
        <v>1586</v>
      </c>
      <c r="B1044">
        <f>Coin4!B87</f>
        <v>61.222500000000004</v>
      </c>
      <c r="C1044">
        <f>Coin4!C87</f>
        <v>94.73</v>
      </c>
      <c r="D1044">
        <f>Coin4!D87</f>
        <v>26.36</v>
      </c>
      <c r="E1044" t="s">
        <v>45</v>
      </c>
    </row>
    <row r="1045" spans="1:5" x14ac:dyDescent="0.35">
      <c r="A1045">
        <f>Coin4!A88</f>
        <v>1587</v>
      </c>
      <c r="B1045">
        <f>Coin4!B88</f>
        <v>58.668873387969874</v>
      </c>
      <c r="C1045">
        <f>Coin4!C88</f>
        <v>95.045000000000002</v>
      </c>
      <c r="D1045">
        <f>Coin4!D88</f>
        <v>26.36</v>
      </c>
      <c r="E1045" t="s">
        <v>45</v>
      </c>
    </row>
    <row r="1046" spans="1:5" x14ac:dyDescent="0.35">
      <c r="A1046">
        <f>Coin4!A89</f>
        <v>1588</v>
      </c>
      <c r="B1046">
        <f>Coin4!B89</f>
        <v>61.222500000000004</v>
      </c>
      <c r="C1046">
        <f>Coin4!C89</f>
        <v>95.045000000000002</v>
      </c>
      <c r="D1046">
        <f>Coin4!D89</f>
        <v>26.36</v>
      </c>
      <c r="E1046" t="s">
        <v>45</v>
      </c>
    </row>
    <row r="1047" spans="1:5" x14ac:dyDescent="0.35">
      <c r="A1047">
        <f>Coin4!A90</f>
        <v>1589</v>
      </c>
      <c r="B1047">
        <f>Coin4!B90</f>
        <v>63.77612661203014</v>
      </c>
      <c r="C1047">
        <f>Coin4!C90</f>
        <v>95.045000000000002</v>
      </c>
      <c r="D1047">
        <f>Coin4!D90</f>
        <v>26.36</v>
      </c>
      <c r="E1047" t="s">
        <v>45</v>
      </c>
    </row>
    <row r="1048" spans="1:5" x14ac:dyDescent="0.35">
      <c r="A1048">
        <f>Coin4!A91</f>
        <v>1590</v>
      </c>
      <c r="B1048">
        <f>Coin4!B91</f>
        <v>54.42</v>
      </c>
      <c r="C1048">
        <f>Coin4!C91</f>
        <v>96.960000000000008</v>
      </c>
      <c r="D1048">
        <f>Coin4!D91</f>
        <v>26.36</v>
      </c>
      <c r="E1048" t="s">
        <v>45</v>
      </c>
    </row>
    <row r="1049" spans="1:5" x14ac:dyDescent="0.35">
      <c r="A1049">
        <f>Coin4!A92</f>
        <v>1591</v>
      </c>
      <c r="B1049">
        <f>Coin4!B92</f>
        <v>55.540000000000006</v>
      </c>
      <c r="C1049">
        <f>Coin4!C92</f>
        <v>96.960000000000008</v>
      </c>
      <c r="D1049">
        <f>Coin4!D92</f>
        <v>26.36</v>
      </c>
      <c r="E1049" t="s">
        <v>45</v>
      </c>
    </row>
    <row r="1050" spans="1:5" x14ac:dyDescent="0.35">
      <c r="A1050">
        <f>Coin4!A93</f>
        <v>1592</v>
      </c>
      <c r="B1050">
        <f>Coin4!B93</f>
        <v>56.474624462656628</v>
      </c>
      <c r="C1050">
        <f>Coin4!C93</f>
        <v>96.960000000000008</v>
      </c>
      <c r="D1050">
        <f>Coin4!D93</f>
        <v>26.36</v>
      </c>
      <c r="E1050" t="s">
        <v>45</v>
      </c>
    </row>
    <row r="1051" spans="1:5" x14ac:dyDescent="0.35">
      <c r="A1051">
        <f>Coin4!A94</f>
        <v>1593</v>
      </c>
      <c r="B1051">
        <f>Coin4!B94</f>
        <v>56.657948729810784</v>
      </c>
      <c r="C1051">
        <f>Coin4!C94</f>
        <v>96.960000000000008</v>
      </c>
      <c r="D1051">
        <f>Coin4!D94</f>
        <v>26.36</v>
      </c>
      <c r="E1051" t="s">
        <v>45</v>
      </c>
    </row>
    <row r="1052" spans="1:5" x14ac:dyDescent="0.35">
      <c r="A1052">
        <f>Coin4!A95</f>
        <v>1594</v>
      </c>
      <c r="B1052">
        <f>Coin4!B95</f>
        <v>57.777948729810781</v>
      </c>
      <c r="C1052">
        <f>Coin4!C95</f>
        <v>96.960000000000008</v>
      </c>
      <c r="D1052">
        <f>Coin4!D95</f>
        <v>26.36</v>
      </c>
      <c r="E1052" t="s">
        <v>45</v>
      </c>
    </row>
    <row r="1053" spans="1:5" x14ac:dyDescent="0.35">
      <c r="A1053">
        <f>Coin4!A96</f>
        <v>1595</v>
      </c>
      <c r="B1053">
        <f>Coin4!B96</f>
        <v>58.529248925313254</v>
      </c>
      <c r="C1053">
        <f>Coin4!C96</f>
        <v>96.960000000000008</v>
      </c>
      <c r="D1053">
        <f>Coin4!D96</f>
        <v>26.36</v>
      </c>
      <c r="E1053" t="s">
        <v>45</v>
      </c>
    </row>
    <row r="1054" spans="1:5" x14ac:dyDescent="0.35">
      <c r="A1054">
        <f>Coin4!A97</f>
        <v>1596</v>
      </c>
      <c r="B1054">
        <f>Coin4!B97</f>
        <v>58.717948729810786</v>
      </c>
      <c r="C1054">
        <f>Coin4!C97</f>
        <v>96.960000000000008</v>
      </c>
      <c r="D1054">
        <f>Coin4!D97</f>
        <v>26.36</v>
      </c>
      <c r="E1054" t="s">
        <v>45</v>
      </c>
    </row>
    <row r="1055" spans="1:5" x14ac:dyDescent="0.35">
      <c r="A1055">
        <f>Coin4!A98</f>
        <v>1597</v>
      </c>
      <c r="B1055">
        <f>Coin4!B98</f>
        <v>59.667500000000004</v>
      </c>
      <c r="C1055">
        <f>Coin4!C98</f>
        <v>96.960000000000008</v>
      </c>
      <c r="D1055">
        <f>Coin4!D98</f>
        <v>26.36</v>
      </c>
      <c r="E1055" t="s">
        <v>45</v>
      </c>
    </row>
    <row r="1056" spans="1:5" x14ac:dyDescent="0.35">
      <c r="A1056">
        <f>Coin4!A99</f>
        <v>1598</v>
      </c>
      <c r="B1056">
        <f>Coin4!B99</f>
        <v>60.583873387969874</v>
      </c>
      <c r="C1056">
        <f>Coin4!C99</f>
        <v>96.960000000000008</v>
      </c>
      <c r="D1056">
        <f>Coin4!D99</f>
        <v>26.36</v>
      </c>
      <c r="E1056" t="s">
        <v>45</v>
      </c>
    </row>
    <row r="1057" spans="1:5" x14ac:dyDescent="0.35">
      <c r="A1057">
        <f>Coin4!A100</f>
        <v>1599</v>
      </c>
      <c r="B1057">
        <f>Coin4!B100</f>
        <v>60.372500000000002</v>
      </c>
      <c r="C1057">
        <f>Coin4!C100</f>
        <v>96.960000000000008</v>
      </c>
      <c r="D1057">
        <f>Coin4!D100</f>
        <v>26.36</v>
      </c>
      <c r="E1057" t="s">
        <v>45</v>
      </c>
    </row>
    <row r="1058" spans="1:5" x14ac:dyDescent="0.35">
      <c r="A1058">
        <f>Coin4!A101</f>
        <v>1600</v>
      </c>
      <c r="B1058">
        <f>Coin4!B101</f>
        <v>60.607500000000002</v>
      </c>
      <c r="C1058">
        <f>Coin4!C101</f>
        <v>96.960000000000008</v>
      </c>
      <c r="D1058">
        <f>Coin4!D101</f>
        <v>26.36</v>
      </c>
      <c r="E1058" t="s">
        <v>45</v>
      </c>
    </row>
    <row r="1059" spans="1:5" x14ac:dyDescent="0.35">
      <c r="A1059">
        <f>Coin4!A102</f>
        <v>1601</v>
      </c>
      <c r="B1059">
        <f>Coin4!B102</f>
        <v>61.222500000000004</v>
      </c>
      <c r="C1059">
        <f>Coin4!C102</f>
        <v>96.960000000000008</v>
      </c>
      <c r="D1059">
        <f>Coin4!D102</f>
        <v>26.36</v>
      </c>
      <c r="E1059" t="s">
        <v>45</v>
      </c>
    </row>
    <row r="1060" spans="1:5" x14ac:dyDescent="0.35">
      <c r="A1060">
        <f>Coin4!A103</f>
        <v>1602</v>
      </c>
      <c r="B1060">
        <f>Coin4!B103</f>
        <v>61.837500000000006</v>
      </c>
      <c r="C1060">
        <f>Coin4!C103</f>
        <v>96.960000000000008</v>
      </c>
      <c r="D1060">
        <f>Coin4!D103</f>
        <v>26.36</v>
      </c>
      <c r="E1060" t="s">
        <v>45</v>
      </c>
    </row>
    <row r="1061" spans="1:5" x14ac:dyDescent="0.35">
      <c r="A1061">
        <f>Coin4!A104</f>
        <v>1603</v>
      </c>
      <c r="B1061">
        <f>Coin4!B104</f>
        <v>62.072500000000005</v>
      </c>
      <c r="C1061">
        <f>Coin4!C104</f>
        <v>96.960000000000008</v>
      </c>
      <c r="D1061">
        <f>Coin4!D104</f>
        <v>26.36</v>
      </c>
      <c r="E1061" t="s">
        <v>45</v>
      </c>
    </row>
    <row r="1062" spans="1:5" x14ac:dyDescent="0.35">
      <c r="A1062">
        <f>Coin4!A105</f>
        <v>1604</v>
      </c>
      <c r="B1062">
        <f>Coin4!B105</f>
        <v>61.861126612030134</v>
      </c>
      <c r="C1062">
        <f>Coin4!C105</f>
        <v>96.960000000000008</v>
      </c>
      <c r="D1062">
        <f>Coin4!D105</f>
        <v>26.36</v>
      </c>
      <c r="E1062" t="s">
        <v>45</v>
      </c>
    </row>
    <row r="1063" spans="1:5" x14ac:dyDescent="0.35">
      <c r="A1063">
        <f>Coin4!A106</f>
        <v>1605</v>
      </c>
      <c r="B1063">
        <f>Coin4!B106</f>
        <v>62.777500000000003</v>
      </c>
      <c r="C1063">
        <f>Coin4!C106</f>
        <v>96.960000000000008</v>
      </c>
      <c r="D1063">
        <f>Coin4!D106</f>
        <v>26.36</v>
      </c>
      <c r="E1063" t="s">
        <v>45</v>
      </c>
    </row>
    <row r="1064" spans="1:5" x14ac:dyDescent="0.35">
      <c r="A1064">
        <f>Coin4!A107</f>
        <v>1606</v>
      </c>
      <c r="B1064">
        <f>Coin4!B107</f>
        <v>63.727051270189229</v>
      </c>
      <c r="C1064">
        <f>Coin4!C107</f>
        <v>96.960000000000008</v>
      </c>
      <c r="D1064">
        <f>Coin4!D107</f>
        <v>26.36</v>
      </c>
      <c r="E1064" t="s">
        <v>45</v>
      </c>
    </row>
    <row r="1065" spans="1:5" x14ac:dyDescent="0.35">
      <c r="A1065">
        <f>Coin4!A108</f>
        <v>1607</v>
      </c>
      <c r="B1065">
        <f>Coin4!B108</f>
        <v>63.91575107468676</v>
      </c>
      <c r="C1065">
        <f>Coin4!C108</f>
        <v>96.960000000000008</v>
      </c>
      <c r="D1065">
        <f>Coin4!D108</f>
        <v>26.36</v>
      </c>
      <c r="E1065" t="s">
        <v>45</v>
      </c>
    </row>
    <row r="1066" spans="1:5" x14ac:dyDescent="0.35">
      <c r="A1066">
        <f>Coin4!A109</f>
        <v>1608</v>
      </c>
      <c r="B1066">
        <f>Coin4!B109</f>
        <v>64.667051270189233</v>
      </c>
      <c r="C1066">
        <f>Coin4!C109</f>
        <v>96.960000000000008</v>
      </c>
      <c r="D1066">
        <f>Coin4!D109</f>
        <v>26.36</v>
      </c>
      <c r="E1066" t="s">
        <v>45</v>
      </c>
    </row>
    <row r="1067" spans="1:5" x14ac:dyDescent="0.35">
      <c r="A1067">
        <f>Coin4!A110</f>
        <v>1609</v>
      </c>
      <c r="B1067">
        <f>Coin4!B110</f>
        <v>65.787051270189224</v>
      </c>
      <c r="C1067">
        <f>Coin4!C110</f>
        <v>96.960000000000008</v>
      </c>
      <c r="D1067">
        <f>Coin4!D110</f>
        <v>26.36</v>
      </c>
      <c r="E1067" t="s">
        <v>45</v>
      </c>
    </row>
    <row r="1068" spans="1:5" x14ac:dyDescent="0.35">
      <c r="A1068">
        <f>Coin4!A111</f>
        <v>1610</v>
      </c>
      <c r="B1068">
        <f>Coin4!B111</f>
        <v>65.970375537343386</v>
      </c>
      <c r="C1068">
        <f>Coin4!C111</f>
        <v>96.960000000000008</v>
      </c>
      <c r="D1068">
        <f>Coin4!D111</f>
        <v>26.36</v>
      </c>
      <c r="E1068" t="s">
        <v>45</v>
      </c>
    </row>
    <row r="1069" spans="1:5" x14ac:dyDescent="0.35">
      <c r="A1069">
        <f>Coin4!A112</f>
        <v>1611</v>
      </c>
      <c r="B1069">
        <f>Coin4!B112</f>
        <v>66.905000000000001</v>
      </c>
      <c r="C1069">
        <f>Coin4!C112</f>
        <v>96.960000000000008</v>
      </c>
      <c r="D1069">
        <f>Coin4!D112</f>
        <v>26.36</v>
      </c>
      <c r="E1069" t="s">
        <v>45</v>
      </c>
    </row>
    <row r="1070" spans="1:5" x14ac:dyDescent="0.35">
      <c r="A1070">
        <f>Coin4!A113</f>
        <v>1612</v>
      </c>
      <c r="B1070">
        <f>Coin4!B113</f>
        <v>68.025000000000006</v>
      </c>
      <c r="C1070">
        <f>Coin4!C113</f>
        <v>96.960000000000008</v>
      </c>
      <c r="D1070">
        <f>Coin4!D113</f>
        <v>26.36</v>
      </c>
      <c r="E1070" t="s">
        <v>45</v>
      </c>
    </row>
    <row r="1071" spans="1:5" x14ac:dyDescent="0.35">
      <c r="A1071">
        <f>Coin4!A114</f>
        <v>1613</v>
      </c>
      <c r="B1071">
        <f>Coin4!B114</f>
        <v>69.425000000000011</v>
      </c>
      <c r="C1071">
        <f>Coin4!C114</f>
        <v>96.960000000000008</v>
      </c>
      <c r="D1071">
        <f>Coin4!D114</f>
        <v>26.36</v>
      </c>
      <c r="E1071" t="s">
        <v>45</v>
      </c>
    </row>
    <row r="1072" spans="1:5" x14ac:dyDescent="0.35">
      <c r="A1072">
        <f>Coin4!A115</f>
        <v>1614</v>
      </c>
      <c r="B1072">
        <f>Coin4!B115</f>
        <v>57.777948729810781</v>
      </c>
      <c r="C1072">
        <f>Coin4!C115</f>
        <v>97.31</v>
      </c>
      <c r="D1072">
        <f>Coin4!D115</f>
        <v>26.36</v>
      </c>
      <c r="E1072" t="s">
        <v>45</v>
      </c>
    </row>
    <row r="1073" spans="1:5" x14ac:dyDescent="0.35">
      <c r="A1073">
        <f>Coin4!A116</f>
        <v>1615</v>
      </c>
      <c r="B1073">
        <f>Coin4!B116</f>
        <v>60.607500000000002</v>
      </c>
      <c r="C1073">
        <f>Coin4!C116</f>
        <v>97.31</v>
      </c>
      <c r="D1073">
        <f>Coin4!D116</f>
        <v>26.36</v>
      </c>
      <c r="E1073" t="s">
        <v>45</v>
      </c>
    </row>
    <row r="1074" spans="1:5" x14ac:dyDescent="0.35">
      <c r="A1074">
        <f>Coin4!A117</f>
        <v>1616</v>
      </c>
      <c r="B1074">
        <f>Coin4!B117</f>
        <v>61.837500000000006</v>
      </c>
      <c r="C1074">
        <f>Coin4!C117</f>
        <v>97.31</v>
      </c>
      <c r="D1074">
        <f>Coin4!D117</f>
        <v>26.36</v>
      </c>
      <c r="E1074" t="s">
        <v>45</v>
      </c>
    </row>
    <row r="1075" spans="1:5" x14ac:dyDescent="0.35">
      <c r="A1075">
        <f>Coin4!A118</f>
        <v>1617</v>
      </c>
      <c r="B1075">
        <f>Coin4!B118</f>
        <v>64.667051270189233</v>
      </c>
      <c r="C1075">
        <f>Coin4!C118</f>
        <v>97.31</v>
      </c>
      <c r="D1075">
        <f>Coin4!D118</f>
        <v>26.36</v>
      </c>
      <c r="E1075" t="s">
        <v>45</v>
      </c>
    </row>
    <row r="1076" spans="1:5" x14ac:dyDescent="0.35">
      <c r="A1076">
        <f>Coin4!A119</f>
        <v>1618</v>
      </c>
      <c r="B1076">
        <f>Coin4!B119</f>
        <v>68.025000000000006</v>
      </c>
      <c r="C1076">
        <f>Coin4!C119</f>
        <v>97.31</v>
      </c>
      <c r="D1076">
        <f>Coin4!D119</f>
        <v>26.36</v>
      </c>
      <c r="E1076" t="s">
        <v>45</v>
      </c>
    </row>
    <row r="1077" spans="1:5" x14ac:dyDescent="0.35">
      <c r="A1077">
        <f>Coin4!A120</f>
        <v>1619</v>
      </c>
      <c r="B1077">
        <f>Coin4!B120</f>
        <v>69.425000000000011</v>
      </c>
      <c r="C1077">
        <f>Coin4!C120</f>
        <v>97.31</v>
      </c>
      <c r="D1077">
        <f>Coin4!D120</f>
        <v>26.36</v>
      </c>
      <c r="E1077" t="s">
        <v>45</v>
      </c>
    </row>
    <row r="1078" spans="1:5" x14ac:dyDescent="0.35">
      <c r="A1078">
        <f>Coin4!A121</f>
        <v>1620</v>
      </c>
      <c r="B1078">
        <f>Coin4!B121</f>
        <v>54.42</v>
      </c>
      <c r="C1078">
        <f>Coin4!C121</f>
        <v>98.56</v>
      </c>
      <c r="D1078">
        <f>Coin4!D121</f>
        <v>26.36</v>
      </c>
      <c r="E1078" t="s">
        <v>45</v>
      </c>
    </row>
    <row r="1079" spans="1:5" x14ac:dyDescent="0.35">
      <c r="A1079">
        <f>Coin4!A122</f>
        <v>1621</v>
      </c>
      <c r="B1079">
        <f>Coin4!B122</f>
        <v>55.540000000000006</v>
      </c>
      <c r="C1079">
        <f>Coin4!C122</f>
        <v>98.56</v>
      </c>
      <c r="D1079">
        <f>Coin4!D122</f>
        <v>26.36</v>
      </c>
      <c r="E1079" t="s">
        <v>45</v>
      </c>
    </row>
    <row r="1080" spans="1:5" x14ac:dyDescent="0.35">
      <c r="A1080">
        <f>Coin4!A123</f>
        <v>1622</v>
      </c>
      <c r="B1080">
        <f>Coin4!B123</f>
        <v>56.657948729810784</v>
      </c>
      <c r="C1080">
        <f>Coin4!C123</f>
        <v>98.56</v>
      </c>
      <c r="D1080">
        <f>Coin4!D123</f>
        <v>26.36</v>
      </c>
      <c r="E1080" t="s">
        <v>45</v>
      </c>
    </row>
    <row r="1081" spans="1:5" x14ac:dyDescent="0.35">
      <c r="A1081">
        <f>Coin4!A124</f>
        <v>1623</v>
      </c>
      <c r="B1081">
        <f>Coin4!B124</f>
        <v>57.777948729810781</v>
      </c>
      <c r="C1081">
        <f>Coin4!C124</f>
        <v>98.56</v>
      </c>
      <c r="D1081">
        <f>Coin4!D124</f>
        <v>26.36</v>
      </c>
      <c r="E1081" t="s">
        <v>45</v>
      </c>
    </row>
    <row r="1082" spans="1:5" x14ac:dyDescent="0.35">
      <c r="A1082">
        <f>Coin4!A125</f>
        <v>1624</v>
      </c>
      <c r="B1082">
        <f>Coin4!B125</f>
        <v>58.717948729810786</v>
      </c>
      <c r="C1082">
        <f>Coin4!C125</f>
        <v>98.56</v>
      </c>
      <c r="D1082">
        <f>Coin4!D125</f>
        <v>26.36</v>
      </c>
      <c r="E1082" t="s">
        <v>45</v>
      </c>
    </row>
    <row r="1083" spans="1:5" x14ac:dyDescent="0.35">
      <c r="A1083">
        <f>Coin4!A126</f>
        <v>1625</v>
      </c>
      <c r="B1083">
        <f>Coin4!B126</f>
        <v>59.667500000000004</v>
      </c>
      <c r="C1083">
        <f>Coin4!C126</f>
        <v>98.56</v>
      </c>
      <c r="D1083">
        <f>Coin4!D126</f>
        <v>26.36</v>
      </c>
      <c r="E1083" t="s">
        <v>45</v>
      </c>
    </row>
    <row r="1084" spans="1:5" x14ac:dyDescent="0.35">
      <c r="A1084">
        <f>Coin4!A127</f>
        <v>1626</v>
      </c>
      <c r="B1084">
        <f>Coin4!B127</f>
        <v>60.607500000000002</v>
      </c>
      <c r="C1084">
        <f>Coin4!C127</f>
        <v>98.56</v>
      </c>
      <c r="D1084">
        <f>Coin4!D127</f>
        <v>26.36</v>
      </c>
      <c r="E1084" t="s">
        <v>45</v>
      </c>
    </row>
    <row r="1085" spans="1:5" x14ac:dyDescent="0.35">
      <c r="A1085">
        <f>Coin4!A128</f>
        <v>1627</v>
      </c>
      <c r="B1085">
        <f>Coin4!B128</f>
        <v>61.837500000000006</v>
      </c>
      <c r="C1085">
        <f>Coin4!C128</f>
        <v>98.56</v>
      </c>
      <c r="D1085">
        <f>Coin4!D128</f>
        <v>26.36</v>
      </c>
      <c r="E1085" t="s">
        <v>45</v>
      </c>
    </row>
    <row r="1086" spans="1:5" x14ac:dyDescent="0.35">
      <c r="A1086">
        <f>Coin4!A129</f>
        <v>1628</v>
      </c>
      <c r="B1086">
        <f>Coin4!B129</f>
        <v>62.777500000000003</v>
      </c>
      <c r="C1086">
        <f>Coin4!C129</f>
        <v>98.56</v>
      </c>
      <c r="D1086">
        <f>Coin4!D129</f>
        <v>26.36</v>
      </c>
      <c r="E1086" t="s">
        <v>45</v>
      </c>
    </row>
    <row r="1087" spans="1:5" x14ac:dyDescent="0.35">
      <c r="A1087">
        <f>Coin4!A130</f>
        <v>1629</v>
      </c>
      <c r="B1087">
        <f>Coin4!B130</f>
        <v>63.727051270189229</v>
      </c>
      <c r="C1087">
        <f>Coin4!C130</f>
        <v>98.56</v>
      </c>
      <c r="D1087">
        <f>Coin4!D130</f>
        <v>26.36</v>
      </c>
      <c r="E1087" t="s">
        <v>45</v>
      </c>
    </row>
    <row r="1088" spans="1:5" x14ac:dyDescent="0.35">
      <c r="A1088">
        <f>Coin4!A131</f>
        <v>1630</v>
      </c>
      <c r="B1088">
        <f>Coin4!B131</f>
        <v>64.667051270189233</v>
      </c>
      <c r="C1088">
        <f>Coin4!C131</f>
        <v>98.56</v>
      </c>
      <c r="D1088">
        <f>Coin4!D131</f>
        <v>26.36</v>
      </c>
      <c r="E1088" t="s">
        <v>45</v>
      </c>
    </row>
    <row r="1089" spans="1:5" x14ac:dyDescent="0.35">
      <c r="A1089">
        <f>Coin4!A132</f>
        <v>1631</v>
      </c>
      <c r="B1089">
        <f>Coin4!B132</f>
        <v>65.787051270189224</v>
      </c>
      <c r="C1089">
        <f>Coin4!C132</f>
        <v>98.56</v>
      </c>
      <c r="D1089">
        <f>Coin4!D132</f>
        <v>26.36</v>
      </c>
      <c r="E1089" t="s">
        <v>45</v>
      </c>
    </row>
    <row r="1090" spans="1:5" x14ac:dyDescent="0.35">
      <c r="A1090">
        <f>Coin4!A133</f>
        <v>1632</v>
      </c>
      <c r="B1090">
        <f>Coin4!B133</f>
        <v>66.905000000000001</v>
      </c>
      <c r="C1090">
        <f>Coin4!C133</f>
        <v>98.56</v>
      </c>
      <c r="D1090">
        <f>Coin4!D133</f>
        <v>26.36</v>
      </c>
      <c r="E1090" t="s">
        <v>45</v>
      </c>
    </row>
    <row r="1091" spans="1:5" x14ac:dyDescent="0.35">
      <c r="A1091">
        <f>Coin4!A134</f>
        <v>1633</v>
      </c>
      <c r="B1091">
        <f>Coin4!B134</f>
        <v>68.025000000000006</v>
      </c>
      <c r="C1091">
        <f>Coin4!C134</f>
        <v>98.56</v>
      </c>
      <c r="D1091">
        <f>Coin4!D134</f>
        <v>26.36</v>
      </c>
      <c r="E1091" t="s">
        <v>45</v>
      </c>
    </row>
    <row r="1092" spans="1:5" x14ac:dyDescent="0.35">
      <c r="A1092">
        <f>Coin4!A135</f>
        <v>1634</v>
      </c>
      <c r="B1092">
        <f>Coin4!B135</f>
        <v>69.425000000000011</v>
      </c>
      <c r="C1092">
        <f>Coin4!C135</f>
        <v>98.56</v>
      </c>
      <c r="D1092">
        <f>Coin4!D135</f>
        <v>26.36</v>
      </c>
      <c r="E1092" t="s">
        <v>45</v>
      </c>
    </row>
    <row r="1093" spans="1:5" x14ac:dyDescent="0.35">
      <c r="A1093">
        <f>Coin4!A136</f>
        <v>1635</v>
      </c>
      <c r="B1093">
        <f>Coin4!B136</f>
        <v>60.372500000000002</v>
      </c>
      <c r="C1093">
        <f>Coin4!C136</f>
        <v>88.175000000000011</v>
      </c>
      <c r="D1093">
        <f>Coin4!D136</f>
        <v>27.25</v>
      </c>
      <c r="E1093" t="s">
        <v>45</v>
      </c>
    </row>
    <row r="1094" spans="1:5" x14ac:dyDescent="0.35">
      <c r="A1094">
        <f>Coin4!A137</f>
        <v>1636</v>
      </c>
      <c r="B1094">
        <f>Coin4!B137</f>
        <v>60.772500000000008</v>
      </c>
      <c r="C1094">
        <f>Coin4!C137</f>
        <v>88.175000000000011</v>
      </c>
      <c r="D1094">
        <f>Coin4!D137</f>
        <v>27.25</v>
      </c>
      <c r="E1094" t="s">
        <v>45</v>
      </c>
    </row>
    <row r="1095" spans="1:5" x14ac:dyDescent="0.35">
      <c r="A1095">
        <f>Coin4!A138</f>
        <v>1637</v>
      </c>
      <c r="B1095">
        <f>Coin4!B138</f>
        <v>61.672500000000007</v>
      </c>
      <c r="C1095">
        <f>Coin4!C138</f>
        <v>88.175000000000011</v>
      </c>
      <c r="D1095">
        <f>Coin4!D138</f>
        <v>27.25</v>
      </c>
      <c r="E1095" t="s">
        <v>45</v>
      </c>
    </row>
    <row r="1096" spans="1:5" x14ac:dyDescent="0.35">
      <c r="A1096">
        <f>Coin4!A139</f>
        <v>1638</v>
      </c>
      <c r="B1096">
        <f>Coin4!B139</f>
        <v>62.072500000000005</v>
      </c>
      <c r="C1096">
        <f>Coin4!C139</f>
        <v>88.175000000000011</v>
      </c>
      <c r="D1096">
        <f>Coin4!D139</f>
        <v>27.25</v>
      </c>
      <c r="E1096" t="s">
        <v>45</v>
      </c>
    </row>
    <row r="1097" spans="1:5" x14ac:dyDescent="0.35">
      <c r="A1097">
        <f>Coin4!A140</f>
        <v>1639</v>
      </c>
      <c r="B1097">
        <f>Coin4!B140</f>
        <v>61.222500000000004</v>
      </c>
      <c r="C1097">
        <f>Coin4!C140</f>
        <v>88.88000000000001</v>
      </c>
      <c r="D1097">
        <f>Coin4!D140</f>
        <v>27.25</v>
      </c>
      <c r="E1097" t="s">
        <v>45</v>
      </c>
    </row>
    <row r="1098" spans="1:5" x14ac:dyDescent="0.35">
      <c r="A1098">
        <f>Coin4!A141</f>
        <v>1640</v>
      </c>
      <c r="B1098">
        <f>Coin4!B141</f>
        <v>60.372500000000002</v>
      </c>
      <c r="C1098">
        <f>Coin4!C141</f>
        <v>89.585000000000008</v>
      </c>
      <c r="D1098">
        <f>Coin4!D141</f>
        <v>27.25</v>
      </c>
      <c r="E1098" t="s">
        <v>45</v>
      </c>
    </row>
    <row r="1099" spans="1:5" x14ac:dyDescent="0.35">
      <c r="A1099">
        <f>Coin4!A142</f>
        <v>1641</v>
      </c>
      <c r="B1099">
        <f>Coin4!B142</f>
        <v>60.772500000000008</v>
      </c>
      <c r="C1099">
        <f>Coin4!C142</f>
        <v>89.585000000000008</v>
      </c>
      <c r="D1099">
        <f>Coin4!D142</f>
        <v>27.25</v>
      </c>
      <c r="E1099" t="s">
        <v>45</v>
      </c>
    </row>
    <row r="1100" spans="1:5" x14ac:dyDescent="0.35">
      <c r="A1100">
        <f>Coin4!A143</f>
        <v>1642</v>
      </c>
      <c r="B1100">
        <f>Coin4!B143</f>
        <v>61.672500000000007</v>
      </c>
      <c r="C1100">
        <f>Coin4!C143</f>
        <v>89.585000000000008</v>
      </c>
      <c r="D1100">
        <f>Coin4!D143</f>
        <v>27.25</v>
      </c>
      <c r="E1100" t="s">
        <v>45</v>
      </c>
    </row>
    <row r="1101" spans="1:5" x14ac:dyDescent="0.35">
      <c r="A1101">
        <f>Coin4!A144</f>
        <v>1643</v>
      </c>
      <c r="B1101">
        <f>Coin4!B144</f>
        <v>62.072500000000005</v>
      </c>
      <c r="C1101">
        <f>Coin4!C144</f>
        <v>89.585000000000008</v>
      </c>
      <c r="D1101">
        <f>Coin4!D144</f>
        <v>27.25</v>
      </c>
      <c r="E1101" t="s">
        <v>45</v>
      </c>
    </row>
    <row r="1102" spans="1:5" x14ac:dyDescent="0.35">
      <c r="A1102">
        <f>Coin4!A145</f>
        <v>1644</v>
      </c>
      <c r="B1102">
        <f>Coin4!B145</f>
        <v>60.372500000000002</v>
      </c>
      <c r="C1102">
        <f>Coin4!C145</f>
        <v>80.800000000000011</v>
      </c>
      <c r="D1102">
        <f>Coin4!D145</f>
        <v>27.55</v>
      </c>
      <c r="E1102" t="s">
        <v>45</v>
      </c>
    </row>
    <row r="1103" spans="1:5" x14ac:dyDescent="0.35">
      <c r="A1103">
        <f>Coin4!A146</f>
        <v>1645</v>
      </c>
      <c r="B1103">
        <f>Coin4!B146</f>
        <v>62.072500000000005</v>
      </c>
      <c r="C1103">
        <f>Coin4!C146</f>
        <v>80.800000000000011</v>
      </c>
      <c r="D1103">
        <f>Coin4!D146</f>
        <v>27.55</v>
      </c>
      <c r="E1103" t="s">
        <v>45</v>
      </c>
    </row>
    <row r="1104" spans="1:5" x14ac:dyDescent="0.35">
      <c r="A1104">
        <f>Coin4!A147</f>
        <v>1646</v>
      </c>
      <c r="B1104">
        <f>Coin4!B147</f>
        <v>60.372500000000002</v>
      </c>
      <c r="C1104">
        <f>Coin4!C147</f>
        <v>81.2</v>
      </c>
      <c r="D1104">
        <f>Coin4!D147</f>
        <v>27.55</v>
      </c>
      <c r="E1104" t="s">
        <v>45</v>
      </c>
    </row>
    <row r="1105" spans="1:5" x14ac:dyDescent="0.35">
      <c r="A1105">
        <f>Coin4!A148</f>
        <v>1647</v>
      </c>
      <c r="B1105">
        <f>Coin4!B148</f>
        <v>62.072500000000005</v>
      </c>
      <c r="C1105">
        <f>Coin4!C148</f>
        <v>81.2</v>
      </c>
      <c r="D1105">
        <f>Coin4!D148</f>
        <v>27.55</v>
      </c>
      <c r="E1105" t="s">
        <v>45</v>
      </c>
    </row>
    <row r="1106" spans="1:5" x14ac:dyDescent="0.35">
      <c r="A1106">
        <f>Coin4!A149</f>
        <v>1648</v>
      </c>
      <c r="B1106">
        <f>Coin4!B149</f>
        <v>60.372500000000002</v>
      </c>
      <c r="C1106">
        <f>Coin4!C149</f>
        <v>83.225000000000009</v>
      </c>
      <c r="D1106">
        <f>Coin4!D149</f>
        <v>27.55</v>
      </c>
      <c r="E1106" t="s">
        <v>45</v>
      </c>
    </row>
    <row r="1107" spans="1:5" x14ac:dyDescent="0.35">
      <c r="A1107">
        <f>Coin4!A150</f>
        <v>1649</v>
      </c>
      <c r="B1107">
        <f>Coin4!B150</f>
        <v>62.072500000000005</v>
      </c>
      <c r="C1107">
        <f>Coin4!C150</f>
        <v>83.225000000000009</v>
      </c>
      <c r="D1107">
        <f>Coin4!D150</f>
        <v>27.55</v>
      </c>
      <c r="E1107" t="s">
        <v>45</v>
      </c>
    </row>
    <row r="1108" spans="1:5" x14ac:dyDescent="0.35">
      <c r="A1108">
        <f>Coin4!A151</f>
        <v>1650</v>
      </c>
      <c r="B1108">
        <f>Coin4!B151</f>
        <v>60.372500000000002</v>
      </c>
      <c r="C1108">
        <f>Coin4!C151</f>
        <v>85.25</v>
      </c>
      <c r="D1108">
        <f>Coin4!D151</f>
        <v>27.55</v>
      </c>
      <c r="E1108" t="s">
        <v>45</v>
      </c>
    </row>
    <row r="1109" spans="1:5" x14ac:dyDescent="0.35">
      <c r="A1109">
        <f>Coin4!A152</f>
        <v>1651</v>
      </c>
      <c r="B1109">
        <f>Coin4!B152</f>
        <v>62.072500000000005</v>
      </c>
      <c r="C1109">
        <f>Coin4!C152</f>
        <v>85.25</v>
      </c>
      <c r="D1109">
        <f>Coin4!D152</f>
        <v>27.55</v>
      </c>
      <c r="E1109" t="s">
        <v>45</v>
      </c>
    </row>
    <row r="1110" spans="1:5" x14ac:dyDescent="0.35">
      <c r="A1110">
        <f>Coin4!A153</f>
        <v>1652</v>
      </c>
      <c r="B1110">
        <f>Coin4!B153</f>
        <v>60.372500000000002</v>
      </c>
      <c r="C1110">
        <f>Coin4!C153</f>
        <v>87.275000000000006</v>
      </c>
      <c r="D1110">
        <f>Coin4!D153</f>
        <v>27.55</v>
      </c>
      <c r="E1110" t="s">
        <v>45</v>
      </c>
    </row>
    <row r="1111" spans="1:5" x14ac:dyDescent="0.35">
      <c r="A1111">
        <f>Coin4!A154</f>
        <v>1653</v>
      </c>
      <c r="B1111">
        <f>Coin4!B154</f>
        <v>62.072500000000005</v>
      </c>
      <c r="C1111">
        <f>Coin4!C154</f>
        <v>87.275000000000006</v>
      </c>
      <c r="D1111">
        <f>Coin4!D154</f>
        <v>27.55</v>
      </c>
      <c r="E1111" t="s">
        <v>45</v>
      </c>
    </row>
    <row r="1112" spans="1:5" x14ac:dyDescent="0.35">
      <c r="A1112">
        <f>Coin4!A155</f>
        <v>1654</v>
      </c>
      <c r="B1112">
        <f>Coin4!B155</f>
        <v>60.372500000000002</v>
      </c>
      <c r="C1112">
        <f>Coin4!C155</f>
        <v>88.175000000000011</v>
      </c>
      <c r="D1112">
        <f>Coin4!D155</f>
        <v>27.55</v>
      </c>
      <c r="E1112" t="s">
        <v>45</v>
      </c>
    </row>
    <row r="1113" spans="1:5" x14ac:dyDescent="0.35">
      <c r="A1113">
        <f>Coin4!A156</f>
        <v>1655</v>
      </c>
      <c r="B1113">
        <f>Coin4!B156</f>
        <v>62.072500000000005</v>
      </c>
      <c r="C1113">
        <f>Coin4!C156</f>
        <v>88.175000000000011</v>
      </c>
      <c r="D1113">
        <f>Coin4!D156</f>
        <v>27.55</v>
      </c>
      <c r="E1113" t="s">
        <v>45</v>
      </c>
    </row>
    <row r="1114" spans="1:5" x14ac:dyDescent="0.35">
      <c r="A1114">
        <f>Coin4!A157</f>
        <v>1656</v>
      </c>
      <c r="B1114">
        <f>Coin4!B157</f>
        <v>60.372500000000002</v>
      </c>
      <c r="C1114">
        <f>Coin4!C157</f>
        <v>89.585000000000008</v>
      </c>
      <c r="D1114">
        <f>Coin4!D157</f>
        <v>27.55</v>
      </c>
      <c r="E1114" t="s">
        <v>45</v>
      </c>
    </row>
    <row r="1115" spans="1:5" x14ac:dyDescent="0.35">
      <c r="A1115">
        <f>Coin4!A158</f>
        <v>1657</v>
      </c>
      <c r="B1115">
        <f>Coin4!B158</f>
        <v>62.072500000000005</v>
      </c>
      <c r="C1115">
        <f>Coin4!C158</f>
        <v>89.585000000000008</v>
      </c>
      <c r="D1115">
        <f>Coin4!D158</f>
        <v>27.55</v>
      </c>
      <c r="E1115" t="s">
        <v>45</v>
      </c>
    </row>
    <row r="1116" spans="1:5" x14ac:dyDescent="0.35">
      <c r="A1116">
        <f>Coin4!A159</f>
        <v>1658</v>
      </c>
      <c r="B1116">
        <f>Coin4!B159</f>
        <v>60.372500000000002</v>
      </c>
      <c r="C1116">
        <f>Coin4!C159</f>
        <v>90.485000000000014</v>
      </c>
      <c r="D1116">
        <f>Coin4!D159</f>
        <v>27.55</v>
      </c>
      <c r="E1116" t="s">
        <v>45</v>
      </c>
    </row>
    <row r="1117" spans="1:5" x14ac:dyDescent="0.35">
      <c r="A1117">
        <f>Coin4!A160</f>
        <v>1659</v>
      </c>
      <c r="B1117">
        <f>Coin4!B160</f>
        <v>62.072500000000005</v>
      </c>
      <c r="C1117">
        <f>Coin4!C160</f>
        <v>90.485000000000014</v>
      </c>
      <c r="D1117">
        <f>Coin4!D160</f>
        <v>27.55</v>
      </c>
      <c r="E1117" t="s">
        <v>45</v>
      </c>
    </row>
    <row r="1118" spans="1:5" x14ac:dyDescent="0.35">
      <c r="A1118">
        <f>Coin4!A161</f>
        <v>1660</v>
      </c>
      <c r="B1118">
        <f>Coin4!B161</f>
        <v>60.372500000000002</v>
      </c>
      <c r="C1118">
        <f>Coin4!C161</f>
        <v>92.51</v>
      </c>
      <c r="D1118">
        <f>Coin4!D161</f>
        <v>27.55</v>
      </c>
      <c r="E1118" t="s">
        <v>45</v>
      </c>
    </row>
    <row r="1119" spans="1:5" x14ac:dyDescent="0.35">
      <c r="A1119">
        <f>Coin4!A162</f>
        <v>1661</v>
      </c>
      <c r="B1119">
        <f>Coin4!B162</f>
        <v>62.072500000000005</v>
      </c>
      <c r="C1119">
        <f>Coin4!C162</f>
        <v>92.51</v>
      </c>
      <c r="D1119">
        <f>Coin4!D162</f>
        <v>27.55</v>
      </c>
      <c r="E1119" t="s">
        <v>45</v>
      </c>
    </row>
    <row r="1120" spans="1:5" x14ac:dyDescent="0.35">
      <c r="A1120">
        <f>Coin4!A163</f>
        <v>1662</v>
      </c>
      <c r="B1120">
        <f>Coin4!B163</f>
        <v>60.372500000000002</v>
      </c>
      <c r="C1120">
        <f>Coin4!C163</f>
        <v>94.535000000000011</v>
      </c>
      <c r="D1120">
        <f>Coin4!D163</f>
        <v>27.55</v>
      </c>
      <c r="E1120" t="s">
        <v>45</v>
      </c>
    </row>
    <row r="1121" spans="1:5" x14ac:dyDescent="0.35">
      <c r="A1121">
        <f>Coin4!A164</f>
        <v>1663</v>
      </c>
      <c r="B1121">
        <f>Coin4!B164</f>
        <v>62.072500000000005</v>
      </c>
      <c r="C1121">
        <f>Coin4!C164</f>
        <v>94.535000000000011</v>
      </c>
      <c r="D1121">
        <f>Coin4!D164</f>
        <v>27.55</v>
      </c>
      <c r="E1121" t="s">
        <v>45</v>
      </c>
    </row>
    <row r="1122" spans="1:5" x14ac:dyDescent="0.35">
      <c r="A1122">
        <f>Coin4!A165</f>
        <v>1664</v>
      </c>
      <c r="B1122">
        <f>Coin4!B165</f>
        <v>60.372500000000002</v>
      </c>
      <c r="C1122">
        <f>Coin4!C165</f>
        <v>96.56</v>
      </c>
      <c r="D1122">
        <f>Coin4!D165</f>
        <v>27.55</v>
      </c>
      <c r="E1122" t="s">
        <v>45</v>
      </c>
    </row>
    <row r="1123" spans="1:5" x14ac:dyDescent="0.35">
      <c r="A1123">
        <f>Coin4!A166</f>
        <v>1665</v>
      </c>
      <c r="B1123">
        <f>Coin4!B166</f>
        <v>62.072500000000005</v>
      </c>
      <c r="C1123">
        <f>Coin4!C166</f>
        <v>96.56</v>
      </c>
      <c r="D1123">
        <f>Coin4!D166</f>
        <v>27.55</v>
      </c>
      <c r="E1123" t="s">
        <v>45</v>
      </c>
    </row>
    <row r="1124" spans="1:5" x14ac:dyDescent="0.35">
      <c r="A1124">
        <f>Coin4!A167</f>
        <v>1666</v>
      </c>
      <c r="B1124">
        <f>Coin4!B167</f>
        <v>60.372500000000002</v>
      </c>
      <c r="C1124">
        <f>Coin4!C167</f>
        <v>96.960000000000008</v>
      </c>
      <c r="D1124">
        <f>Coin4!D167</f>
        <v>27.55</v>
      </c>
      <c r="E1124" t="s">
        <v>45</v>
      </c>
    </row>
    <row r="1125" spans="1:5" x14ac:dyDescent="0.35">
      <c r="A1125">
        <f>Coin4!A168</f>
        <v>1667</v>
      </c>
      <c r="B1125">
        <f>Coin4!B168</f>
        <v>62.072500000000005</v>
      </c>
      <c r="C1125">
        <f>Coin4!C168</f>
        <v>96.960000000000008</v>
      </c>
      <c r="D1125">
        <f>Coin4!D168</f>
        <v>27.55</v>
      </c>
      <c r="E1125" t="s">
        <v>45</v>
      </c>
    </row>
    <row r="1126" spans="1:5" x14ac:dyDescent="0.35">
      <c r="A1126">
        <f>Coin4!A169</f>
        <v>1668</v>
      </c>
      <c r="B1126">
        <f>Coin4!B169</f>
        <v>55.332000000000008</v>
      </c>
      <c r="C1126">
        <f>Coin4!C169</f>
        <v>80.800000000000011</v>
      </c>
      <c r="D1126">
        <f>Coin4!D169</f>
        <v>27.939999999999998</v>
      </c>
      <c r="E1126" t="s">
        <v>45</v>
      </c>
    </row>
    <row r="1127" spans="1:5" x14ac:dyDescent="0.35">
      <c r="A1127">
        <f>Coin4!A170</f>
        <v>1669</v>
      </c>
      <c r="B1127">
        <f>Coin4!B170</f>
        <v>67.113</v>
      </c>
      <c r="C1127">
        <f>Coin4!C170</f>
        <v>80.800000000000011</v>
      </c>
      <c r="D1127">
        <f>Coin4!D170</f>
        <v>27.939999999999998</v>
      </c>
      <c r="E1127" t="s">
        <v>45</v>
      </c>
    </row>
    <row r="1128" spans="1:5" x14ac:dyDescent="0.35">
      <c r="A1128">
        <f>Coin4!A171</f>
        <v>1670</v>
      </c>
      <c r="B1128">
        <f>Coin4!B171</f>
        <v>55.332000000000008</v>
      </c>
      <c r="C1128">
        <f>Coin4!C171</f>
        <v>88.88000000000001</v>
      </c>
      <c r="D1128">
        <f>Coin4!D171</f>
        <v>27.939999999999998</v>
      </c>
      <c r="E1128" t="s">
        <v>45</v>
      </c>
    </row>
    <row r="1129" spans="1:5" x14ac:dyDescent="0.35">
      <c r="A1129">
        <f>Coin4!A172</f>
        <v>1671</v>
      </c>
      <c r="B1129">
        <f>Coin4!B172</f>
        <v>67.113</v>
      </c>
      <c r="C1129">
        <f>Coin4!C172</f>
        <v>88.88000000000001</v>
      </c>
      <c r="D1129">
        <f>Coin4!D172</f>
        <v>27.939999999999998</v>
      </c>
      <c r="E1129" t="s">
        <v>45</v>
      </c>
    </row>
    <row r="1130" spans="1:5" x14ac:dyDescent="0.35">
      <c r="A1130">
        <f>Coin4!A173</f>
        <v>1672</v>
      </c>
      <c r="B1130">
        <f>Coin4!B173</f>
        <v>55.332000000000008</v>
      </c>
      <c r="C1130">
        <f>Coin4!C173</f>
        <v>96.960000000000008</v>
      </c>
      <c r="D1130">
        <f>Coin4!D173</f>
        <v>27.939999999999998</v>
      </c>
      <c r="E1130" t="s">
        <v>45</v>
      </c>
    </row>
    <row r="1131" spans="1:5" x14ac:dyDescent="0.35">
      <c r="A1131">
        <f>Coin4!A174</f>
        <v>1673</v>
      </c>
      <c r="B1131">
        <f>Coin4!B174</f>
        <v>67.113</v>
      </c>
      <c r="C1131">
        <f>Coin4!C174</f>
        <v>96.960000000000008</v>
      </c>
      <c r="D1131">
        <f>Coin4!D174</f>
        <v>27.939999999999998</v>
      </c>
      <c r="E1131" t="s">
        <v>45</v>
      </c>
    </row>
    <row r="1132" spans="1:5" x14ac:dyDescent="0.35">
      <c r="A1132">
        <f>Coin4!A175</f>
        <v>1674</v>
      </c>
      <c r="B1132">
        <f>Coin4!B175</f>
        <v>56.099000000000004</v>
      </c>
      <c r="C1132">
        <f>Coin4!C175</f>
        <v>80.800000000000011</v>
      </c>
      <c r="D1132">
        <f>Coin4!D175</f>
        <v>29.268068904621821</v>
      </c>
      <c r="E1132" t="s">
        <v>45</v>
      </c>
    </row>
    <row r="1133" spans="1:5" x14ac:dyDescent="0.35">
      <c r="A1133">
        <f>Coin4!A176</f>
        <v>1675</v>
      </c>
      <c r="B1133">
        <f>Coin4!B176</f>
        <v>60.607500000000002</v>
      </c>
      <c r="C1133">
        <f>Coin4!C176</f>
        <v>80.800000000000011</v>
      </c>
      <c r="D1133">
        <f>Coin4!D176</f>
        <v>29.268068904621821</v>
      </c>
      <c r="E1133" t="s">
        <v>45</v>
      </c>
    </row>
    <row r="1134" spans="1:5" x14ac:dyDescent="0.35">
      <c r="A1134">
        <f>Coin4!A177</f>
        <v>1676</v>
      </c>
      <c r="B1134">
        <f>Coin4!B177</f>
        <v>61.837500000000006</v>
      </c>
      <c r="C1134">
        <f>Coin4!C177</f>
        <v>80.800000000000011</v>
      </c>
      <c r="D1134">
        <f>Coin4!D177</f>
        <v>29.268068904621821</v>
      </c>
      <c r="E1134" t="s">
        <v>45</v>
      </c>
    </row>
    <row r="1135" spans="1:5" x14ac:dyDescent="0.35">
      <c r="A1135">
        <f>Coin4!A178</f>
        <v>1677</v>
      </c>
      <c r="B1135">
        <f>Coin4!B178</f>
        <v>66.346000000000004</v>
      </c>
      <c r="C1135">
        <f>Coin4!C178</f>
        <v>80.800000000000011</v>
      </c>
      <c r="D1135">
        <f>Coin4!D178</f>
        <v>29.268068904621821</v>
      </c>
      <c r="E1135" t="s">
        <v>45</v>
      </c>
    </row>
    <row r="1136" spans="1:5" x14ac:dyDescent="0.35">
      <c r="A1136">
        <f>Coin4!A179</f>
        <v>1678</v>
      </c>
      <c r="B1136">
        <f>Coin4!B179</f>
        <v>69.425000000000011</v>
      </c>
      <c r="C1136">
        <f>Coin4!C179</f>
        <v>80.800000000000011</v>
      </c>
      <c r="D1136">
        <f>Coin4!D179</f>
        <v>29.268068904621821</v>
      </c>
      <c r="E1136" t="s">
        <v>45</v>
      </c>
    </row>
    <row r="1137" spans="1:5" x14ac:dyDescent="0.35">
      <c r="A1137">
        <f>Coin4!A180</f>
        <v>1679</v>
      </c>
      <c r="B1137">
        <f>Coin4!B180</f>
        <v>69.425000000000011</v>
      </c>
      <c r="C1137">
        <f>Coin4!C180</f>
        <v>83.493000000000009</v>
      </c>
      <c r="D1137">
        <f>Coin4!D180</f>
        <v>29.268068904621821</v>
      </c>
      <c r="E1137" t="s">
        <v>45</v>
      </c>
    </row>
    <row r="1138" spans="1:5" x14ac:dyDescent="0.35">
      <c r="A1138">
        <f>Coin4!A181</f>
        <v>1680</v>
      </c>
      <c r="B1138">
        <f>Coin4!B181</f>
        <v>69.425000000000011</v>
      </c>
      <c r="C1138">
        <f>Coin4!C181</f>
        <v>86.187000000000012</v>
      </c>
      <c r="D1138">
        <f>Coin4!D181</f>
        <v>29.268068904621821</v>
      </c>
      <c r="E1138" t="s">
        <v>45</v>
      </c>
    </row>
    <row r="1139" spans="1:5" x14ac:dyDescent="0.35">
      <c r="A1139">
        <f>Coin4!A182</f>
        <v>1681</v>
      </c>
      <c r="B1139">
        <f>Coin4!B182</f>
        <v>56.099000000000004</v>
      </c>
      <c r="C1139">
        <f>Coin4!C182</f>
        <v>88.88000000000001</v>
      </c>
      <c r="D1139">
        <f>Coin4!D182</f>
        <v>29.268068904621821</v>
      </c>
      <c r="E1139" t="s">
        <v>45</v>
      </c>
    </row>
    <row r="1140" spans="1:5" x14ac:dyDescent="0.35">
      <c r="A1140">
        <f>Coin4!A183</f>
        <v>1682</v>
      </c>
      <c r="B1140">
        <f>Coin4!B183</f>
        <v>66.346000000000004</v>
      </c>
      <c r="C1140">
        <f>Coin4!C183</f>
        <v>88.88000000000001</v>
      </c>
      <c r="D1140">
        <f>Coin4!D183</f>
        <v>29.268068904621821</v>
      </c>
      <c r="E1140" t="s">
        <v>45</v>
      </c>
    </row>
    <row r="1141" spans="1:5" x14ac:dyDescent="0.35">
      <c r="A1141">
        <f>Coin4!A184</f>
        <v>1683</v>
      </c>
      <c r="B1141">
        <f>Coin4!B184</f>
        <v>69.425000000000011</v>
      </c>
      <c r="C1141">
        <f>Coin4!C184</f>
        <v>88.88000000000001</v>
      </c>
      <c r="D1141">
        <f>Coin4!D184</f>
        <v>29.268068904621821</v>
      </c>
      <c r="E1141" t="s">
        <v>45</v>
      </c>
    </row>
    <row r="1142" spans="1:5" x14ac:dyDescent="0.35">
      <c r="A1142">
        <f>Coin4!A185</f>
        <v>1684</v>
      </c>
      <c r="B1142">
        <f>Coin4!B185</f>
        <v>69.425000000000011</v>
      </c>
      <c r="C1142">
        <f>Coin4!C185</f>
        <v>91.573000000000008</v>
      </c>
      <c r="D1142">
        <f>Coin4!D185</f>
        <v>29.268068904621821</v>
      </c>
      <c r="E1142" t="s">
        <v>45</v>
      </c>
    </row>
    <row r="1143" spans="1:5" x14ac:dyDescent="0.35">
      <c r="A1143">
        <f>Coin4!A186</f>
        <v>1685</v>
      </c>
      <c r="B1143">
        <f>Coin4!B186</f>
        <v>69.425000000000011</v>
      </c>
      <c r="C1143">
        <f>Coin4!C186</f>
        <v>94.26700000000001</v>
      </c>
      <c r="D1143">
        <f>Coin4!D186</f>
        <v>29.268068904621821</v>
      </c>
      <c r="E1143" t="s">
        <v>45</v>
      </c>
    </row>
    <row r="1144" spans="1:5" x14ac:dyDescent="0.35">
      <c r="A1144">
        <f>Coin4!A187</f>
        <v>1686</v>
      </c>
      <c r="B1144">
        <f>Coin4!B187</f>
        <v>56.099000000000004</v>
      </c>
      <c r="C1144">
        <f>Coin4!C187</f>
        <v>96.960000000000008</v>
      </c>
      <c r="D1144">
        <f>Coin4!D187</f>
        <v>29.268068904621821</v>
      </c>
      <c r="E1144" t="s">
        <v>45</v>
      </c>
    </row>
    <row r="1145" spans="1:5" x14ac:dyDescent="0.35">
      <c r="A1145">
        <f>Coin4!A188</f>
        <v>1687</v>
      </c>
      <c r="B1145">
        <f>Coin4!B188</f>
        <v>66.346000000000004</v>
      </c>
      <c r="C1145">
        <f>Coin4!C188</f>
        <v>96.960000000000008</v>
      </c>
      <c r="D1145">
        <f>Coin4!D188</f>
        <v>29.268068904621821</v>
      </c>
      <c r="E1145" t="s">
        <v>45</v>
      </c>
    </row>
    <row r="1146" spans="1:5" x14ac:dyDescent="0.35">
      <c r="A1146">
        <f>Coin4!A189</f>
        <v>1688</v>
      </c>
      <c r="B1146">
        <f>Coin4!B189</f>
        <v>69.425000000000011</v>
      </c>
      <c r="C1146">
        <f>Coin4!C189</f>
        <v>96.960000000000008</v>
      </c>
      <c r="D1146">
        <f>Coin4!D189</f>
        <v>29.268068904621821</v>
      </c>
      <c r="E1146" t="s">
        <v>45</v>
      </c>
    </row>
    <row r="1147" spans="1:5" x14ac:dyDescent="0.35">
      <c r="A1147">
        <f>Coin4!A190</f>
        <v>1689</v>
      </c>
      <c r="B1147">
        <f>Coin4!B190</f>
        <v>53.805000000000007</v>
      </c>
      <c r="C1147">
        <f>Coin4!C190</f>
        <v>97.31</v>
      </c>
      <c r="D1147">
        <f>Coin4!D190</f>
        <v>29.268068904621821</v>
      </c>
      <c r="E1147" t="s">
        <v>45</v>
      </c>
    </row>
    <row r="1148" spans="1:5" x14ac:dyDescent="0.35">
      <c r="A1148">
        <f>Coin4!A191</f>
        <v>1690</v>
      </c>
      <c r="B1148">
        <f>Coin4!B191</f>
        <v>55.035000000000004</v>
      </c>
      <c r="C1148">
        <f>Coin4!C191</f>
        <v>97.31</v>
      </c>
      <c r="D1148">
        <f>Coin4!D191</f>
        <v>29.268068904621821</v>
      </c>
      <c r="E1148" t="s">
        <v>45</v>
      </c>
    </row>
    <row r="1149" spans="1:5" x14ac:dyDescent="0.35">
      <c r="A1149">
        <f>Coin4!A192</f>
        <v>1691</v>
      </c>
      <c r="B1149">
        <f>Coin4!B192</f>
        <v>56.099000000000004</v>
      </c>
      <c r="C1149">
        <f>Coin4!C192</f>
        <v>97.31</v>
      </c>
      <c r="D1149">
        <f>Coin4!D192</f>
        <v>29.268068904621821</v>
      </c>
      <c r="E1149" t="s">
        <v>45</v>
      </c>
    </row>
    <row r="1150" spans="1:5" x14ac:dyDescent="0.35">
      <c r="A1150">
        <f>Coin4!A193</f>
        <v>1692</v>
      </c>
      <c r="B1150">
        <f>Coin4!B193</f>
        <v>57.777948729810781</v>
      </c>
      <c r="C1150">
        <f>Coin4!C193</f>
        <v>97.31</v>
      </c>
      <c r="D1150">
        <f>Coin4!D193</f>
        <v>29.268068904621821</v>
      </c>
      <c r="E1150" t="s">
        <v>45</v>
      </c>
    </row>
    <row r="1151" spans="1:5" x14ac:dyDescent="0.35">
      <c r="A1151">
        <f>Coin4!A194</f>
        <v>1693</v>
      </c>
      <c r="B1151">
        <f>Coin4!B194</f>
        <v>60.607500000000002</v>
      </c>
      <c r="C1151">
        <f>Coin4!C194</f>
        <v>97.31</v>
      </c>
      <c r="D1151">
        <f>Coin4!D194</f>
        <v>29.268068904621821</v>
      </c>
      <c r="E1151" t="s">
        <v>45</v>
      </c>
    </row>
    <row r="1152" spans="1:5" x14ac:dyDescent="0.35">
      <c r="A1152">
        <f>Coin4!A195</f>
        <v>1694</v>
      </c>
      <c r="B1152">
        <f>Coin4!B195</f>
        <v>61.837500000000006</v>
      </c>
      <c r="C1152">
        <f>Coin4!C195</f>
        <v>97.31</v>
      </c>
      <c r="D1152">
        <f>Coin4!D195</f>
        <v>29.268068904621821</v>
      </c>
      <c r="E1152" t="s">
        <v>45</v>
      </c>
    </row>
    <row r="1153" spans="1:5" x14ac:dyDescent="0.35">
      <c r="A1153">
        <f>Coin4!A196</f>
        <v>1695</v>
      </c>
      <c r="B1153">
        <f>Coin4!B196</f>
        <v>64.667051270189233</v>
      </c>
      <c r="C1153">
        <f>Coin4!C196</f>
        <v>97.31</v>
      </c>
      <c r="D1153">
        <f>Coin4!D196</f>
        <v>29.268068904621821</v>
      </c>
      <c r="E1153" t="s">
        <v>45</v>
      </c>
    </row>
    <row r="1154" spans="1:5" x14ac:dyDescent="0.35">
      <c r="A1154">
        <f>Coin4!A197</f>
        <v>1696</v>
      </c>
      <c r="B1154">
        <f>Coin4!B197</f>
        <v>66.346000000000004</v>
      </c>
      <c r="C1154">
        <f>Coin4!C197</f>
        <v>97.31</v>
      </c>
      <c r="D1154">
        <f>Coin4!D197</f>
        <v>29.268068904621821</v>
      </c>
      <c r="E1154" t="s">
        <v>45</v>
      </c>
    </row>
    <row r="1155" spans="1:5" x14ac:dyDescent="0.35">
      <c r="A1155">
        <f>Coin4!A198</f>
        <v>1697</v>
      </c>
      <c r="B1155">
        <f>Coin4!B198</f>
        <v>68.025000000000006</v>
      </c>
      <c r="C1155">
        <f>Coin4!C198</f>
        <v>97.31</v>
      </c>
      <c r="D1155">
        <f>Coin4!D198</f>
        <v>29.268068904621821</v>
      </c>
      <c r="E1155" t="s">
        <v>45</v>
      </c>
    </row>
    <row r="1156" spans="1:5" x14ac:dyDescent="0.35">
      <c r="A1156">
        <f>Coin4!A199</f>
        <v>1698</v>
      </c>
      <c r="B1156">
        <f>Coin4!B199</f>
        <v>69.425000000000011</v>
      </c>
      <c r="C1156">
        <f>Coin4!C199</f>
        <v>97.31</v>
      </c>
      <c r="D1156">
        <f>Coin4!D199</f>
        <v>29.268068904621821</v>
      </c>
      <c r="E1156" t="s">
        <v>45</v>
      </c>
    </row>
    <row r="1157" spans="1:5" x14ac:dyDescent="0.35">
      <c r="A1157">
        <f>Coin4!A200</f>
        <v>1699</v>
      </c>
      <c r="B1157">
        <f>Coin4!B200</f>
        <v>60.607500000000002</v>
      </c>
      <c r="C1157">
        <f>Coin4!C200</f>
        <v>80.800000000000011</v>
      </c>
      <c r="D1157">
        <f>Coin4!D200</f>
        <v>29.75</v>
      </c>
      <c r="E1157" t="s">
        <v>45</v>
      </c>
    </row>
    <row r="1158" spans="1:5" x14ac:dyDescent="0.35">
      <c r="A1158">
        <f>Coin4!A201</f>
        <v>1700</v>
      </c>
      <c r="B1158">
        <f>Coin4!B201</f>
        <v>61.837500000000006</v>
      </c>
      <c r="C1158">
        <f>Coin4!C201</f>
        <v>80.800000000000011</v>
      </c>
      <c r="D1158">
        <f>Coin4!D201</f>
        <v>29.75</v>
      </c>
      <c r="E1158" t="s">
        <v>45</v>
      </c>
    </row>
    <row r="1159" spans="1:5" x14ac:dyDescent="0.35">
      <c r="A1159">
        <f>Coin4!A202</f>
        <v>1701</v>
      </c>
      <c r="B1159">
        <f>Coin4!B202</f>
        <v>60.607500000000002</v>
      </c>
      <c r="C1159">
        <f>Coin4!C202</f>
        <v>97.31</v>
      </c>
      <c r="D1159">
        <f>Coin4!D202</f>
        <v>29.75</v>
      </c>
      <c r="E1159" t="s">
        <v>45</v>
      </c>
    </row>
    <row r="1160" spans="1:5" x14ac:dyDescent="0.35">
      <c r="A1160">
        <f>Coin4!A203</f>
        <v>1702</v>
      </c>
      <c r="B1160">
        <f>Coin4!B203</f>
        <v>61.837500000000006</v>
      </c>
      <c r="C1160">
        <f>Coin4!C203</f>
        <v>97.31</v>
      </c>
      <c r="D1160">
        <f>Coin4!D203</f>
        <v>29.75</v>
      </c>
      <c r="E1160" t="s">
        <v>45</v>
      </c>
    </row>
    <row r="1161" spans="1:5" x14ac:dyDescent="0.35">
      <c r="A1161">
        <f>Coin4!A204</f>
        <v>1703</v>
      </c>
      <c r="B1161">
        <f>Coin4!B204</f>
        <v>57.778000000000006</v>
      </c>
      <c r="C1161">
        <f>Coin4!C204</f>
        <v>80.800000000000011</v>
      </c>
      <c r="D1161">
        <f>Coin4!D204</f>
        <v>32.176137809243642</v>
      </c>
      <c r="E1161" t="s">
        <v>45</v>
      </c>
    </row>
    <row r="1162" spans="1:5" x14ac:dyDescent="0.35">
      <c r="A1162">
        <f>Coin4!A205</f>
        <v>1704</v>
      </c>
      <c r="B1162">
        <f>Coin4!B205</f>
        <v>60.607500000000002</v>
      </c>
      <c r="C1162">
        <f>Coin4!C205</f>
        <v>80.800000000000011</v>
      </c>
      <c r="D1162">
        <f>Coin4!D205</f>
        <v>32.176137809243642</v>
      </c>
      <c r="E1162" t="s">
        <v>45</v>
      </c>
    </row>
    <row r="1163" spans="1:5" x14ac:dyDescent="0.35">
      <c r="A1163">
        <f>Coin4!A206</f>
        <v>1705</v>
      </c>
      <c r="B1163">
        <f>Coin4!B206</f>
        <v>61.837500000000006</v>
      </c>
      <c r="C1163">
        <f>Coin4!C206</f>
        <v>80.800000000000011</v>
      </c>
      <c r="D1163">
        <f>Coin4!D206</f>
        <v>32.176137809243642</v>
      </c>
      <c r="E1163" t="s">
        <v>45</v>
      </c>
    </row>
    <row r="1164" spans="1:5" x14ac:dyDescent="0.35">
      <c r="A1164">
        <f>Coin4!A207</f>
        <v>1706</v>
      </c>
      <c r="B1164">
        <f>Coin4!B207</f>
        <v>64.667000000000002</v>
      </c>
      <c r="C1164">
        <f>Coin4!C207</f>
        <v>80.800000000000011</v>
      </c>
      <c r="D1164">
        <f>Coin4!D207</f>
        <v>32.176137809243642</v>
      </c>
      <c r="E1164" t="s">
        <v>45</v>
      </c>
    </row>
    <row r="1165" spans="1:5" x14ac:dyDescent="0.35">
      <c r="A1165">
        <f>Coin4!A208</f>
        <v>1707</v>
      </c>
      <c r="B1165">
        <f>Coin4!B208</f>
        <v>69.425000000000011</v>
      </c>
      <c r="C1165">
        <f>Coin4!C208</f>
        <v>80.800000000000011</v>
      </c>
      <c r="D1165">
        <f>Coin4!D208</f>
        <v>32.176137809243642</v>
      </c>
      <c r="E1165" t="s">
        <v>45</v>
      </c>
    </row>
    <row r="1166" spans="1:5" x14ac:dyDescent="0.35">
      <c r="A1166">
        <f>Coin4!A209</f>
        <v>1708</v>
      </c>
      <c r="B1166">
        <f>Coin4!B209</f>
        <v>69.425000000000011</v>
      </c>
      <c r="C1166">
        <f>Coin4!C209</f>
        <v>83.493000000000009</v>
      </c>
      <c r="D1166">
        <f>Coin4!D209</f>
        <v>32.176137809243642</v>
      </c>
      <c r="E1166" t="s">
        <v>45</v>
      </c>
    </row>
    <row r="1167" spans="1:5" x14ac:dyDescent="0.35">
      <c r="A1167">
        <f>Coin4!A210</f>
        <v>1709</v>
      </c>
      <c r="B1167">
        <f>Coin4!B210</f>
        <v>69.425000000000011</v>
      </c>
      <c r="C1167">
        <f>Coin4!C210</f>
        <v>86.187000000000012</v>
      </c>
      <c r="D1167">
        <f>Coin4!D210</f>
        <v>32.176137809243642</v>
      </c>
      <c r="E1167" t="s">
        <v>45</v>
      </c>
    </row>
    <row r="1168" spans="1:5" x14ac:dyDescent="0.35">
      <c r="A1168">
        <f>Coin4!A211</f>
        <v>1710</v>
      </c>
      <c r="B1168">
        <f>Coin4!B211</f>
        <v>57.778000000000006</v>
      </c>
      <c r="C1168">
        <f>Coin4!C211</f>
        <v>88.88000000000001</v>
      </c>
      <c r="D1168">
        <f>Coin4!D211</f>
        <v>32.176137809243642</v>
      </c>
      <c r="E1168" t="s">
        <v>45</v>
      </c>
    </row>
    <row r="1169" spans="1:5" x14ac:dyDescent="0.35">
      <c r="A1169">
        <f>Coin4!A212</f>
        <v>1711</v>
      </c>
      <c r="B1169">
        <f>Coin4!B212</f>
        <v>64.667000000000002</v>
      </c>
      <c r="C1169">
        <f>Coin4!C212</f>
        <v>88.88000000000001</v>
      </c>
      <c r="D1169">
        <f>Coin4!D212</f>
        <v>32.176137809243642</v>
      </c>
      <c r="E1169" t="s">
        <v>45</v>
      </c>
    </row>
    <row r="1170" spans="1:5" x14ac:dyDescent="0.35">
      <c r="A1170">
        <f>Coin4!A213</f>
        <v>1712</v>
      </c>
      <c r="B1170">
        <f>Coin4!B213</f>
        <v>69.425000000000011</v>
      </c>
      <c r="C1170">
        <f>Coin4!C213</f>
        <v>88.88000000000001</v>
      </c>
      <c r="D1170">
        <f>Coin4!D213</f>
        <v>32.176137809243642</v>
      </c>
      <c r="E1170" t="s">
        <v>45</v>
      </c>
    </row>
    <row r="1171" spans="1:5" x14ac:dyDescent="0.35">
      <c r="A1171">
        <f>Coin4!A214</f>
        <v>1713</v>
      </c>
      <c r="B1171">
        <f>Coin4!B214</f>
        <v>69.425000000000011</v>
      </c>
      <c r="C1171">
        <f>Coin4!C214</f>
        <v>91.573000000000008</v>
      </c>
      <c r="D1171">
        <f>Coin4!D214</f>
        <v>32.176137809243642</v>
      </c>
      <c r="E1171" t="s">
        <v>45</v>
      </c>
    </row>
    <row r="1172" spans="1:5" x14ac:dyDescent="0.35">
      <c r="A1172">
        <f>Coin4!A215</f>
        <v>1714</v>
      </c>
      <c r="B1172">
        <f>Coin4!B215</f>
        <v>69.425000000000011</v>
      </c>
      <c r="C1172">
        <f>Coin4!C215</f>
        <v>94.26700000000001</v>
      </c>
      <c r="D1172">
        <f>Coin4!D215</f>
        <v>32.176137809243642</v>
      </c>
      <c r="E1172" t="s">
        <v>45</v>
      </c>
    </row>
    <row r="1173" spans="1:5" x14ac:dyDescent="0.35">
      <c r="A1173">
        <f>Coin4!A216</f>
        <v>1715</v>
      </c>
      <c r="B1173">
        <f>Coin4!B216</f>
        <v>57.778000000000006</v>
      </c>
      <c r="C1173">
        <f>Coin4!C216</f>
        <v>96.960000000000008</v>
      </c>
      <c r="D1173">
        <f>Coin4!D216</f>
        <v>32.176137809243642</v>
      </c>
      <c r="E1173" t="s">
        <v>45</v>
      </c>
    </row>
    <row r="1174" spans="1:5" x14ac:dyDescent="0.35">
      <c r="A1174">
        <f>Coin4!A217</f>
        <v>1716</v>
      </c>
      <c r="B1174">
        <f>Coin4!B217</f>
        <v>64.667000000000002</v>
      </c>
      <c r="C1174">
        <f>Coin4!C217</f>
        <v>96.960000000000008</v>
      </c>
      <c r="D1174">
        <f>Coin4!D217</f>
        <v>32.176137809243642</v>
      </c>
      <c r="E1174" t="s">
        <v>45</v>
      </c>
    </row>
    <row r="1175" spans="1:5" x14ac:dyDescent="0.35">
      <c r="A1175">
        <f>Coin4!A218</f>
        <v>1717</v>
      </c>
      <c r="B1175">
        <f>Coin4!B218</f>
        <v>69.425000000000011</v>
      </c>
      <c r="C1175">
        <f>Coin4!C218</f>
        <v>96.960000000000008</v>
      </c>
      <c r="D1175">
        <f>Coin4!D218</f>
        <v>32.176137809243642</v>
      </c>
      <c r="E1175" t="s">
        <v>45</v>
      </c>
    </row>
    <row r="1176" spans="1:5" x14ac:dyDescent="0.35">
      <c r="A1176">
        <f>Coin4!A219</f>
        <v>1718</v>
      </c>
      <c r="B1176">
        <f>Coin4!B219</f>
        <v>55.035000000000004</v>
      </c>
      <c r="C1176">
        <f>Coin4!C219</f>
        <v>97.31</v>
      </c>
      <c r="D1176">
        <f>Coin4!D219</f>
        <v>32.176137809243642</v>
      </c>
      <c r="E1176" t="s">
        <v>45</v>
      </c>
    </row>
    <row r="1177" spans="1:5" x14ac:dyDescent="0.35">
      <c r="A1177">
        <f>Coin4!A220</f>
        <v>1719</v>
      </c>
      <c r="B1177">
        <f>Coin4!B220</f>
        <v>57.778000000000006</v>
      </c>
      <c r="C1177">
        <f>Coin4!C220</f>
        <v>97.31</v>
      </c>
      <c r="D1177">
        <f>Coin4!D220</f>
        <v>32.176137809243642</v>
      </c>
      <c r="E1177" t="s">
        <v>45</v>
      </c>
    </row>
    <row r="1178" spans="1:5" x14ac:dyDescent="0.35">
      <c r="A1178">
        <f>Coin4!A221</f>
        <v>1720</v>
      </c>
      <c r="B1178">
        <f>Coin4!B221</f>
        <v>57.777948729810781</v>
      </c>
      <c r="C1178">
        <f>Coin4!C221</f>
        <v>97.31</v>
      </c>
      <c r="D1178">
        <f>Coin4!D221</f>
        <v>32.176137809243642</v>
      </c>
      <c r="E1178" t="s">
        <v>45</v>
      </c>
    </row>
    <row r="1179" spans="1:5" x14ac:dyDescent="0.35">
      <c r="A1179">
        <f>Coin4!A222</f>
        <v>1721</v>
      </c>
      <c r="B1179">
        <f>Coin4!B222</f>
        <v>60.607500000000002</v>
      </c>
      <c r="C1179">
        <f>Coin4!C222</f>
        <v>97.31</v>
      </c>
      <c r="D1179">
        <f>Coin4!D222</f>
        <v>32.176137809243642</v>
      </c>
      <c r="E1179" t="s">
        <v>45</v>
      </c>
    </row>
    <row r="1180" spans="1:5" x14ac:dyDescent="0.35">
      <c r="A1180">
        <f>Coin4!A223</f>
        <v>1722</v>
      </c>
      <c r="B1180">
        <f>Coin4!B223</f>
        <v>61.837500000000006</v>
      </c>
      <c r="C1180">
        <f>Coin4!C223</f>
        <v>97.31</v>
      </c>
      <c r="D1180">
        <f>Coin4!D223</f>
        <v>32.176137809243642</v>
      </c>
      <c r="E1180" t="s">
        <v>45</v>
      </c>
    </row>
    <row r="1181" spans="1:5" x14ac:dyDescent="0.35">
      <c r="A1181">
        <f>Coin4!A224</f>
        <v>1723</v>
      </c>
      <c r="B1181">
        <f>Coin4!B224</f>
        <v>64.667051270189233</v>
      </c>
      <c r="C1181">
        <f>Coin4!C224</f>
        <v>97.31</v>
      </c>
      <c r="D1181">
        <f>Coin4!D224</f>
        <v>32.176137809243642</v>
      </c>
      <c r="E1181" t="s">
        <v>45</v>
      </c>
    </row>
    <row r="1182" spans="1:5" x14ac:dyDescent="0.35">
      <c r="A1182">
        <f>Coin4!A225</f>
        <v>1724</v>
      </c>
      <c r="B1182">
        <f>Coin4!B225</f>
        <v>64.667000000000002</v>
      </c>
      <c r="C1182">
        <f>Coin4!C225</f>
        <v>97.31</v>
      </c>
      <c r="D1182">
        <f>Coin4!D225</f>
        <v>32.176137809243642</v>
      </c>
      <c r="E1182" t="s">
        <v>45</v>
      </c>
    </row>
    <row r="1183" spans="1:5" x14ac:dyDescent="0.35">
      <c r="A1183">
        <f>Coin4!A226</f>
        <v>1725</v>
      </c>
      <c r="B1183">
        <f>Coin4!B226</f>
        <v>69.425000000000011</v>
      </c>
      <c r="C1183">
        <f>Coin4!C226</f>
        <v>97.31</v>
      </c>
      <c r="D1183">
        <f>Coin4!D226</f>
        <v>32.176137809243642</v>
      </c>
      <c r="E1183" t="s">
        <v>45</v>
      </c>
    </row>
    <row r="1184" spans="1:5" x14ac:dyDescent="0.35">
      <c r="A1184">
        <f>Coin4!A227</f>
        <v>1726</v>
      </c>
      <c r="B1184">
        <f>Coin4!B227</f>
        <v>57.777948729810781</v>
      </c>
      <c r="C1184">
        <f>Coin4!C227</f>
        <v>80.800000000000011</v>
      </c>
      <c r="D1184">
        <f>Coin4!D227</f>
        <v>32.176137809243642</v>
      </c>
      <c r="E1184" t="s">
        <v>45</v>
      </c>
    </row>
    <row r="1185" spans="1:5" x14ac:dyDescent="0.35">
      <c r="A1185">
        <f>Coin4!A228</f>
        <v>1727</v>
      </c>
      <c r="B1185">
        <f>Coin4!B228</f>
        <v>60.607500000000002</v>
      </c>
      <c r="C1185">
        <f>Coin4!C228</f>
        <v>80.800000000000011</v>
      </c>
      <c r="D1185">
        <f>Coin4!D228</f>
        <v>32.176137809243642</v>
      </c>
      <c r="E1185" t="s">
        <v>45</v>
      </c>
    </row>
    <row r="1186" spans="1:5" x14ac:dyDescent="0.35">
      <c r="A1186">
        <f>Coin4!A229</f>
        <v>1728</v>
      </c>
      <c r="B1186">
        <f>Coin4!B229</f>
        <v>61.222500000000004</v>
      </c>
      <c r="C1186">
        <f>Coin4!C229</f>
        <v>80.800000000000011</v>
      </c>
      <c r="D1186">
        <f>Coin4!D229</f>
        <v>32.176137809243642</v>
      </c>
      <c r="E1186" t="s">
        <v>45</v>
      </c>
    </row>
    <row r="1187" spans="1:5" x14ac:dyDescent="0.35">
      <c r="A1187">
        <f>Coin4!A230</f>
        <v>1729</v>
      </c>
      <c r="B1187">
        <f>Coin4!B230</f>
        <v>61.837500000000006</v>
      </c>
      <c r="C1187">
        <f>Coin4!C230</f>
        <v>80.800000000000011</v>
      </c>
      <c r="D1187">
        <f>Coin4!D230</f>
        <v>32.176137809243642</v>
      </c>
      <c r="E1187" t="s">
        <v>45</v>
      </c>
    </row>
    <row r="1188" spans="1:5" x14ac:dyDescent="0.35">
      <c r="A1188">
        <f>Coin4!A231</f>
        <v>1730</v>
      </c>
      <c r="B1188">
        <f>Coin4!B231</f>
        <v>64.667051270189233</v>
      </c>
      <c r="C1188">
        <f>Coin4!C231</f>
        <v>80.800000000000011</v>
      </c>
      <c r="D1188">
        <f>Coin4!D231</f>
        <v>32.176137809243642</v>
      </c>
      <c r="E1188" t="s">
        <v>45</v>
      </c>
    </row>
    <row r="1189" spans="1:5" x14ac:dyDescent="0.35">
      <c r="A1189">
        <f>Coin4!A232</f>
        <v>1731</v>
      </c>
      <c r="B1189">
        <f>Coin4!B232</f>
        <v>69.425000000000011</v>
      </c>
      <c r="C1189">
        <f>Coin4!C232</f>
        <v>80.800000000000011</v>
      </c>
      <c r="D1189">
        <f>Coin4!D232</f>
        <v>32.176137809243642</v>
      </c>
      <c r="E1189" t="s">
        <v>45</v>
      </c>
    </row>
    <row r="1190" spans="1:5" x14ac:dyDescent="0.35">
      <c r="A1190">
        <f>Coin4!A233</f>
        <v>1732</v>
      </c>
      <c r="B1190">
        <f>Coin4!B233</f>
        <v>69.425000000000011</v>
      </c>
      <c r="C1190">
        <f>Coin4!C233</f>
        <v>83.493000000000009</v>
      </c>
      <c r="D1190">
        <f>Coin4!D233</f>
        <v>32.176137809243642</v>
      </c>
      <c r="E1190" t="s">
        <v>45</v>
      </c>
    </row>
    <row r="1191" spans="1:5" x14ac:dyDescent="0.35">
      <c r="A1191">
        <f>Coin4!A234</f>
        <v>1733</v>
      </c>
      <c r="B1191">
        <f>Coin4!B234</f>
        <v>61.222500000000004</v>
      </c>
      <c r="C1191">
        <f>Coin4!C234</f>
        <v>84.84</v>
      </c>
      <c r="D1191">
        <f>Coin4!D234</f>
        <v>32.176137809243642</v>
      </c>
      <c r="E1191" t="s">
        <v>45</v>
      </c>
    </row>
    <row r="1192" spans="1:5" x14ac:dyDescent="0.35">
      <c r="A1192">
        <f>Coin4!A235</f>
        <v>1734</v>
      </c>
      <c r="B1192">
        <f>Coin4!B235</f>
        <v>69.425000000000011</v>
      </c>
      <c r="C1192">
        <f>Coin4!C235</f>
        <v>86.187000000000012</v>
      </c>
      <c r="D1192">
        <f>Coin4!D235</f>
        <v>32.176137809243642</v>
      </c>
      <c r="E1192" t="s">
        <v>45</v>
      </c>
    </row>
    <row r="1193" spans="1:5" x14ac:dyDescent="0.35">
      <c r="A1193">
        <f>Coin4!A236</f>
        <v>1735</v>
      </c>
      <c r="B1193">
        <f>Coin4!B236</f>
        <v>57.777948729810781</v>
      </c>
      <c r="C1193">
        <f>Coin4!C236</f>
        <v>88.88000000000001</v>
      </c>
      <c r="D1193">
        <f>Coin4!D236</f>
        <v>32.176137809243642</v>
      </c>
      <c r="E1193" t="s">
        <v>45</v>
      </c>
    </row>
    <row r="1194" spans="1:5" x14ac:dyDescent="0.35">
      <c r="A1194">
        <f>Coin4!A237</f>
        <v>1736</v>
      </c>
      <c r="B1194">
        <f>Coin4!B237</f>
        <v>60.607500000000002</v>
      </c>
      <c r="C1194">
        <f>Coin4!C237</f>
        <v>88.88000000000001</v>
      </c>
      <c r="D1194">
        <f>Coin4!D237</f>
        <v>32.176137809243642</v>
      </c>
      <c r="E1194" t="s">
        <v>45</v>
      </c>
    </row>
    <row r="1195" spans="1:5" x14ac:dyDescent="0.35">
      <c r="A1195">
        <f>Coin4!A238</f>
        <v>1737</v>
      </c>
      <c r="B1195">
        <f>Coin4!B238</f>
        <v>61.222500000000004</v>
      </c>
      <c r="C1195">
        <f>Coin4!C238</f>
        <v>88.88000000000001</v>
      </c>
      <c r="D1195">
        <f>Coin4!D238</f>
        <v>32.176137809243642</v>
      </c>
      <c r="E1195" t="s">
        <v>45</v>
      </c>
    </row>
    <row r="1196" spans="1:5" x14ac:dyDescent="0.35">
      <c r="A1196">
        <f>Coin4!A239</f>
        <v>1738</v>
      </c>
      <c r="B1196">
        <f>Coin4!B239</f>
        <v>61.837500000000006</v>
      </c>
      <c r="C1196">
        <f>Coin4!C239</f>
        <v>88.88000000000001</v>
      </c>
      <c r="D1196">
        <f>Coin4!D239</f>
        <v>32.176137809243642</v>
      </c>
      <c r="E1196" t="s">
        <v>45</v>
      </c>
    </row>
    <row r="1197" spans="1:5" x14ac:dyDescent="0.35">
      <c r="A1197">
        <f>Coin4!A240</f>
        <v>1739</v>
      </c>
      <c r="B1197">
        <f>Coin4!B240</f>
        <v>64.667051270189233</v>
      </c>
      <c r="C1197">
        <f>Coin4!C240</f>
        <v>88.88000000000001</v>
      </c>
      <c r="D1197">
        <f>Coin4!D240</f>
        <v>32.176137809243642</v>
      </c>
      <c r="E1197" t="s">
        <v>45</v>
      </c>
    </row>
    <row r="1198" spans="1:5" x14ac:dyDescent="0.35">
      <c r="A1198">
        <f>Coin4!A241</f>
        <v>1740</v>
      </c>
      <c r="B1198">
        <f>Coin4!B241</f>
        <v>69.425000000000011</v>
      </c>
      <c r="C1198">
        <f>Coin4!C241</f>
        <v>88.88000000000001</v>
      </c>
      <c r="D1198">
        <f>Coin4!D241</f>
        <v>32.176137809243642</v>
      </c>
      <c r="E1198" t="s">
        <v>45</v>
      </c>
    </row>
    <row r="1199" spans="1:5" x14ac:dyDescent="0.35">
      <c r="A1199">
        <f>Coin4!A242</f>
        <v>1741</v>
      </c>
      <c r="B1199">
        <f>Coin4!B242</f>
        <v>69.425000000000011</v>
      </c>
      <c r="C1199">
        <f>Coin4!C242</f>
        <v>91.573000000000008</v>
      </c>
      <c r="D1199">
        <f>Coin4!D242</f>
        <v>32.176137809243642</v>
      </c>
      <c r="E1199" t="s">
        <v>45</v>
      </c>
    </row>
    <row r="1200" spans="1:5" x14ac:dyDescent="0.35">
      <c r="A1200">
        <f>Coin4!A243</f>
        <v>1742</v>
      </c>
      <c r="B1200">
        <f>Coin4!B243</f>
        <v>61.222500000000004</v>
      </c>
      <c r="C1200">
        <f>Coin4!C243</f>
        <v>92.92</v>
      </c>
      <c r="D1200">
        <f>Coin4!D243</f>
        <v>32.176137809243642</v>
      </c>
      <c r="E1200" t="s">
        <v>45</v>
      </c>
    </row>
    <row r="1201" spans="1:5" x14ac:dyDescent="0.35">
      <c r="A1201">
        <f>Coin4!A244</f>
        <v>1743</v>
      </c>
      <c r="B1201">
        <f>Coin4!B244</f>
        <v>69.425000000000011</v>
      </c>
      <c r="C1201">
        <f>Coin4!C244</f>
        <v>94.26700000000001</v>
      </c>
      <c r="D1201">
        <f>Coin4!D244</f>
        <v>32.176137809243642</v>
      </c>
      <c r="E1201" t="s">
        <v>45</v>
      </c>
    </row>
    <row r="1202" spans="1:5" x14ac:dyDescent="0.35">
      <c r="A1202">
        <f>Coin4!A245</f>
        <v>1744</v>
      </c>
      <c r="B1202">
        <f>Coin4!B245</f>
        <v>57.777948729810781</v>
      </c>
      <c r="C1202">
        <f>Coin4!C245</f>
        <v>96.960000000000008</v>
      </c>
      <c r="D1202">
        <f>Coin4!D245</f>
        <v>32.176137809243642</v>
      </c>
      <c r="E1202" t="s">
        <v>45</v>
      </c>
    </row>
    <row r="1203" spans="1:5" x14ac:dyDescent="0.35">
      <c r="A1203">
        <f>Coin4!A246</f>
        <v>1745</v>
      </c>
      <c r="B1203">
        <f>Coin4!B246</f>
        <v>60.607500000000002</v>
      </c>
      <c r="C1203">
        <f>Coin4!C246</f>
        <v>96.960000000000008</v>
      </c>
      <c r="D1203">
        <f>Coin4!D246</f>
        <v>32.176137809243642</v>
      </c>
      <c r="E1203" t="s">
        <v>45</v>
      </c>
    </row>
    <row r="1204" spans="1:5" x14ac:dyDescent="0.35">
      <c r="A1204">
        <f>Coin4!A247</f>
        <v>1746</v>
      </c>
      <c r="B1204">
        <f>Coin4!B247</f>
        <v>61.222500000000004</v>
      </c>
      <c r="C1204">
        <f>Coin4!C247</f>
        <v>96.960000000000008</v>
      </c>
      <c r="D1204">
        <f>Coin4!D247</f>
        <v>32.176137809243642</v>
      </c>
      <c r="E1204" t="s">
        <v>45</v>
      </c>
    </row>
    <row r="1205" spans="1:5" x14ac:dyDescent="0.35">
      <c r="A1205">
        <f>Coin4!A248</f>
        <v>1747</v>
      </c>
      <c r="B1205">
        <f>Coin4!B248</f>
        <v>61.837500000000006</v>
      </c>
      <c r="C1205">
        <f>Coin4!C248</f>
        <v>96.960000000000008</v>
      </c>
      <c r="D1205">
        <f>Coin4!D248</f>
        <v>32.176137809243642</v>
      </c>
      <c r="E1205" t="s">
        <v>45</v>
      </c>
    </row>
    <row r="1206" spans="1:5" x14ac:dyDescent="0.35">
      <c r="A1206">
        <f>Coin4!A249</f>
        <v>1748</v>
      </c>
      <c r="B1206">
        <f>Coin4!B249</f>
        <v>64.667051270189233</v>
      </c>
      <c r="C1206">
        <f>Coin4!C249</f>
        <v>96.960000000000008</v>
      </c>
      <c r="D1206">
        <f>Coin4!D249</f>
        <v>32.176137809243642</v>
      </c>
      <c r="E1206" t="s">
        <v>45</v>
      </c>
    </row>
    <row r="1207" spans="1:5" x14ac:dyDescent="0.35">
      <c r="A1207">
        <f>Coin4!A250</f>
        <v>1749</v>
      </c>
      <c r="B1207">
        <f>Coin4!B250</f>
        <v>69.425000000000011</v>
      </c>
      <c r="C1207">
        <f>Coin4!C250</f>
        <v>96.960000000000008</v>
      </c>
      <c r="D1207">
        <f>Coin4!D250</f>
        <v>32.176137809243642</v>
      </c>
      <c r="E1207" t="s">
        <v>45</v>
      </c>
    </row>
    <row r="1208" spans="1:5" x14ac:dyDescent="0.35">
      <c r="A1208">
        <f>Coin4!A251</f>
        <v>1750</v>
      </c>
      <c r="B1208">
        <f>Coin4!B251</f>
        <v>53.805000000000007</v>
      </c>
      <c r="C1208">
        <f>Coin4!C251</f>
        <v>97.31</v>
      </c>
      <c r="D1208">
        <f>Coin4!D251</f>
        <v>32.176137809243642</v>
      </c>
      <c r="E1208" t="s">
        <v>45</v>
      </c>
    </row>
    <row r="1209" spans="1:5" x14ac:dyDescent="0.35">
      <c r="A1209">
        <f>Coin4!A252</f>
        <v>1751</v>
      </c>
      <c r="B1209">
        <f>Coin4!B252</f>
        <v>55.035000000000004</v>
      </c>
      <c r="C1209">
        <f>Coin4!C252</f>
        <v>97.31</v>
      </c>
      <c r="D1209">
        <f>Coin4!D252</f>
        <v>32.176137809243642</v>
      </c>
      <c r="E1209" t="s">
        <v>45</v>
      </c>
    </row>
    <row r="1210" spans="1:5" x14ac:dyDescent="0.35">
      <c r="A1210">
        <f>Coin4!A253</f>
        <v>1752</v>
      </c>
      <c r="B1210">
        <f>Coin4!B253</f>
        <v>57.777948729810781</v>
      </c>
      <c r="C1210">
        <f>Coin4!C253</f>
        <v>97.31</v>
      </c>
      <c r="D1210">
        <f>Coin4!D253</f>
        <v>32.176137809243642</v>
      </c>
      <c r="E1210" t="s">
        <v>45</v>
      </c>
    </row>
    <row r="1211" spans="1:5" x14ac:dyDescent="0.35">
      <c r="A1211">
        <f>Coin4!A254</f>
        <v>1753</v>
      </c>
      <c r="B1211">
        <f>Coin4!B254</f>
        <v>60.607500000000002</v>
      </c>
      <c r="C1211">
        <f>Coin4!C254</f>
        <v>97.31</v>
      </c>
      <c r="D1211">
        <f>Coin4!D254</f>
        <v>32.176137809243642</v>
      </c>
      <c r="E1211" t="s">
        <v>45</v>
      </c>
    </row>
    <row r="1212" spans="1:5" x14ac:dyDescent="0.35">
      <c r="A1212">
        <f>Coin4!A255</f>
        <v>1754</v>
      </c>
      <c r="B1212">
        <f>Coin4!B255</f>
        <v>61.837500000000006</v>
      </c>
      <c r="C1212">
        <f>Coin4!C255</f>
        <v>97.31</v>
      </c>
      <c r="D1212">
        <f>Coin4!D255</f>
        <v>32.176137809243642</v>
      </c>
      <c r="E1212" t="s">
        <v>45</v>
      </c>
    </row>
    <row r="1213" spans="1:5" x14ac:dyDescent="0.35">
      <c r="A1213">
        <f>Coin4!A256</f>
        <v>1755</v>
      </c>
      <c r="B1213">
        <f>Coin4!B256</f>
        <v>64.667051270189233</v>
      </c>
      <c r="C1213">
        <f>Coin4!C256</f>
        <v>97.31</v>
      </c>
      <c r="D1213">
        <f>Coin4!D256</f>
        <v>32.176137809243642</v>
      </c>
      <c r="E1213" t="s">
        <v>45</v>
      </c>
    </row>
    <row r="1214" spans="1:5" x14ac:dyDescent="0.35">
      <c r="A1214">
        <f>Coin4!A257</f>
        <v>1756</v>
      </c>
      <c r="B1214">
        <f>Coin4!B257</f>
        <v>69.425000000000011</v>
      </c>
      <c r="C1214">
        <f>Coin4!C257</f>
        <v>97.31</v>
      </c>
      <c r="D1214">
        <f>Coin4!D257</f>
        <v>32.176137809243642</v>
      </c>
      <c r="E1214" t="s">
        <v>45</v>
      </c>
    </row>
    <row r="1215" spans="1:5" x14ac:dyDescent="0.35">
      <c r="A1215">
        <f>Coin4!A258</f>
        <v>1757</v>
      </c>
      <c r="B1215">
        <f>Coin4!B258</f>
        <v>61.222500000000004</v>
      </c>
      <c r="C1215">
        <f>Coin4!C258</f>
        <v>64.099999999999994</v>
      </c>
      <c r="D1215">
        <f>Coin4!D258</f>
        <v>32.176137809243642</v>
      </c>
      <c r="E1215" t="s">
        <v>45</v>
      </c>
    </row>
    <row r="1216" spans="1:5" x14ac:dyDescent="0.35">
      <c r="A1216">
        <f>Coin4!A259</f>
        <v>1758</v>
      </c>
      <c r="B1216">
        <f>Coin4!B259</f>
        <v>59.457000000000008</v>
      </c>
      <c r="C1216">
        <f>Coin4!C259</f>
        <v>80.800000000000011</v>
      </c>
      <c r="D1216">
        <f>Coin4!D259</f>
        <v>35.084206713865463</v>
      </c>
      <c r="E1216" t="s">
        <v>45</v>
      </c>
    </row>
    <row r="1217" spans="1:5" x14ac:dyDescent="0.35">
      <c r="A1217">
        <f>Coin4!A260</f>
        <v>1759</v>
      </c>
      <c r="B1217">
        <f>Coin4!B260</f>
        <v>62.988000000000007</v>
      </c>
      <c r="C1217">
        <f>Coin4!C260</f>
        <v>80.800000000000011</v>
      </c>
      <c r="D1217">
        <f>Coin4!D260</f>
        <v>35.084206713865463</v>
      </c>
      <c r="E1217" t="s">
        <v>45</v>
      </c>
    </row>
    <row r="1218" spans="1:5" x14ac:dyDescent="0.35">
      <c r="A1218">
        <f>Coin4!A261</f>
        <v>1760</v>
      </c>
      <c r="B1218">
        <f>Coin4!B261</f>
        <v>69.425000000000011</v>
      </c>
      <c r="C1218">
        <f>Coin4!C261</f>
        <v>80.800000000000011</v>
      </c>
      <c r="D1218">
        <f>Coin4!D261</f>
        <v>35.084206713865463</v>
      </c>
      <c r="E1218" t="s">
        <v>45</v>
      </c>
    </row>
    <row r="1219" spans="1:5" x14ac:dyDescent="0.35">
      <c r="A1219">
        <f>Coin4!A262</f>
        <v>1761</v>
      </c>
      <c r="B1219">
        <f>Coin4!B262</f>
        <v>69.425000000000011</v>
      </c>
      <c r="C1219">
        <f>Coin4!C262</f>
        <v>83.493000000000009</v>
      </c>
      <c r="D1219">
        <f>Coin4!D262</f>
        <v>35.084206713865463</v>
      </c>
      <c r="E1219" t="s">
        <v>45</v>
      </c>
    </row>
    <row r="1220" spans="1:5" x14ac:dyDescent="0.35">
      <c r="A1220">
        <f>Coin4!A263</f>
        <v>1762</v>
      </c>
      <c r="B1220">
        <f>Coin4!B263</f>
        <v>69.425000000000011</v>
      </c>
      <c r="C1220">
        <f>Coin4!C263</f>
        <v>86.187000000000012</v>
      </c>
      <c r="D1220">
        <f>Coin4!D263</f>
        <v>35.084206713865463</v>
      </c>
      <c r="E1220" t="s">
        <v>45</v>
      </c>
    </row>
    <row r="1221" spans="1:5" x14ac:dyDescent="0.35">
      <c r="A1221">
        <f>Coin4!A264</f>
        <v>1763</v>
      </c>
      <c r="B1221">
        <f>Coin4!B264</f>
        <v>59.457000000000008</v>
      </c>
      <c r="C1221">
        <f>Coin4!C264</f>
        <v>88.88000000000001</v>
      </c>
      <c r="D1221">
        <f>Coin4!D264</f>
        <v>35.084206713865463</v>
      </c>
      <c r="E1221" t="s">
        <v>45</v>
      </c>
    </row>
    <row r="1222" spans="1:5" x14ac:dyDescent="0.35">
      <c r="A1222">
        <f>Coin4!A265</f>
        <v>1764</v>
      </c>
      <c r="B1222">
        <f>Coin4!B265</f>
        <v>62.988000000000007</v>
      </c>
      <c r="C1222">
        <f>Coin4!C265</f>
        <v>88.88000000000001</v>
      </c>
      <c r="D1222">
        <f>Coin4!D265</f>
        <v>35.084206713865463</v>
      </c>
      <c r="E1222" t="s">
        <v>45</v>
      </c>
    </row>
    <row r="1223" spans="1:5" x14ac:dyDescent="0.35">
      <c r="A1223">
        <f>Coin4!A266</f>
        <v>1765</v>
      </c>
      <c r="B1223">
        <f>Coin4!B266</f>
        <v>69.425000000000011</v>
      </c>
      <c r="C1223">
        <f>Coin4!C266</f>
        <v>88.88000000000001</v>
      </c>
      <c r="D1223">
        <f>Coin4!D266</f>
        <v>35.084206713865463</v>
      </c>
      <c r="E1223" t="s">
        <v>45</v>
      </c>
    </row>
    <row r="1224" spans="1:5" x14ac:dyDescent="0.35">
      <c r="A1224">
        <f>Coin4!A267</f>
        <v>1766</v>
      </c>
      <c r="B1224">
        <f>Coin4!B267</f>
        <v>69.425000000000011</v>
      </c>
      <c r="C1224">
        <f>Coin4!C267</f>
        <v>91.573000000000008</v>
      </c>
      <c r="D1224">
        <f>Coin4!D267</f>
        <v>35.084206713865463</v>
      </c>
      <c r="E1224" t="s">
        <v>45</v>
      </c>
    </row>
    <row r="1225" spans="1:5" x14ac:dyDescent="0.35">
      <c r="A1225">
        <f>Coin4!A268</f>
        <v>1767</v>
      </c>
      <c r="B1225">
        <f>Coin4!B268</f>
        <v>69.425000000000011</v>
      </c>
      <c r="C1225">
        <f>Coin4!C268</f>
        <v>94.26700000000001</v>
      </c>
      <c r="D1225">
        <f>Coin4!D268</f>
        <v>35.084206713865463</v>
      </c>
      <c r="E1225" t="s">
        <v>45</v>
      </c>
    </row>
    <row r="1226" spans="1:5" x14ac:dyDescent="0.35">
      <c r="A1226">
        <f>Coin4!A269</f>
        <v>1768</v>
      </c>
      <c r="B1226">
        <f>Coin4!B269</f>
        <v>59.457000000000008</v>
      </c>
      <c r="C1226">
        <f>Coin4!C269</f>
        <v>96.960000000000008</v>
      </c>
      <c r="D1226">
        <f>Coin4!D269</f>
        <v>35.084206713865463</v>
      </c>
      <c r="E1226" t="s">
        <v>45</v>
      </c>
    </row>
    <row r="1227" spans="1:5" x14ac:dyDescent="0.35">
      <c r="A1227">
        <f>Coin4!A270</f>
        <v>1769</v>
      </c>
      <c r="B1227">
        <f>Coin4!B270</f>
        <v>62.988000000000007</v>
      </c>
      <c r="C1227">
        <f>Coin4!C270</f>
        <v>96.960000000000008</v>
      </c>
      <c r="D1227">
        <f>Coin4!D270</f>
        <v>35.084206713865463</v>
      </c>
      <c r="E1227" t="s">
        <v>45</v>
      </c>
    </row>
    <row r="1228" spans="1:5" x14ac:dyDescent="0.35">
      <c r="A1228">
        <f>Coin4!A271</f>
        <v>1770</v>
      </c>
      <c r="B1228">
        <f>Coin4!B271</f>
        <v>69.425000000000011</v>
      </c>
      <c r="C1228">
        <f>Coin4!C271</f>
        <v>96.960000000000008</v>
      </c>
      <c r="D1228">
        <f>Coin4!D271</f>
        <v>35.084206713865463</v>
      </c>
      <c r="E1228" t="s">
        <v>45</v>
      </c>
    </row>
    <row r="1229" spans="1:5" x14ac:dyDescent="0.35">
      <c r="A1229">
        <f>Coin4!A272</f>
        <v>1771</v>
      </c>
      <c r="B1229">
        <f>Coin4!B272</f>
        <v>51.06205127018923</v>
      </c>
      <c r="C1229">
        <f>Coin4!C272</f>
        <v>97.31</v>
      </c>
      <c r="D1229">
        <f>Coin4!D272</f>
        <v>35.084206713865463</v>
      </c>
      <c r="E1229" t="s">
        <v>45</v>
      </c>
    </row>
    <row r="1230" spans="1:5" x14ac:dyDescent="0.35">
      <c r="A1230">
        <f>Coin4!A273</f>
        <v>1772</v>
      </c>
      <c r="B1230">
        <f>Coin4!B273</f>
        <v>57.777948729810781</v>
      </c>
      <c r="C1230">
        <f>Coin4!C273</f>
        <v>97.31</v>
      </c>
      <c r="D1230">
        <f>Coin4!D273</f>
        <v>35.084206713865463</v>
      </c>
      <c r="E1230" t="s">
        <v>45</v>
      </c>
    </row>
    <row r="1231" spans="1:5" x14ac:dyDescent="0.35">
      <c r="A1231">
        <f>Coin4!A274</f>
        <v>1773</v>
      </c>
      <c r="B1231">
        <f>Coin4!B274</f>
        <v>59.457000000000008</v>
      </c>
      <c r="C1231">
        <f>Coin4!C274</f>
        <v>97.31</v>
      </c>
      <c r="D1231">
        <f>Coin4!D274</f>
        <v>35.084206713865463</v>
      </c>
      <c r="E1231" t="s">
        <v>45</v>
      </c>
    </row>
    <row r="1232" spans="1:5" x14ac:dyDescent="0.35">
      <c r="A1232">
        <f>Coin4!A275</f>
        <v>1774</v>
      </c>
      <c r="B1232">
        <f>Coin4!B275</f>
        <v>62.988000000000007</v>
      </c>
      <c r="C1232">
        <f>Coin4!C275</f>
        <v>97.31</v>
      </c>
      <c r="D1232">
        <f>Coin4!D275</f>
        <v>35.084206713865463</v>
      </c>
      <c r="E1232" t="s">
        <v>45</v>
      </c>
    </row>
    <row r="1233" spans="1:5" x14ac:dyDescent="0.35">
      <c r="A1233">
        <f>Coin4!A276</f>
        <v>1775</v>
      </c>
      <c r="B1233">
        <f>Coin4!B276</f>
        <v>64.667051270189233</v>
      </c>
      <c r="C1233">
        <f>Coin4!C276</f>
        <v>97.31</v>
      </c>
      <c r="D1233">
        <f>Coin4!D276</f>
        <v>35.084206713865463</v>
      </c>
      <c r="E1233" t="s">
        <v>45</v>
      </c>
    </row>
    <row r="1234" spans="1:5" x14ac:dyDescent="0.35">
      <c r="A1234">
        <f>Coin4!A277</f>
        <v>1776</v>
      </c>
      <c r="B1234">
        <f>Coin4!B277</f>
        <v>69.425000000000011</v>
      </c>
      <c r="C1234">
        <f>Coin4!C277</f>
        <v>97.31</v>
      </c>
      <c r="D1234">
        <f>Coin4!D277</f>
        <v>35.084206713865463</v>
      </c>
      <c r="E1234" t="s">
        <v>45</v>
      </c>
    </row>
    <row r="1235" spans="1:5" x14ac:dyDescent="0.35">
      <c r="A1235">
        <f>Coin4!A278</f>
        <v>1777</v>
      </c>
      <c r="B1235">
        <f>Coin4!B278</f>
        <v>61.136000000000003</v>
      </c>
      <c r="C1235">
        <f>Coin4!C278</f>
        <v>80.800000000000011</v>
      </c>
      <c r="D1235">
        <f>Coin4!D278</f>
        <v>37.992275618487284</v>
      </c>
      <c r="E1235" t="s">
        <v>45</v>
      </c>
    </row>
    <row r="1236" spans="1:5" x14ac:dyDescent="0.35">
      <c r="A1236">
        <f>Coin4!A279</f>
        <v>1778</v>
      </c>
      <c r="B1236">
        <f>Coin4!B279</f>
        <v>61.309000000000005</v>
      </c>
      <c r="C1236">
        <f>Coin4!C279</f>
        <v>80.800000000000011</v>
      </c>
      <c r="D1236">
        <f>Coin4!D279</f>
        <v>37.992275618487284</v>
      </c>
      <c r="E1236" t="s">
        <v>45</v>
      </c>
    </row>
    <row r="1237" spans="1:5" x14ac:dyDescent="0.35">
      <c r="A1237">
        <f>Coin4!A280</f>
        <v>1779</v>
      </c>
      <c r="B1237">
        <f>Coin4!B280</f>
        <v>69.425000000000011</v>
      </c>
      <c r="C1237">
        <f>Coin4!C280</f>
        <v>80.800000000000011</v>
      </c>
      <c r="D1237">
        <f>Coin4!D280</f>
        <v>37.992275618487284</v>
      </c>
      <c r="E1237" t="s">
        <v>45</v>
      </c>
    </row>
    <row r="1238" spans="1:5" x14ac:dyDescent="0.35">
      <c r="A1238">
        <f>Coin4!A281</f>
        <v>1780</v>
      </c>
      <c r="B1238">
        <f>Coin4!B281</f>
        <v>69.425000000000011</v>
      </c>
      <c r="C1238">
        <f>Coin4!C281</f>
        <v>83.493000000000009</v>
      </c>
      <c r="D1238">
        <f>Coin4!D281</f>
        <v>37.992275618487284</v>
      </c>
      <c r="E1238" t="s">
        <v>45</v>
      </c>
    </row>
    <row r="1239" spans="1:5" x14ac:dyDescent="0.35">
      <c r="A1239">
        <f>Coin4!A282</f>
        <v>1781</v>
      </c>
      <c r="B1239">
        <f>Coin4!B282</f>
        <v>69.425000000000011</v>
      </c>
      <c r="C1239">
        <f>Coin4!C282</f>
        <v>86.187000000000012</v>
      </c>
      <c r="D1239">
        <f>Coin4!D282</f>
        <v>37.992275618487284</v>
      </c>
      <c r="E1239" t="s">
        <v>45</v>
      </c>
    </row>
    <row r="1240" spans="1:5" x14ac:dyDescent="0.35">
      <c r="A1240">
        <f>Coin4!A283</f>
        <v>1782</v>
      </c>
      <c r="B1240">
        <f>Coin4!B283</f>
        <v>61.136000000000003</v>
      </c>
      <c r="C1240">
        <f>Coin4!C283</f>
        <v>88.88000000000001</v>
      </c>
      <c r="D1240">
        <f>Coin4!D283</f>
        <v>37.992275618487284</v>
      </c>
      <c r="E1240" t="s">
        <v>45</v>
      </c>
    </row>
    <row r="1241" spans="1:5" x14ac:dyDescent="0.35">
      <c r="A1241">
        <f>Coin4!A284</f>
        <v>1783</v>
      </c>
      <c r="B1241">
        <f>Coin4!B284</f>
        <v>61.309000000000005</v>
      </c>
      <c r="C1241">
        <f>Coin4!C284</f>
        <v>88.88000000000001</v>
      </c>
      <c r="D1241">
        <f>Coin4!D284</f>
        <v>37.992275618487284</v>
      </c>
      <c r="E1241" t="s">
        <v>45</v>
      </c>
    </row>
    <row r="1242" spans="1:5" x14ac:dyDescent="0.35">
      <c r="A1242">
        <f>Coin4!A285</f>
        <v>1784</v>
      </c>
      <c r="B1242">
        <f>Coin4!B285</f>
        <v>69.425000000000011</v>
      </c>
      <c r="C1242">
        <f>Coin4!C285</f>
        <v>88.88000000000001</v>
      </c>
      <c r="D1242">
        <f>Coin4!D285</f>
        <v>37.992275618487284</v>
      </c>
      <c r="E1242" t="s">
        <v>45</v>
      </c>
    </row>
    <row r="1243" spans="1:5" x14ac:dyDescent="0.35">
      <c r="A1243">
        <f>Coin4!A286</f>
        <v>1785</v>
      </c>
      <c r="B1243">
        <f>Coin4!B286</f>
        <v>69.425000000000011</v>
      </c>
      <c r="C1243">
        <f>Coin4!C286</f>
        <v>91.573000000000008</v>
      </c>
      <c r="D1243">
        <f>Coin4!D286</f>
        <v>37.992275618487284</v>
      </c>
      <c r="E1243" t="s">
        <v>45</v>
      </c>
    </row>
    <row r="1244" spans="1:5" x14ac:dyDescent="0.35">
      <c r="A1244">
        <f>Coin4!A287</f>
        <v>1786</v>
      </c>
      <c r="B1244">
        <f>Coin4!B287</f>
        <v>69.425000000000011</v>
      </c>
      <c r="C1244">
        <f>Coin4!C287</f>
        <v>94.26700000000001</v>
      </c>
      <c r="D1244">
        <f>Coin4!D287</f>
        <v>37.992275618487284</v>
      </c>
      <c r="E1244" t="s">
        <v>45</v>
      </c>
    </row>
    <row r="1245" spans="1:5" x14ac:dyDescent="0.35">
      <c r="A1245">
        <f>Coin4!A288</f>
        <v>1787</v>
      </c>
      <c r="B1245">
        <f>Coin4!B288</f>
        <v>61.136000000000003</v>
      </c>
      <c r="C1245">
        <f>Coin4!C288</f>
        <v>96.960000000000008</v>
      </c>
      <c r="D1245">
        <f>Coin4!D288</f>
        <v>37.992275618487284</v>
      </c>
      <c r="E1245" t="s">
        <v>45</v>
      </c>
    </row>
    <row r="1246" spans="1:5" x14ac:dyDescent="0.35">
      <c r="A1246">
        <f>Coin4!A289</f>
        <v>1788</v>
      </c>
      <c r="B1246">
        <f>Coin4!B289</f>
        <v>61.309000000000005</v>
      </c>
      <c r="C1246">
        <f>Coin4!C289</f>
        <v>96.960000000000008</v>
      </c>
      <c r="D1246">
        <f>Coin4!D289</f>
        <v>37.992275618487284</v>
      </c>
      <c r="E1246" t="s">
        <v>45</v>
      </c>
    </row>
    <row r="1247" spans="1:5" x14ac:dyDescent="0.35">
      <c r="A1247">
        <f>Coin4!A290</f>
        <v>1789</v>
      </c>
      <c r="B1247">
        <f>Coin4!B290</f>
        <v>69.425000000000011</v>
      </c>
      <c r="C1247">
        <f>Coin4!C290</f>
        <v>96.960000000000008</v>
      </c>
      <c r="D1247">
        <f>Coin4!D290</f>
        <v>37.992275618487284</v>
      </c>
      <c r="E1247" t="s">
        <v>45</v>
      </c>
    </row>
    <row r="1248" spans="1:5" x14ac:dyDescent="0.35">
      <c r="A1248">
        <f>Coin4!A291</f>
        <v>1790</v>
      </c>
      <c r="B1248">
        <f>Coin4!B291</f>
        <v>51.06205127018923</v>
      </c>
      <c r="C1248">
        <f>Coin4!C291</f>
        <v>97.31</v>
      </c>
      <c r="D1248">
        <f>Coin4!D291</f>
        <v>37.992275618487284</v>
      </c>
      <c r="E1248" t="s">
        <v>45</v>
      </c>
    </row>
    <row r="1249" spans="1:5" x14ac:dyDescent="0.35">
      <c r="A1249">
        <f>Coin4!A292</f>
        <v>1791</v>
      </c>
      <c r="B1249">
        <f>Coin4!B292</f>
        <v>57.777948729810781</v>
      </c>
      <c r="C1249">
        <f>Coin4!C292</f>
        <v>97.31</v>
      </c>
      <c r="D1249">
        <f>Coin4!D292</f>
        <v>37.992275618487284</v>
      </c>
      <c r="E1249" t="s">
        <v>45</v>
      </c>
    </row>
    <row r="1250" spans="1:5" x14ac:dyDescent="0.35">
      <c r="A1250">
        <f>Coin4!A293</f>
        <v>1792</v>
      </c>
      <c r="B1250">
        <f>Coin4!B293</f>
        <v>61.136000000000003</v>
      </c>
      <c r="C1250">
        <f>Coin4!C293</f>
        <v>97.31</v>
      </c>
      <c r="D1250">
        <f>Coin4!D293</f>
        <v>37.992275618487284</v>
      </c>
      <c r="E1250" t="s">
        <v>45</v>
      </c>
    </row>
    <row r="1251" spans="1:5" x14ac:dyDescent="0.35">
      <c r="A1251">
        <f>Coin4!A294</f>
        <v>1793</v>
      </c>
      <c r="B1251">
        <f>Coin4!B294</f>
        <v>61.309000000000005</v>
      </c>
      <c r="C1251">
        <f>Coin4!C294</f>
        <v>97.31</v>
      </c>
      <c r="D1251">
        <f>Coin4!D294</f>
        <v>37.992275618487284</v>
      </c>
      <c r="E1251" t="s">
        <v>45</v>
      </c>
    </row>
    <row r="1252" spans="1:5" x14ac:dyDescent="0.35">
      <c r="A1252">
        <f>Coin4!A295</f>
        <v>1794</v>
      </c>
      <c r="B1252">
        <f>Coin4!B295</f>
        <v>64.667051270189233</v>
      </c>
      <c r="C1252">
        <f>Coin4!C295</f>
        <v>97.31</v>
      </c>
      <c r="D1252">
        <f>Coin4!D295</f>
        <v>37.992275618487284</v>
      </c>
      <c r="E1252" t="s">
        <v>45</v>
      </c>
    </row>
    <row r="1253" spans="1:5" x14ac:dyDescent="0.35">
      <c r="A1253">
        <f>Coin4!A296</f>
        <v>1795</v>
      </c>
      <c r="B1253">
        <f>Coin4!B296</f>
        <v>69.425000000000011</v>
      </c>
      <c r="C1253">
        <f>Coin4!C296</f>
        <v>97.31</v>
      </c>
      <c r="D1253">
        <f>Coin4!D296</f>
        <v>37.992275618487284</v>
      </c>
      <c r="E1253" t="s">
        <v>45</v>
      </c>
    </row>
    <row r="1254" spans="1:5" x14ac:dyDescent="0.35">
      <c r="A1254">
        <f>Coin4!A297</f>
        <v>1796</v>
      </c>
      <c r="B1254">
        <f>Coin4!B297</f>
        <v>61.222500000000004</v>
      </c>
      <c r="C1254">
        <f>Coin4!C297</f>
        <v>80.800000000000011</v>
      </c>
      <c r="D1254">
        <f>Coin4!D297</f>
        <v>37.992275618487284</v>
      </c>
      <c r="E1254" t="s">
        <v>45</v>
      </c>
    </row>
    <row r="1255" spans="1:5" x14ac:dyDescent="0.35">
      <c r="A1255">
        <f>Coin4!A298</f>
        <v>1797</v>
      </c>
      <c r="B1255">
        <f>Coin4!B298</f>
        <v>61.222500000000004</v>
      </c>
      <c r="C1255">
        <f>Coin4!C298</f>
        <v>84.84</v>
      </c>
      <c r="D1255">
        <f>Coin4!D298</f>
        <v>37.992275618487284</v>
      </c>
      <c r="E1255" t="s">
        <v>45</v>
      </c>
    </row>
    <row r="1256" spans="1:5" x14ac:dyDescent="0.35">
      <c r="A1256">
        <f>Coin4!A299</f>
        <v>1798</v>
      </c>
      <c r="B1256">
        <f>Coin4!B299</f>
        <v>61.222500000000004</v>
      </c>
      <c r="C1256">
        <f>Coin4!C299</f>
        <v>88.88000000000001</v>
      </c>
      <c r="D1256">
        <f>Coin4!D299</f>
        <v>37.992275618487284</v>
      </c>
      <c r="E1256" t="s">
        <v>45</v>
      </c>
    </row>
    <row r="1257" spans="1:5" x14ac:dyDescent="0.35">
      <c r="A1257">
        <f>Coin4!A300</f>
        <v>1799</v>
      </c>
      <c r="B1257">
        <f>Coin4!B300</f>
        <v>61.222500000000004</v>
      </c>
      <c r="C1257">
        <f>Coin4!C300</f>
        <v>92.92</v>
      </c>
      <c r="D1257">
        <f>Coin4!D300</f>
        <v>37.992275618487284</v>
      </c>
      <c r="E1257" t="s">
        <v>45</v>
      </c>
    </row>
    <row r="1258" spans="1:5" x14ac:dyDescent="0.35">
      <c r="A1258">
        <f>Coin4!A301</f>
        <v>1800</v>
      </c>
      <c r="B1258">
        <f>Coin4!B301</f>
        <v>61.222500000000004</v>
      </c>
      <c r="C1258">
        <f>Coin4!C301</f>
        <v>96.960000000000008</v>
      </c>
      <c r="D1258">
        <f>Coin4!D301</f>
        <v>37.992275618487284</v>
      </c>
      <c r="E1258" t="s">
        <v>45</v>
      </c>
    </row>
    <row r="1259" spans="1:5" x14ac:dyDescent="0.35">
      <c r="A1259">
        <f>Coin4!A302</f>
        <v>1801</v>
      </c>
      <c r="B1259">
        <f>Coin4!B302</f>
        <v>69.425000000000011</v>
      </c>
      <c r="C1259">
        <f>Coin4!C302</f>
        <v>96.960000000000008</v>
      </c>
      <c r="D1259">
        <f>Coin4!D302</f>
        <v>37.992275618487284</v>
      </c>
      <c r="E1259" t="s">
        <v>45</v>
      </c>
    </row>
    <row r="1260" spans="1:5" x14ac:dyDescent="0.35">
      <c r="A1260">
        <f>Coin4!A303</f>
        <v>1802</v>
      </c>
      <c r="B1260">
        <f>Coin4!B303</f>
        <v>51.06205127018923</v>
      </c>
      <c r="C1260">
        <f>Coin4!C303</f>
        <v>97.31</v>
      </c>
      <c r="D1260">
        <f>Coin4!D303</f>
        <v>37.992275618487284</v>
      </c>
      <c r="E1260" t="s">
        <v>45</v>
      </c>
    </row>
    <row r="1261" spans="1:5" x14ac:dyDescent="0.35">
      <c r="A1261">
        <f>Coin4!A304</f>
        <v>1803</v>
      </c>
      <c r="B1261">
        <f>Coin4!B304</f>
        <v>57.777948729810781</v>
      </c>
      <c r="C1261">
        <f>Coin4!C304</f>
        <v>97.31</v>
      </c>
      <c r="D1261">
        <f>Coin4!D304</f>
        <v>37.992275618487284</v>
      </c>
      <c r="E1261" t="s">
        <v>45</v>
      </c>
    </row>
    <row r="1262" spans="1:5" x14ac:dyDescent="0.35">
      <c r="A1262">
        <f>Coin4!A305</f>
        <v>1804</v>
      </c>
      <c r="B1262">
        <f>Coin4!B305</f>
        <v>61.309000000000005</v>
      </c>
      <c r="C1262">
        <f>Coin4!C305</f>
        <v>97.31</v>
      </c>
      <c r="D1262">
        <f>Coin4!D305</f>
        <v>37.992275618487284</v>
      </c>
      <c r="E1262" t="s">
        <v>45</v>
      </c>
    </row>
    <row r="1263" spans="1:5" x14ac:dyDescent="0.35">
      <c r="A1263">
        <f>Coin4!A306</f>
        <v>1805</v>
      </c>
      <c r="B1263">
        <f>Coin4!B306</f>
        <v>64.667051270189233</v>
      </c>
      <c r="C1263">
        <f>Coin4!C306</f>
        <v>97.31</v>
      </c>
      <c r="D1263">
        <f>Coin4!D306</f>
        <v>37.992275618487284</v>
      </c>
      <c r="E1263" t="s">
        <v>45</v>
      </c>
    </row>
    <row r="1264" spans="1:5" x14ac:dyDescent="0.35">
      <c r="A1264">
        <f>Coin4!A307</f>
        <v>1806</v>
      </c>
      <c r="B1264">
        <f>Coin4!B307</f>
        <v>69.425000000000011</v>
      </c>
      <c r="C1264">
        <f>Coin4!C307</f>
        <v>97.31</v>
      </c>
      <c r="D1264">
        <f>Coin4!D307</f>
        <v>37.992275618487284</v>
      </c>
      <c r="E1264" t="s">
        <v>45</v>
      </c>
    </row>
    <row r="1265" spans="1:5" x14ac:dyDescent="0.35">
      <c r="A1265">
        <f>Coin4!A308</f>
        <v>1807</v>
      </c>
      <c r="B1265">
        <f>Coin4!B308</f>
        <v>69.425000000000011</v>
      </c>
      <c r="C1265">
        <f>Coin4!C308</f>
        <v>80.800000000000011</v>
      </c>
      <c r="D1265">
        <f>Coin4!D308</f>
        <v>38.14227561848729</v>
      </c>
      <c r="E1265" t="s">
        <v>45</v>
      </c>
    </row>
    <row r="1266" spans="1:5" x14ac:dyDescent="0.35">
      <c r="A1266">
        <f>Coin4!A309</f>
        <v>1808</v>
      </c>
      <c r="B1266">
        <f>Coin4!B309</f>
        <v>69.425000000000011</v>
      </c>
      <c r="C1266">
        <f>Coin4!C309</f>
        <v>83.493000000000009</v>
      </c>
      <c r="D1266">
        <f>Coin4!D309</f>
        <v>38.14227561848729</v>
      </c>
      <c r="E1266" t="s">
        <v>45</v>
      </c>
    </row>
    <row r="1267" spans="1:5" x14ac:dyDescent="0.35">
      <c r="A1267">
        <f>Coin4!A310</f>
        <v>1809</v>
      </c>
      <c r="B1267">
        <f>Coin4!B310</f>
        <v>69.425000000000011</v>
      </c>
      <c r="C1267">
        <f>Coin4!C310</f>
        <v>86.187000000000012</v>
      </c>
      <c r="D1267">
        <f>Coin4!D310</f>
        <v>38.14227561848729</v>
      </c>
      <c r="E1267" t="s">
        <v>45</v>
      </c>
    </row>
    <row r="1268" spans="1:5" x14ac:dyDescent="0.35">
      <c r="A1268">
        <f>Coin4!A311</f>
        <v>1810</v>
      </c>
      <c r="B1268">
        <f>Coin4!B311</f>
        <v>69.425000000000011</v>
      </c>
      <c r="C1268">
        <f>Coin4!C311</f>
        <v>88.88000000000001</v>
      </c>
      <c r="D1268">
        <f>Coin4!D311</f>
        <v>38.14227561848729</v>
      </c>
      <c r="E1268" t="s">
        <v>45</v>
      </c>
    </row>
    <row r="1269" spans="1:5" x14ac:dyDescent="0.35">
      <c r="A1269">
        <f>Coin4!A312</f>
        <v>1811</v>
      </c>
      <c r="B1269">
        <f>Coin4!B312</f>
        <v>69.425000000000011</v>
      </c>
      <c r="C1269">
        <f>Coin4!C312</f>
        <v>91.573000000000008</v>
      </c>
      <c r="D1269">
        <f>Coin4!D312</f>
        <v>38.14227561848729</v>
      </c>
      <c r="E1269" t="s">
        <v>45</v>
      </c>
    </row>
    <row r="1270" spans="1:5" x14ac:dyDescent="0.35">
      <c r="A1270">
        <f>Coin4!A313</f>
        <v>1812</v>
      </c>
      <c r="B1270">
        <f>Coin4!B313</f>
        <v>69.425000000000011</v>
      </c>
      <c r="C1270">
        <f>Coin4!C313</f>
        <v>94.26700000000001</v>
      </c>
      <c r="D1270">
        <f>Coin4!D313</f>
        <v>38.14227561848729</v>
      </c>
      <c r="E1270" t="s">
        <v>45</v>
      </c>
    </row>
    <row r="1271" spans="1:5" x14ac:dyDescent="0.35">
      <c r="A1271">
        <f>Coin4!A314</f>
        <v>1813</v>
      </c>
      <c r="B1271">
        <f>Coin4!B314</f>
        <v>69.425000000000011</v>
      </c>
      <c r="C1271">
        <f>Coin4!C314</f>
        <v>96.960000000000008</v>
      </c>
      <c r="D1271">
        <f>Coin4!D314</f>
        <v>38.14227561848729</v>
      </c>
      <c r="E1271" t="s">
        <v>45</v>
      </c>
    </row>
    <row r="1272" spans="1:5" x14ac:dyDescent="0.35">
      <c r="A1272">
        <f>Coin4!A315</f>
        <v>1814</v>
      </c>
      <c r="B1272">
        <f>Coin4!B315</f>
        <v>61.222500000000004</v>
      </c>
      <c r="C1272">
        <f>Coin4!C315</f>
        <v>80.800000000000011</v>
      </c>
      <c r="D1272">
        <f>Coin4!D315</f>
        <v>38.292275618487288</v>
      </c>
      <c r="E1272" t="s">
        <v>45</v>
      </c>
    </row>
    <row r="1273" spans="1:5" x14ac:dyDescent="0.35">
      <c r="A1273">
        <f>Coin4!A316</f>
        <v>1815</v>
      </c>
      <c r="B1273">
        <f>Coin4!B316</f>
        <v>61.222500000000004</v>
      </c>
      <c r="C1273">
        <f>Coin4!C316</f>
        <v>83.493000000000009</v>
      </c>
      <c r="D1273">
        <f>Coin4!D316</f>
        <v>38.292275618487288</v>
      </c>
      <c r="E1273" t="s">
        <v>45</v>
      </c>
    </row>
    <row r="1274" spans="1:5" x14ac:dyDescent="0.35">
      <c r="A1274">
        <f>Coin4!A317</f>
        <v>1816</v>
      </c>
      <c r="B1274">
        <f>Coin4!B317</f>
        <v>61.222500000000004</v>
      </c>
      <c r="C1274">
        <f>Coin4!C317</f>
        <v>86.187000000000012</v>
      </c>
      <c r="D1274">
        <f>Coin4!D317</f>
        <v>38.292275618487288</v>
      </c>
      <c r="E1274" t="s">
        <v>45</v>
      </c>
    </row>
    <row r="1275" spans="1:5" x14ac:dyDescent="0.35">
      <c r="A1275">
        <f>Coin4!A318</f>
        <v>1817</v>
      </c>
      <c r="B1275">
        <f>Coin4!B318</f>
        <v>61.222500000000004</v>
      </c>
      <c r="C1275">
        <f>Coin4!C318</f>
        <v>88.88000000000001</v>
      </c>
      <c r="D1275">
        <f>Coin4!D318</f>
        <v>38.292275618487288</v>
      </c>
      <c r="E1275" t="s">
        <v>45</v>
      </c>
    </row>
    <row r="1276" spans="1:5" x14ac:dyDescent="0.35">
      <c r="A1276">
        <f>Coin4!A319</f>
        <v>1818</v>
      </c>
      <c r="B1276">
        <f>Coin4!B319</f>
        <v>61.222500000000004</v>
      </c>
      <c r="C1276">
        <f>Coin4!C319</f>
        <v>91.573000000000008</v>
      </c>
      <c r="D1276">
        <f>Coin4!D319</f>
        <v>38.292275618487288</v>
      </c>
      <c r="E1276" t="s">
        <v>45</v>
      </c>
    </row>
    <row r="1277" spans="1:5" x14ac:dyDescent="0.35">
      <c r="A1277">
        <f>Coin4!A320</f>
        <v>1819</v>
      </c>
      <c r="B1277">
        <f>Coin4!B320</f>
        <v>61.222500000000004</v>
      </c>
      <c r="C1277">
        <f>Coin4!C320</f>
        <v>94.26700000000001</v>
      </c>
      <c r="D1277">
        <f>Coin4!D320</f>
        <v>38.292275618487288</v>
      </c>
      <c r="E1277" t="s">
        <v>45</v>
      </c>
    </row>
    <row r="1278" spans="1:5" x14ac:dyDescent="0.35">
      <c r="A1278">
        <f>Coin4!A321</f>
        <v>1820</v>
      </c>
      <c r="B1278">
        <f>Coin4!B321</f>
        <v>61.222500000000004</v>
      </c>
      <c r="C1278">
        <f>Coin4!C321</f>
        <v>96.960000000000008</v>
      </c>
      <c r="D1278">
        <f>Coin4!D321</f>
        <v>38.292275618487288</v>
      </c>
      <c r="E1278" t="s">
        <v>45</v>
      </c>
    </row>
  </sheetData>
  <sortState xmlns:xlrd2="http://schemas.microsoft.com/office/spreadsheetml/2017/richdata2" ref="A1:D1589">
    <sortCondition ref="A1"/>
  </sortState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H321"/>
  <sheetViews>
    <sheetView workbookViewId="0"/>
  </sheetViews>
  <sheetFormatPr baseColWidth="10" defaultColWidth="8.7265625" defaultRowHeight="14.5" x14ac:dyDescent="0.35"/>
  <sheetData>
    <row r="1" spans="1:8" x14ac:dyDescent="0.35">
      <c r="A1" t="s">
        <v>49</v>
      </c>
      <c r="D1" t="s">
        <v>64</v>
      </c>
      <c r="G1" t="s">
        <v>65</v>
      </c>
    </row>
    <row r="2" spans="1:8" x14ac:dyDescent="0.35">
      <c r="A2">
        <v>503</v>
      </c>
      <c r="B2">
        <v>1</v>
      </c>
      <c r="D2">
        <v>1002</v>
      </c>
      <c r="E2">
        <v>1</v>
      </c>
      <c r="G2">
        <v>1502</v>
      </c>
      <c r="H2">
        <v>501</v>
      </c>
    </row>
    <row r="3" spans="1:8" x14ac:dyDescent="0.35">
      <c r="A3">
        <v>504</v>
      </c>
      <c r="B3">
        <v>2</v>
      </c>
      <c r="D3">
        <v>1001</v>
      </c>
      <c r="E3">
        <v>2</v>
      </c>
      <c r="G3">
        <v>1501</v>
      </c>
      <c r="H3">
        <v>502</v>
      </c>
    </row>
    <row r="4" spans="1:8" x14ac:dyDescent="0.35">
      <c r="A4">
        <v>501</v>
      </c>
      <c r="B4">
        <v>3</v>
      </c>
      <c r="D4">
        <v>1004</v>
      </c>
      <c r="E4">
        <v>3</v>
      </c>
      <c r="G4">
        <v>1504</v>
      </c>
      <c r="H4">
        <v>503</v>
      </c>
    </row>
    <row r="5" spans="1:8" x14ac:dyDescent="0.35">
      <c r="A5">
        <v>502</v>
      </c>
      <c r="B5">
        <v>4</v>
      </c>
      <c r="D5">
        <v>1003</v>
      </c>
      <c r="E5">
        <v>4</v>
      </c>
      <c r="G5">
        <v>1503</v>
      </c>
      <c r="H5">
        <v>504</v>
      </c>
    </row>
    <row r="6" spans="1:8" x14ac:dyDescent="0.35">
      <c r="A6">
        <v>510</v>
      </c>
      <c r="B6">
        <v>5</v>
      </c>
      <c r="D6">
        <v>1007</v>
      </c>
      <c r="E6">
        <v>5</v>
      </c>
      <c r="G6">
        <v>1507</v>
      </c>
      <c r="H6">
        <v>505</v>
      </c>
    </row>
    <row r="7" spans="1:8" x14ac:dyDescent="0.35">
      <c r="A7">
        <v>511</v>
      </c>
      <c r="B7">
        <v>6</v>
      </c>
      <c r="D7">
        <v>1006</v>
      </c>
      <c r="E7">
        <v>6</v>
      </c>
      <c r="G7">
        <v>1506</v>
      </c>
      <c r="H7">
        <v>506</v>
      </c>
    </row>
    <row r="8" spans="1:8" x14ac:dyDescent="0.35">
      <c r="A8">
        <v>512</v>
      </c>
      <c r="B8">
        <v>7</v>
      </c>
      <c r="D8">
        <v>1005</v>
      </c>
      <c r="E8">
        <v>7</v>
      </c>
      <c r="G8">
        <v>1505</v>
      </c>
      <c r="H8">
        <v>507</v>
      </c>
    </row>
    <row r="9" spans="1:8" x14ac:dyDescent="0.35">
      <c r="A9">
        <v>508</v>
      </c>
      <c r="B9">
        <v>8</v>
      </c>
      <c r="D9">
        <v>1009</v>
      </c>
      <c r="E9">
        <v>8</v>
      </c>
      <c r="G9">
        <v>1509</v>
      </c>
      <c r="H9">
        <v>508</v>
      </c>
    </row>
    <row r="10" spans="1:8" x14ac:dyDescent="0.35">
      <c r="A10">
        <v>509</v>
      </c>
      <c r="B10">
        <v>9</v>
      </c>
      <c r="D10">
        <v>1008</v>
      </c>
      <c r="E10">
        <v>9</v>
      </c>
      <c r="G10">
        <v>1508</v>
      </c>
      <c r="H10">
        <v>509</v>
      </c>
    </row>
    <row r="11" spans="1:8" x14ac:dyDescent="0.35">
      <c r="A11">
        <v>505</v>
      </c>
      <c r="B11">
        <v>10</v>
      </c>
      <c r="D11">
        <v>1012</v>
      </c>
      <c r="E11">
        <v>10</v>
      </c>
      <c r="G11">
        <v>1512</v>
      </c>
      <c r="H11">
        <v>510</v>
      </c>
    </row>
    <row r="12" spans="1:8" x14ac:dyDescent="0.35">
      <c r="A12">
        <v>506</v>
      </c>
      <c r="B12">
        <v>11</v>
      </c>
      <c r="D12">
        <v>1011</v>
      </c>
      <c r="E12">
        <v>11</v>
      </c>
      <c r="G12">
        <v>1511</v>
      </c>
      <c r="H12">
        <v>511</v>
      </c>
    </row>
    <row r="13" spans="1:8" x14ac:dyDescent="0.35">
      <c r="A13">
        <v>507</v>
      </c>
      <c r="B13">
        <v>12</v>
      </c>
      <c r="D13">
        <v>1010</v>
      </c>
      <c r="E13">
        <v>12</v>
      </c>
      <c r="G13">
        <v>1510</v>
      </c>
      <c r="H13">
        <v>512</v>
      </c>
    </row>
    <row r="14" spans="1:8" x14ac:dyDescent="0.35">
      <c r="A14">
        <v>518</v>
      </c>
      <c r="B14">
        <v>13</v>
      </c>
      <c r="D14">
        <v>1015</v>
      </c>
      <c r="E14">
        <v>13</v>
      </c>
      <c r="G14">
        <v>1515</v>
      </c>
      <c r="H14">
        <v>513</v>
      </c>
    </row>
    <row r="15" spans="1:8" x14ac:dyDescent="0.35">
      <c r="A15">
        <v>519</v>
      </c>
      <c r="B15">
        <v>14</v>
      </c>
      <c r="D15">
        <v>1014</v>
      </c>
      <c r="E15">
        <v>14</v>
      </c>
      <c r="G15">
        <v>1514</v>
      </c>
      <c r="H15">
        <v>514</v>
      </c>
    </row>
    <row r="16" spans="1:8" x14ac:dyDescent="0.35">
      <c r="A16">
        <v>520</v>
      </c>
      <c r="B16">
        <v>15</v>
      </c>
      <c r="D16">
        <v>1013</v>
      </c>
      <c r="E16">
        <v>15</v>
      </c>
      <c r="G16">
        <v>1513</v>
      </c>
      <c r="H16">
        <v>515</v>
      </c>
    </row>
    <row r="17" spans="1:8" x14ac:dyDescent="0.35">
      <c r="A17">
        <v>516</v>
      </c>
      <c r="B17">
        <v>16</v>
      </c>
      <c r="D17">
        <v>1017</v>
      </c>
      <c r="E17">
        <v>16</v>
      </c>
      <c r="G17">
        <v>1517</v>
      </c>
      <c r="H17">
        <v>516</v>
      </c>
    </row>
    <row r="18" spans="1:8" x14ac:dyDescent="0.35">
      <c r="A18">
        <v>517</v>
      </c>
      <c r="B18">
        <v>17</v>
      </c>
      <c r="D18">
        <v>1016</v>
      </c>
      <c r="E18">
        <v>17</v>
      </c>
      <c r="G18">
        <v>1516</v>
      </c>
      <c r="H18">
        <v>517</v>
      </c>
    </row>
    <row r="19" spans="1:8" x14ac:dyDescent="0.35">
      <c r="A19">
        <v>513</v>
      </c>
      <c r="B19">
        <v>18</v>
      </c>
      <c r="D19">
        <v>1020</v>
      </c>
      <c r="E19">
        <v>18</v>
      </c>
      <c r="G19">
        <v>1520</v>
      </c>
      <c r="H19">
        <v>518</v>
      </c>
    </row>
    <row r="20" spans="1:8" x14ac:dyDescent="0.35">
      <c r="A20">
        <v>514</v>
      </c>
      <c r="B20">
        <v>19</v>
      </c>
      <c r="D20">
        <v>1019</v>
      </c>
      <c r="E20">
        <v>19</v>
      </c>
      <c r="G20">
        <v>1519</v>
      </c>
      <c r="H20">
        <v>519</v>
      </c>
    </row>
    <row r="21" spans="1:8" x14ac:dyDescent="0.35">
      <c r="A21">
        <v>515</v>
      </c>
      <c r="B21">
        <v>20</v>
      </c>
      <c r="D21">
        <v>1018</v>
      </c>
      <c r="E21">
        <v>20</v>
      </c>
      <c r="G21">
        <v>1518</v>
      </c>
      <c r="H21">
        <v>520</v>
      </c>
    </row>
    <row r="22" spans="1:8" x14ac:dyDescent="0.35">
      <c r="A22">
        <v>523</v>
      </c>
      <c r="B22">
        <v>21</v>
      </c>
      <c r="D22">
        <v>1022</v>
      </c>
      <c r="E22">
        <v>21</v>
      </c>
      <c r="G22">
        <v>1522</v>
      </c>
      <c r="H22">
        <v>521</v>
      </c>
    </row>
    <row r="23" spans="1:8" x14ac:dyDescent="0.35">
      <c r="A23">
        <v>524</v>
      </c>
      <c r="B23">
        <v>22</v>
      </c>
      <c r="D23">
        <v>1021</v>
      </c>
      <c r="E23">
        <v>22</v>
      </c>
      <c r="G23">
        <v>1521</v>
      </c>
      <c r="H23">
        <v>522</v>
      </c>
    </row>
    <row r="24" spans="1:8" x14ac:dyDescent="0.35">
      <c r="A24">
        <v>521</v>
      </c>
      <c r="B24">
        <v>23</v>
      </c>
      <c r="D24">
        <v>1024</v>
      </c>
      <c r="E24">
        <v>23</v>
      </c>
      <c r="G24">
        <v>1524</v>
      </c>
      <c r="H24">
        <v>523</v>
      </c>
    </row>
    <row r="25" spans="1:8" x14ac:dyDescent="0.35">
      <c r="A25">
        <v>522</v>
      </c>
      <c r="B25">
        <v>24</v>
      </c>
      <c r="D25">
        <v>1023</v>
      </c>
      <c r="E25">
        <v>24</v>
      </c>
      <c r="G25">
        <v>1523</v>
      </c>
      <c r="H25">
        <v>524</v>
      </c>
    </row>
    <row r="26" spans="1:8" x14ac:dyDescent="0.35">
      <c r="A26">
        <v>620</v>
      </c>
      <c r="B26">
        <v>25</v>
      </c>
      <c r="D26">
        <v>1039</v>
      </c>
      <c r="E26">
        <v>25</v>
      </c>
      <c r="G26">
        <v>1538</v>
      </c>
      <c r="H26">
        <v>525</v>
      </c>
    </row>
    <row r="27" spans="1:8" x14ac:dyDescent="0.35">
      <c r="A27">
        <v>621</v>
      </c>
      <c r="B27">
        <v>26</v>
      </c>
      <c r="D27">
        <v>1038</v>
      </c>
      <c r="E27">
        <v>26</v>
      </c>
      <c r="G27">
        <v>1537</v>
      </c>
      <c r="H27">
        <v>526</v>
      </c>
    </row>
    <row r="28" spans="1:8" x14ac:dyDescent="0.35">
      <c r="A28">
        <v>622</v>
      </c>
      <c r="B28">
        <v>27</v>
      </c>
      <c r="D28">
        <v>1037</v>
      </c>
      <c r="E28">
        <v>27</v>
      </c>
      <c r="G28">
        <v>1536</v>
      </c>
      <c r="H28">
        <v>527</v>
      </c>
    </row>
    <row r="29" spans="1:8" x14ac:dyDescent="0.35">
      <c r="A29">
        <v>623</v>
      </c>
      <c r="B29">
        <v>28</v>
      </c>
      <c r="D29">
        <v>1036</v>
      </c>
      <c r="E29">
        <v>28</v>
      </c>
      <c r="G29">
        <v>1535</v>
      </c>
      <c r="H29">
        <v>528</v>
      </c>
    </row>
    <row r="30" spans="1:8" x14ac:dyDescent="0.35">
      <c r="A30">
        <v>624</v>
      </c>
      <c r="B30">
        <v>29</v>
      </c>
      <c r="D30">
        <v>1035</v>
      </c>
      <c r="E30">
        <v>29</v>
      </c>
      <c r="G30">
        <v>1534</v>
      </c>
      <c r="H30">
        <v>529</v>
      </c>
    </row>
    <row r="31" spans="1:8" x14ac:dyDescent="0.35">
      <c r="A31">
        <v>625</v>
      </c>
      <c r="B31">
        <v>30</v>
      </c>
      <c r="D31">
        <v>1034</v>
      </c>
      <c r="E31">
        <v>30</v>
      </c>
      <c r="G31">
        <v>1533</v>
      </c>
      <c r="H31">
        <v>530</v>
      </c>
    </row>
    <row r="32" spans="1:8" x14ac:dyDescent="0.35">
      <c r="A32">
        <v>626</v>
      </c>
      <c r="B32">
        <v>31</v>
      </c>
      <c r="D32">
        <v>1033</v>
      </c>
      <c r="E32">
        <v>31</v>
      </c>
      <c r="G32">
        <v>1532</v>
      </c>
      <c r="H32">
        <v>531</v>
      </c>
    </row>
    <row r="33" spans="1:8" x14ac:dyDescent="0.35">
      <c r="A33">
        <v>627</v>
      </c>
      <c r="B33">
        <v>32</v>
      </c>
      <c r="D33">
        <v>1032</v>
      </c>
      <c r="E33">
        <v>32</v>
      </c>
      <c r="G33">
        <v>1531</v>
      </c>
      <c r="H33">
        <v>532</v>
      </c>
    </row>
    <row r="34" spans="1:8" x14ac:dyDescent="0.35">
      <c r="A34">
        <v>628</v>
      </c>
      <c r="B34">
        <v>33</v>
      </c>
      <c r="D34">
        <v>1031</v>
      </c>
      <c r="E34">
        <v>33</v>
      </c>
      <c r="G34">
        <v>1530</v>
      </c>
      <c r="H34">
        <v>533</v>
      </c>
    </row>
    <row r="35" spans="1:8" x14ac:dyDescent="0.35">
      <c r="A35">
        <v>629</v>
      </c>
      <c r="B35">
        <v>34</v>
      </c>
      <c r="D35">
        <v>1030</v>
      </c>
      <c r="E35">
        <v>34</v>
      </c>
      <c r="G35">
        <v>1529</v>
      </c>
      <c r="H35">
        <v>534</v>
      </c>
    </row>
    <row r="36" spans="1:8" x14ac:dyDescent="0.35">
      <c r="A36">
        <v>630</v>
      </c>
      <c r="B36">
        <v>35</v>
      </c>
      <c r="D36">
        <v>1029</v>
      </c>
      <c r="E36">
        <v>35</v>
      </c>
      <c r="G36">
        <v>1528</v>
      </c>
      <c r="H36">
        <v>535</v>
      </c>
    </row>
    <row r="37" spans="1:8" x14ac:dyDescent="0.35">
      <c r="A37">
        <v>631</v>
      </c>
      <c r="B37">
        <v>36</v>
      </c>
      <c r="D37">
        <v>1028</v>
      </c>
      <c r="E37">
        <v>36</v>
      </c>
      <c r="G37">
        <v>1527</v>
      </c>
      <c r="H37">
        <v>536</v>
      </c>
    </row>
    <row r="38" spans="1:8" x14ac:dyDescent="0.35">
      <c r="A38">
        <v>632</v>
      </c>
      <c r="B38">
        <v>37</v>
      </c>
      <c r="D38">
        <v>1027</v>
      </c>
      <c r="E38">
        <v>37</v>
      </c>
      <c r="G38">
        <v>1526</v>
      </c>
      <c r="H38">
        <v>537</v>
      </c>
    </row>
    <row r="39" spans="1:8" x14ac:dyDescent="0.35">
      <c r="A39">
        <v>633</v>
      </c>
      <c r="B39">
        <v>38</v>
      </c>
      <c r="D39">
        <v>1026</v>
      </c>
      <c r="E39">
        <v>38</v>
      </c>
      <c r="G39">
        <v>1525</v>
      </c>
      <c r="H39">
        <v>538</v>
      </c>
    </row>
    <row r="40" spans="1:8" x14ac:dyDescent="0.35">
      <c r="A40">
        <v>634</v>
      </c>
      <c r="B40">
        <v>39</v>
      </c>
      <c r="D40">
        <v>1025</v>
      </c>
      <c r="E40">
        <v>39</v>
      </c>
      <c r="G40">
        <v>1541</v>
      </c>
      <c r="H40">
        <v>539</v>
      </c>
    </row>
    <row r="41" spans="1:8" x14ac:dyDescent="0.35">
      <c r="A41">
        <v>614</v>
      </c>
      <c r="B41">
        <v>40</v>
      </c>
      <c r="D41">
        <v>1045</v>
      </c>
      <c r="E41">
        <v>40</v>
      </c>
      <c r="G41">
        <v>1540</v>
      </c>
      <c r="H41">
        <v>540</v>
      </c>
    </row>
    <row r="42" spans="1:8" x14ac:dyDescent="0.35">
      <c r="A42">
        <v>615</v>
      </c>
      <c r="B42">
        <v>41</v>
      </c>
      <c r="D42">
        <v>1044</v>
      </c>
      <c r="E42">
        <v>41</v>
      </c>
      <c r="G42">
        <v>1539</v>
      </c>
      <c r="H42">
        <v>541</v>
      </c>
    </row>
    <row r="43" spans="1:8" x14ac:dyDescent="0.35">
      <c r="A43">
        <v>616</v>
      </c>
      <c r="B43">
        <v>42</v>
      </c>
      <c r="D43">
        <v>1043</v>
      </c>
      <c r="E43">
        <v>42</v>
      </c>
      <c r="G43">
        <v>1542</v>
      </c>
      <c r="H43">
        <v>542</v>
      </c>
    </row>
    <row r="44" spans="1:8" x14ac:dyDescent="0.35">
      <c r="A44">
        <v>617</v>
      </c>
      <c r="B44">
        <v>43</v>
      </c>
      <c r="D44">
        <v>1042</v>
      </c>
      <c r="E44">
        <v>43</v>
      </c>
      <c r="G44">
        <v>1544</v>
      </c>
      <c r="H44">
        <v>543</v>
      </c>
    </row>
    <row r="45" spans="1:8" x14ac:dyDescent="0.35">
      <c r="A45">
        <v>618</v>
      </c>
      <c r="B45">
        <v>44</v>
      </c>
      <c r="D45">
        <v>1041</v>
      </c>
      <c r="E45">
        <v>44</v>
      </c>
      <c r="G45">
        <v>1543</v>
      </c>
      <c r="H45">
        <v>544</v>
      </c>
    </row>
    <row r="46" spans="1:8" x14ac:dyDescent="0.35">
      <c r="A46">
        <v>619</v>
      </c>
      <c r="B46">
        <v>45</v>
      </c>
      <c r="D46">
        <v>1040</v>
      </c>
      <c r="E46">
        <v>45</v>
      </c>
      <c r="G46">
        <v>1546</v>
      </c>
      <c r="H46">
        <v>545</v>
      </c>
    </row>
    <row r="47" spans="1:8" x14ac:dyDescent="0.35">
      <c r="A47">
        <v>590</v>
      </c>
      <c r="B47">
        <v>46</v>
      </c>
      <c r="D47">
        <v>1069</v>
      </c>
      <c r="E47">
        <v>46</v>
      </c>
      <c r="G47">
        <v>1545</v>
      </c>
      <c r="H47">
        <v>546</v>
      </c>
    </row>
    <row r="48" spans="1:8" x14ac:dyDescent="0.35">
      <c r="A48">
        <v>591</v>
      </c>
      <c r="B48">
        <v>47</v>
      </c>
      <c r="D48">
        <v>1068</v>
      </c>
      <c r="E48">
        <v>47</v>
      </c>
      <c r="G48">
        <v>1548</v>
      </c>
      <c r="H48">
        <v>547</v>
      </c>
    </row>
    <row r="49" spans="1:8" x14ac:dyDescent="0.35">
      <c r="A49">
        <v>592</v>
      </c>
      <c r="B49">
        <v>48</v>
      </c>
      <c r="D49">
        <v>1067</v>
      </c>
      <c r="E49">
        <v>48</v>
      </c>
      <c r="G49">
        <v>1547</v>
      </c>
      <c r="H49">
        <v>548</v>
      </c>
    </row>
    <row r="50" spans="1:8" x14ac:dyDescent="0.35">
      <c r="A50">
        <v>593</v>
      </c>
      <c r="B50">
        <v>49</v>
      </c>
      <c r="D50">
        <v>1066</v>
      </c>
      <c r="E50">
        <v>49</v>
      </c>
      <c r="G50">
        <v>1550</v>
      </c>
      <c r="H50">
        <v>549</v>
      </c>
    </row>
    <row r="51" spans="1:8" x14ac:dyDescent="0.35">
      <c r="A51">
        <v>594</v>
      </c>
      <c r="B51">
        <v>50</v>
      </c>
      <c r="D51">
        <v>1065</v>
      </c>
      <c r="E51">
        <v>50</v>
      </c>
      <c r="G51">
        <v>1549</v>
      </c>
      <c r="H51">
        <v>550</v>
      </c>
    </row>
    <row r="52" spans="1:8" x14ac:dyDescent="0.35">
      <c r="A52">
        <v>595</v>
      </c>
      <c r="B52">
        <v>51</v>
      </c>
      <c r="D52">
        <v>1064</v>
      </c>
      <c r="E52">
        <v>51</v>
      </c>
      <c r="G52">
        <v>1552</v>
      </c>
      <c r="H52">
        <v>551</v>
      </c>
    </row>
    <row r="53" spans="1:8" x14ac:dyDescent="0.35">
      <c r="A53">
        <v>596</v>
      </c>
      <c r="B53">
        <v>52</v>
      </c>
      <c r="D53">
        <v>1063</v>
      </c>
      <c r="E53">
        <v>52</v>
      </c>
      <c r="G53">
        <v>1551</v>
      </c>
      <c r="H53">
        <v>552</v>
      </c>
    </row>
    <row r="54" spans="1:8" x14ac:dyDescent="0.35">
      <c r="A54">
        <v>597</v>
      </c>
      <c r="B54">
        <v>53</v>
      </c>
      <c r="D54">
        <v>1062</v>
      </c>
      <c r="E54">
        <v>53</v>
      </c>
      <c r="G54">
        <v>1554</v>
      </c>
      <c r="H54">
        <v>553</v>
      </c>
    </row>
    <row r="55" spans="1:8" x14ac:dyDescent="0.35">
      <c r="A55">
        <v>598</v>
      </c>
      <c r="B55">
        <v>54</v>
      </c>
      <c r="D55">
        <v>1061</v>
      </c>
      <c r="E55">
        <v>54</v>
      </c>
      <c r="G55">
        <v>1553</v>
      </c>
      <c r="H55">
        <v>554</v>
      </c>
    </row>
    <row r="56" spans="1:8" x14ac:dyDescent="0.35">
      <c r="A56">
        <v>599</v>
      </c>
      <c r="B56">
        <v>55</v>
      </c>
      <c r="D56">
        <v>1060</v>
      </c>
      <c r="E56">
        <v>55</v>
      </c>
      <c r="G56">
        <v>1556</v>
      </c>
      <c r="H56">
        <v>555</v>
      </c>
    </row>
    <row r="57" spans="1:8" x14ac:dyDescent="0.35">
      <c r="A57">
        <v>600</v>
      </c>
      <c r="B57">
        <v>56</v>
      </c>
      <c r="D57">
        <v>1059</v>
      </c>
      <c r="E57">
        <v>56</v>
      </c>
      <c r="G57">
        <v>1555</v>
      </c>
      <c r="H57">
        <v>556</v>
      </c>
    </row>
    <row r="58" spans="1:8" x14ac:dyDescent="0.35">
      <c r="A58">
        <v>601</v>
      </c>
      <c r="B58">
        <v>57</v>
      </c>
      <c r="D58">
        <v>1058</v>
      </c>
      <c r="E58">
        <v>57</v>
      </c>
      <c r="G58">
        <v>1558</v>
      </c>
      <c r="H58">
        <v>557</v>
      </c>
    </row>
    <row r="59" spans="1:8" x14ac:dyDescent="0.35">
      <c r="A59">
        <v>602</v>
      </c>
      <c r="B59">
        <v>58</v>
      </c>
      <c r="D59">
        <v>1057</v>
      </c>
      <c r="E59">
        <v>58</v>
      </c>
      <c r="G59">
        <v>1557</v>
      </c>
      <c r="H59">
        <v>558</v>
      </c>
    </row>
    <row r="60" spans="1:8" x14ac:dyDescent="0.35">
      <c r="A60">
        <v>603</v>
      </c>
      <c r="B60">
        <v>59</v>
      </c>
      <c r="D60">
        <v>1056</v>
      </c>
      <c r="E60">
        <v>59</v>
      </c>
      <c r="G60">
        <v>1560</v>
      </c>
      <c r="H60">
        <v>559</v>
      </c>
    </row>
    <row r="61" spans="1:8" x14ac:dyDescent="0.35">
      <c r="A61">
        <v>604</v>
      </c>
      <c r="B61">
        <v>60</v>
      </c>
      <c r="D61">
        <v>1055</v>
      </c>
      <c r="E61">
        <v>60</v>
      </c>
      <c r="G61">
        <v>1559</v>
      </c>
      <c r="H61">
        <v>560</v>
      </c>
    </row>
    <row r="62" spans="1:8" x14ac:dyDescent="0.35">
      <c r="A62">
        <v>605</v>
      </c>
      <c r="B62">
        <v>61</v>
      </c>
      <c r="D62">
        <v>1054</v>
      </c>
      <c r="E62">
        <v>61</v>
      </c>
      <c r="G62">
        <v>1567</v>
      </c>
      <c r="H62">
        <v>561</v>
      </c>
    </row>
    <row r="63" spans="1:8" x14ac:dyDescent="0.35">
      <c r="A63">
        <v>606</v>
      </c>
      <c r="B63">
        <v>62</v>
      </c>
      <c r="D63">
        <v>1053</v>
      </c>
      <c r="E63">
        <v>62</v>
      </c>
      <c r="G63">
        <v>1566</v>
      </c>
      <c r="H63">
        <v>562</v>
      </c>
    </row>
    <row r="64" spans="1:8" x14ac:dyDescent="0.35">
      <c r="A64">
        <v>607</v>
      </c>
      <c r="B64">
        <v>63</v>
      </c>
      <c r="D64">
        <v>1052</v>
      </c>
      <c r="E64">
        <v>63</v>
      </c>
      <c r="G64">
        <v>1565</v>
      </c>
      <c r="H64">
        <v>563</v>
      </c>
    </row>
    <row r="65" spans="1:8" x14ac:dyDescent="0.35">
      <c r="A65">
        <v>608</v>
      </c>
      <c r="B65">
        <v>64</v>
      </c>
      <c r="D65">
        <v>1051</v>
      </c>
      <c r="E65">
        <v>64</v>
      </c>
      <c r="G65">
        <v>1564</v>
      </c>
      <c r="H65">
        <v>564</v>
      </c>
    </row>
    <row r="66" spans="1:8" x14ac:dyDescent="0.35">
      <c r="A66">
        <v>609</v>
      </c>
      <c r="B66">
        <v>65</v>
      </c>
      <c r="D66">
        <v>1050</v>
      </c>
      <c r="E66">
        <v>65</v>
      </c>
      <c r="G66">
        <v>1563</v>
      </c>
      <c r="H66">
        <v>565</v>
      </c>
    </row>
    <row r="67" spans="1:8" x14ac:dyDescent="0.35">
      <c r="A67">
        <v>610</v>
      </c>
      <c r="B67">
        <v>66</v>
      </c>
      <c r="D67">
        <v>1049</v>
      </c>
      <c r="E67">
        <v>66</v>
      </c>
      <c r="G67">
        <v>1562</v>
      </c>
      <c r="H67">
        <v>566</v>
      </c>
    </row>
    <row r="68" spans="1:8" x14ac:dyDescent="0.35">
      <c r="A68">
        <v>611</v>
      </c>
      <c r="B68">
        <v>67</v>
      </c>
      <c r="D68">
        <v>1048</v>
      </c>
      <c r="E68">
        <v>67</v>
      </c>
      <c r="G68">
        <v>1561</v>
      </c>
      <c r="H68">
        <v>567</v>
      </c>
    </row>
    <row r="69" spans="1:8" x14ac:dyDescent="0.35">
      <c r="A69">
        <v>612</v>
      </c>
      <c r="B69">
        <v>68</v>
      </c>
      <c r="D69">
        <v>1047</v>
      </c>
      <c r="E69">
        <v>68</v>
      </c>
      <c r="G69">
        <v>1569</v>
      </c>
      <c r="H69">
        <v>568</v>
      </c>
    </row>
    <row r="70" spans="1:8" x14ac:dyDescent="0.35">
      <c r="A70">
        <v>613</v>
      </c>
      <c r="B70">
        <v>69</v>
      </c>
      <c r="D70">
        <v>1046</v>
      </c>
      <c r="E70">
        <v>69</v>
      </c>
      <c r="G70">
        <v>1568</v>
      </c>
      <c r="H70">
        <v>569</v>
      </c>
    </row>
    <row r="71" spans="1:8" x14ac:dyDescent="0.35">
      <c r="A71">
        <v>587</v>
      </c>
      <c r="B71">
        <v>70</v>
      </c>
      <c r="D71">
        <v>1072</v>
      </c>
      <c r="E71">
        <v>70</v>
      </c>
      <c r="G71">
        <v>1571</v>
      </c>
      <c r="H71">
        <v>570</v>
      </c>
    </row>
    <row r="72" spans="1:8" x14ac:dyDescent="0.35">
      <c r="A72">
        <v>588</v>
      </c>
      <c r="B72">
        <v>71</v>
      </c>
      <c r="D72">
        <v>1071</v>
      </c>
      <c r="E72">
        <v>71</v>
      </c>
      <c r="G72">
        <v>1570</v>
      </c>
      <c r="H72">
        <v>571</v>
      </c>
    </row>
    <row r="73" spans="1:8" x14ac:dyDescent="0.35">
      <c r="A73">
        <v>589</v>
      </c>
      <c r="B73">
        <v>72</v>
      </c>
      <c r="D73">
        <v>1070</v>
      </c>
      <c r="E73">
        <v>72</v>
      </c>
      <c r="G73">
        <v>1573</v>
      </c>
      <c r="H73">
        <v>572</v>
      </c>
    </row>
    <row r="74" spans="1:8" x14ac:dyDescent="0.35">
      <c r="A74">
        <v>586</v>
      </c>
      <c r="B74">
        <v>73</v>
      </c>
      <c r="D74">
        <v>1073</v>
      </c>
      <c r="E74">
        <v>73</v>
      </c>
      <c r="G74">
        <v>1572</v>
      </c>
      <c r="H74">
        <v>573</v>
      </c>
    </row>
    <row r="75" spans="1:8" x14ac:dyDescent="0.35">
      <c r="A75">
        <v>584</v>
      </c>
      <c r="B75">
        <v>74</v>
      </c>
      <c r="D75">
        <v>1075</v>
      </c>
      <c r="E75">
        <v>74</v>
      </c>
      <c r="G75">
        <v>1575</v>
      </c>
      <c r="H75">
        <v>574</v>
      </c>
    </row>
    <row r="76" spans="1:8" x14ac:dyDescent="0.35">
      <c r="A76">
        <v>585</v>
      </c>
      <c r="B76">
        <v>75</v>
      </c>
      <c r="D76">
        <v>1074</v>
      </c>
      <c r="E76">
        <v>75</v>
      </c>
      <c r="G76">
        <v>1574</v>
      </c>
      <c r="H76">
        <v>575</v>
      </c>
    </row>
    <row r="77" spans="1:8" x14ac:dyDescent="0.35">
      <c r="A77">
        <v>582</v>
      </c>
      <c r="B77">
        <v>76</v>
      </c>
      <c r="D77">
        <v>1077</v>
      </c>
      <c r="E77">
        <v>76</v>
      </c>
      <c r="G77">
        <v>1577</v>
      </c>
      <c r="H77">
        <v>576</v>
      </c>
    </row>
    <row r="78" spans="1:8" x14ac:dyDescent="0.35">
      <c r="A78">
        <v>583</v>
      </c>
      <c r="B78">
        <v>77</v>
      </c>
      <c r="D78">
        <v>1076</v>
      </c>
      <c r="E78">
        <v>77</v>
      </c>
      <c r="G78">
        <v>1576</v>
      </c>
      <c r="H78">
        <v>577</v>
      </c>
    </row>
    <row r="79" spans="1:8" x14ac:dyDescent="0.35">
      <c r="A79">
        <v>580</v>
      </c>
      <c r="B79">
        <v>78</v>
      </c>
      <c r="D79">
        <v>1079</v>
      </c>
      <c r="E79">
        <v>78</v>
      </c>
      <c r="G79">
        <v>1579</v>
      </c>
      <c r="H79">
        <v>578</v>
      </c>
    </row>
    <row r="80" spans="1:8" x14ac:dyDescent="0.35">
      <c r="A80">
        <v>581</v>
      </c>
      <c r="B80">
        <v>79</v>
      </c>
      <c r="D80">
        <v>1078</v>
      </c>
      <c r="E80">
        <v>79</v>
      </c>
      <c r="G80">
        <v>1578</v>
      </c>
      <c r="H80">
        <v>579</v>
      </c>
    </row>
    <row r="81" spans="1:8" x14ac:dyDescent="0.35">
      <c r="A81">
        <v>578</v>
      </c>
      <c r="B81">
        <v>80</v>
      </c>
      <c r="D81">
        <v>1081</v>
      </c>
      <c r="E81">
        <v>80</v>
      </c>
      <c r="G81">
        <v>1581</v>
      </c>
      <c r="H81">
        <v>580</v>
      </c>
    </row>
    <row r="82" spans="1:8" x14ac:dyDescent="0.35">
      <c r="A82">
        <v>579</v>
      </c>
      <c r="B82">
        <v>81</v>
      </c>
      <c r="D82">
        <v>1080</v>
      </c>
      <c r="E82">
        <v>81</v>
      </c>
      <c r="G82">
        <v>1580</v>
      </c>
      <c r="H82">
        <v>581</v>
      </c>
    </row>
    <row r="83" spans="1:8" x14ac:dyDescent="0.35">
      <c r="A83">
        <v>576</v>
      </c>
      <c r="B83">
        <v>82</v>
      </c>
      <c r="D83">
        <v>1083</v>
      </c>
      <c r="E83">
        <v>82</v>
      </c>
      <c r="G83">
        <v>1583</v>
      </c>
      <c r="H83">
        <v>582</v>
      </c>
    </row>
    <row r="84" spans="1:8" x14ac:dyDescent="0.35">
      <c r="A84">
        <v>577</v>
      </c>
      <c r="B84">
        <v>83</v>
      </c>
      <c r="D84">
        <v>1082</v>
      </c>
      <c r="E84">
        <v>83</v>
      </c>
      <c r="G84">
        <v>1582</v>
      </c>
      <c r="H84">
        <v>583</v>
      </c>
    </row>
    <row r="85" spans="1:8" x14ac:dyDescent="0.35">
      <c r="A85">
        <v>574</v>
      </c>
      <c r="B85">
        <v>84</v>
      </c>
      <c r="D85">
        <v>1085</v>
      </c>
      <c r="E85">
        <v>84</v>
      </c>
      <c r="G85">
        <v>1585</v>
      </c>
      <c r="H85">
        <v>584</v>
      </c>
    </row>
    <row r="86" spans="1:8" x14ac:dyDescent="0.35">
      <c r="A86">
        <v>575</v>
      </c>
      <c r="B86">
        <v>85</v>
      </c>
      <c r="D86">
        <v>1084</v>
      </c>
      <c r="E86">
        <v>85</v>
      </c>
      <c r="G86">
        <v>1584</v>
      </c>
      <c r="H86">
        <v>585</v>
      </c>
    </row>
    <row r="87" spans="1:8" x14ac:dyDescent="0.35">
      <c r="A87">
        <v>572</v>
      </c>
      <c r="B87">
        <v>86</v>
      </c>
      <c r="D87">
        <v>1087</v>
      </c>
      <c r="E87">
        <v>86</v>
      </c>
      <c r="G87">
        <v>1586</v>
      </c>
      <c r="H87">
        <v>586</v>
      </c>
    </row>
    <row r="88" spans="1:8" x14ac:dyDescent="0.35">
      <c r="A88">
        <v>573</v>
      </c>
      <c r="B88">
        <v>87</v>
      </c>
      <c r="D88">
        <v>1086</v>
      </c>
      <c r="E88">
        <v>87</v>
      </c>
      <c r="G88">
        <v>1589</v>
      </c>
      <c r="H88">
        <v>587</v>
      </c>
    </row>
    <row r="89" spans="1:8" x14ac:dyDescent="0.35">
      <c r="A89">
        <v>570</v>
      </c>
      <c r="B89">
        <v>88</v>
      </c>
      <c r="D89">
        <v>1089</v>
      </c>
      <c r="E89">
        <v>88</v>
      </c>
      <c r="G89">
        <v>1588</v>
      </c>
      <c r="H89">
        <v>588</v>
      </c>
    </row>
    <row r="90" spans="1:8" x14ac:dyDescent="0.35">
      <c r="A90">
        <v>571</v>
      </c>
      <c r="B90">
        <v>89</v>
      </c>
      <c r="D90">
        <v>1088</v>
      </c>
      <c r="E90">
        <v>89</v>
      </c>
      <c r="G90">
        <v>1587</v>
      </c>
      <c r="H90">
        <v>589</v>
      </c>
    </row>
    <row r="91" spans="1:8" x14ac:dyDescent="0.35">
      <c r="A91">
        <v>568</v>
      </c>
      <c r="B91">
        <v>90</v>
      </c>
      <c r="D91">
        <v>1091</v>
      </c>
      <c r="E91">
        <v>90</v>
      </c>
      <c r="G91">
        <v>1613</v>
      </c>
      <c r="H91">
        <v>590</v>
      </c>
    </row>
    <row r="92" spans="1:8" x14ac:dyDescent="0.35">
      <c r="A92">
        <v>569</v>
      </c>
      <c r="B92">
        <v>91</v>
      </c>
      <c r="D92">
        <v>1090</v>
      </c>
      <c r="E92">
        <v>91</v>
      </c>
      <c r="G92">
        <v>1612</v>
      </c>
      <c r="H92">
        <v>591</v>
      </c>
    </row>
    <row r="93" spans="1:8" x14ac:dyDescent="0.35">
      <c r="A93">
        <v>561</v>
      </c>
      <c r="B93">
        <v>92</v>
      </c>
      <c r="D93">
        <v>1098</v>
      </c>
      <c r="E93">
        <v>92</v>
      </c>
      <c r="G93">
        <v>1611</v>
      </c>
      <c r="H93">
        <v>592</v>
      </c>
    </row>
    <row r="94" spans="1:8" x14ac:dyDescent="0.35">
      <c r="A94">
        <v>562</v>
      </c>
      <c r="B94">
        <v>93</v>
      </c>
      <c r="D94">
        <v>1097</v>
      </c>
      <c r="E94">
        <v>93</v>
      </c>
      <c r="G94">
        <v>1610</v>
      </c>
      <c r="H94">
        <v>593</v>
      </c>
    </row>
    <row r="95" spans="1:8" x14ac:dyDescent="0.35">
      <c r="A95">
        <v>563</v>
      </c>
      <c r="B95">
        <v>94</v>
      </c>
      <c r="D95">
        <v>1096</v>
      </c>
      <c r="E95">
        <v>94</v>
      </c>
      <c r="G95">
        <v>1609</v>
      </c>
      <c r="H95">
        <v>594</v>
      </c>
    </row>
    <row r="96" spans="1:8" x14ac:dyDescent="0.35">
      <c r="A96">
        <v>564</v>
      </c>
      <c r="B96">
        <v>95</v>
      </c>
      <c r="D96">
        <v>1095</v>
      </c>
      <c r="E96">
        <v>95</v>
      </c>
      <c r="G96">
        <v>1608</v>
      </c>
      <c r="H96">
        <v>595</v>
      </c>
    </row>
    <row r="97" spans="1:8" x14ac:dyDescent="0.35">
      <c r="A97">
        <v>565</v>
      </c>
      <c r="B97">
        <v>96</v>
      </c>
      <c r="D97">
        <v>1094</v>
      </c>
      <c r="E97">
        <v>96</v>
      </c>
      <c r="G97">
        <v>1607</v>
      </c>
      <c r="H97">
        <v>596</v>
      </c>
    </row>
    <row r="98" spans="1:8" x14ac:dyDescent="0.35">
      <c r="A98">
        <v>566</v>
      </c>
      <c r="B98">
        <v>97</v>
      </c>
      <c r="D98">
        <v>1093</v>
      </c>
      <c r="E98">
        <v>97</v>
      </c>
      <c r="G98">
        <v>1606</v>
      </c>
      <c r="H98">
        <v>597</v>
      </c>
    </row>
    <row r="99" spans="1:8" x14ac:dyDescent="0.35">
      <c r="A99">
        <v>567</v>
      </c>
      <c r="B99">
        <v>98</v>
      </c>
      <c r="D99">
        <v>1092</v>
      </c>
      <c r="E99">
        <v>98</v>
      </c>
      <c r="G99">
        <v>1605</v>
      </c>
      <c r="H99">
        <v>598</v>
      </c>
    </row>
    <row r="100" spans="1:8" x14ac:dyDescent="0.35">
      <c r="A100">
        <v>559</v>
      </c>
      <c r="B100">
        <v>99</v>
      </c>
      <c r="D100">
        <v>1100</v>
      </c>
      <c r="E100">
        <v>99</v>
      </c>
      <c r="G100">
        <v>1604</v>
      </c>
      <c r="H100">
        <v>599</v>
      </c>
    </row>
    <row r="101" spans="1:8" x14ac:dyDescent="0.35">
      <c r="A101">
        <v>560</v>
      </c>
      <c r="B101">
        <v>100</v>
      </c>
      <c r="D101">
        <v>1099</v>
      </c>
      <c r="E101">
        <v>100</v>
      </c>
      <c r="G101">
        <v>1603</v>
      </c>
      <c r="H101">
        <v>600</v>
      </c>
    </row>
    <row r="102" spans="1:8" x14ac:dyDescent="0.35">
      <c r="A102">
        <v>557</v>
      </c>
      <c r="B102">
        <v>101</v>
      </c>
      <c r="D102">
        <v>1102</v>
      </c>
      <c r="E102">
        <v>101</v>
      </c>
      <c r="G102">
        <v>1602</v>
      </c>
      <c r="H102">
        <v>601</v>
      </c>
    </row>
    <row r="103" spans="1:8" x14ac:dyDescent="0.35">
      <c r="A103">
        <v>558</v>
      </c>
      <c r="B103">
        <v>102</v>
      </c>
      <c r="D103">
        <v>1101</v>
      </c>
      <c r="E103">
        <v>102</v>
      </c>
      <c r="G103">
        <v>1601</v>
      </c>
      <c r="H103">
        <v>602</v>
      </c>
    </row>
    <row r="104" spans="1:8" x14ac:dyDescent="0.35">
      <c r="A104">
        <v>555</v>
      </c>
      <c r="B104">
        <v>103</v>
      </c>
      <c r="D104">
        <v>1104</v>
      </c>
      <c r="E104">
        <v>103</v>
      </c>
      <c r="G104">
        <v>1600</v>
      </c>
      <c r="H104">
        <v>603</v>
      </c>
    </row>
    <row r="105" spans="1:8" x14ac:dyDescent="0.35">
      <c r="A105">
        <v>556</v>
      </c>
      <c r="B105">
        <v>104</v>
      </c>
      <c r="D105">
        <v>1103</v>
      </c>
      <c r="E105">
        <v>104</v>
      </c>
      <c r="G105">
        <v>1599</v>
      </c>
      <c r="H105">
        <v>604</v>
      </c>
    </row>
    <row r="106" spans="1:8" x14ac:dyDescent="0.35">
      <c r="A106">
        <v>553</v>
      </c>
      <c r="B106">
        <v>105</v>
      </c>
      <c r="D106">
        <v>1106</v>
      </c>
      <c r="E106">
        <v>105</v>
      </c>
      <c r="G106">
        <v>1598</v>
      </c>
      <c r="H106">
        <v>605</v>
      </c>
    </row>
    <row r="107" spans="1:8" x14ac:dyDescent="0.35">
      <c r="A107">
        <v>554</v>
      </c>
      <c r="B107">
        <v>106</v>
      </c>
      <c r="D107">
        <v>1105</v>
      </c>
      <c r="E107">
        <v>106</v>
      </c>
      <c r="G107">
        <v>1597</v>
      </c>
      <c r="H107">
        <v>606</v>
      </c>
    </row>
    <row r="108" spans="1:8" x14ac:dyDescent="0.35">
      <c r="A108">
        <v>551</v>
      </c>
      <c r="B108">
        <v>107</v>
      </c>
      <c r="D108">
        <v>1108</v>
      </c>
      <c r="E108">
        <v>107</v>
      </c>
      <c r="G108">
        <v>1596</v>
      </c>
      <c r="H108">
        <v>607</v>
      </c>
    </row>
    <row r="109" spans="1:8" x14ac:dyDescent="0.35">
      <c r="A109">
        <v>552</v>
      </c>
      <c r="B109">
        <v>108</v>
      </c>
      <c r="D109">
        <v>1107</v>
      </c>
      <c r="E109">
        <v>108</v>
      </c>
      <c r="G109">
        <v>1595</v>
      </c>
      <c r="H109">
        <v>608</v>
      </c>
    </row>
    <row r="110" spans="1:8" x14ac:dyDescent="0.35">
      <c r="A110">
        <v>549</v>
      </c>
      <c r="B110">
        <v>109</v>
      </c>
      <c r="D110">
        <v>1110</v>
      </c>
      <c r="E110">
        <v>109</v>
      </c>
      <c r="G110">
        <v>1594</v>
      </c>
      <c r="H110">
        <v>609</v>
      </c>
    </row>
    <row r="111" spans="1:8" x14ac:dyDescent="0.35">
      <c r="A111">
        <v>550</v>
      </c>
      <c r="B111">
        <v>110</v>
      </c>
      <c r="D111">
        <v>1109</v>
      </c>
      <c r="E111">
        <v>110</v>
      </c>
      <c r="G111">
        <v>1593</v>
      </c>
      <c r="H111">
        <v>610</v>
      </c>
    </row>
    <row r="112" spans="1:8" x14ac:dyDescent="0.35">
      <c r="A112">
        <v>547</v>
      </c>
      <c r="B112">
        <v>111</v>
      </c>
      <c r="D112">
        <v>1112</v>
      </c>
      <c r="E112">
        <v>111</v>
      </c>
      <c r="G112">
        <v>1592</v>
      </c>
      <c r="H112">
        <v>611</v>
      </c>
    </row>
    <row r="113" spans="1:8" x14ac:dyDescent="0.35">
      <c r="A113">
        <v>548</v>
      </c>
      <c r="B113">
        <v>112</v>
      </c>
      <c r="D113">
        <v>1111</v>
      </c>
      <c r="E113">
        <v>112</v>
      </c>
      <c r="G113">
        <v>1591</v>
      </c>
      <c r="H113">
        <v>612</v>
      </c>
    </row>
    <row r="114" spans="1:8" x14ac:dyDescent="0.35">
      <c r="A114">
        <v>545</v>
      </c>
      <c r="B114">
        <v>113</v>
      </c>
      <c r="D114">
        <v>1114</v>
      </c>
      <c r="E114">
        <v>113</v>
      </c>
      <c r="G114">
        <v>1590</v>
      </c>
      <c r="H114">
        <v>613</v>
      </c>
    </row>
    <row r="115" spans="1:8" x14ac:dyDescent="0.35">
      <c r="A115">
        <v>546</v>
      </c>
      <c r="B115">
        <v>114</v>
      </c>
      <c r="D115">
        <v>1113</v>
      </c>
      <c r="E115">
        <v>114</v>
      </c>
      <c r="G115">
        <v>1619</v>
      </c>
      <c r="H115">
        <v>614</v>
      </c>
    </row>
    <row r="116" spans="1:8" x14ac:dyDescent="0.35">
      <c r="A116">
        <v>543</v>
      </c>
      <c r="B116">
        <v>115</v>
      </c>
      <c r="D116">
        <v>1116</v>
      </c>
      <c r="E116">
        <v>115</v>
      </c>
      <c r="G116">
        <v>1618</v>
      </c>
      <c r="H116">
        <v>615</v>
      </c>
    </row>
    <row r="117" spans="1:8" x14ac:dyDescent="0.35">
      <c r="A117">
        <v>544</v>
      </c>
      <c r="B117">
        <v>116</v>
      </c>
      <c r="D117">
        <v>1115</v>
      </c>
      <c r="E117">
        <v>116</v>
      </c>
      <c r="G117">
        <v>1617</v>
      </c>
      <c r="H117">
        <v>616</v>
      </c>
    </row>
    <row r="118" spans="1:8" x14ac:dyDescent="0.35">
      <c r="A118">
        <v>542</v>
      </c>
      <c r="B118">
        <v>117</v>
      </c>
      <c r="D118">
        <v>1117</v>
      </c>
      <c r="E118">
        <v>117</v>
      </c>
      <c r="G118">
        <v>1616</v>
      </c>
      <c r="H118">
        <v>617</v>
      </c>
    </row>
    <row r="119" spans="1:8" x14ac:dyDescent="0.35">
      <c r="A119">
        <v>539</v>
      </c>
      <c r="B119">
        <v>118</v>
      </c>
      <c r="D119">
        <v>1120</v>
      </c>
      <c r="E119">
        <v>118</v>
      </c>
      <c r="G119">
        <v>1615</v>
      </c>
      <c r="H119">
        <v>618</v>
      </c>
    </row>
    <row r="120" spans="1:8" x14ac:dyDescent="0.35">
      <c r="A120">
        <v>540</v>
      </c>
      <c r="B120">
        <v>119</v>
      </c>
      <c r="D120">
        <v>1119</v>
      </c>
      <c r="E120">
        <v>119</v>
      </c>
      <c r="G120">
        <v>1614</v>
      </c>
      <c r="H120">
        <v>619</v>
      </c>
    </row>
    <row r="121" spans="1:8" x14ac:dyDescent="0.35">
      <c r="A121">
        <v>541</v>
      </c>
      <c r="B121">
        <v>120</v>
      </c>
      <c r="D121">
        <v>1118</v>
      </c>
      <c r="E121">
        <v>120</v>
      </c>
      <c r="G121">
        <v>1634</v>
      </c>
      <c r="H121">
        <v>620</v>
      </c>
    </row>
    <row r="122" spans="1:8" x14ac:dyDescent="0.35">
      <c r="A122">
        <v>525</v>
      </c>
      <c r="B122">
        <v>121</v>
      </c>
      <c r="D122">
        <v>1134</v>
      </c>
      <c r="E122">
        <v>121</v>
      </c>
      <c r="G122">
        <v>1633</v>
      </c>
      <c r="H122">
        <v>621</v>
      </c>
    </row>
    <row r="123" spans="1:8" x14ac:dyDescent="0.35">
      <c r="A123">
        <v>526</v>
      </c>
      <c r="B123">
        <v>122</v>
      </c>
      <c r="D123">
        <v>1133</v>
      </c>
      <c r="E123">
        <v>122</v>
      </c>
      <c r="G123">
        <v>1632</v>
      </c>
      <c r="H123">
        <v>622</v>
      </c>
    </row>
    <row r="124" spans="1:8" x14ac:dyDescent="0.35">
      <c r="A124">
        <v>527</v>
      </c>
      <c r="B124">
        <v>123</v>
      </c>
      <c r="D124">
        <v>1132</v>
      </c>
      <c r="E124">
        <v>123</v>
      </c>
      <c r="G124">
        <v>1631</v>
      </c>
      <c r="H124">
        <v>623</v>
      </c>
    </row>
    <row r="125" spans="1:8" x14ac:dyDescent="0.35">
      <c r="A125">
        <v>528</v>
      </c>
      <c r="B125">
        <v>124</v>
      </c>
      <c r="D125">
        <v>1131</v>
      </c>
      <c r="E125">
        <v>124</v>
      </c>
      <c r="G125">
        <v>1630</v>
      </c>
      <c r="H125">
        <v>624</v>
      </c>
    </row>
    <row r="126" spans="1:8" x14ac:dyDescent="0.35">
      <c r="A126">
        <v>529</v>
      </c>
      <c r="B126">
        <v>125</v>
      </c>
      <c r="D126">
        <v>1130</v>
      </c>
      <c r="E126">
        <v>125</v>
      </c>
      <c r="G126">
        <v>1629</v>
      </c>
      <c r="H126">
        <v>625</v>
      </c>
    </row>
    <row r="127" spans="1:8" x14ac:dyDescent="0.35">
      <c r="A127">
        <v>530</v>
      </c>
      <c r="B127">
        <v>126</v>
      </c>
      <c r="D127">
        <v>1129</v>
      </c>
      <c r="E127">
        <v>126</v>
      </c>
      <c r="G127">
        <v>1628</v>
      </c>
      <c r="H127">
        <v>626</v>
      </c>
    </row>
    <row r="128" spans="1:8" x14ac:dyDescent="0.35">
      <c r="A128">
        <v>531</v>
      </c>
      <c r="B128">
        <v>127</v>
      </c>
      <c r="D128">
        <v>1128</v>
      </c>
      <c r="E128">
        <v>127</v>
      </c>
      <c r="G128">
        <v>1627</v>
      </c>
      <c r="H128">
        <v>627</v>
      </c>
    </row>
    <row r="129" spans="1:8" x14ac:dyDescent="0.35">
      <c r="A129">
        <v>532</v>
      </c>
      <c r="B129">
        <v>128</v>
      </c>
      <c r="D129">
        <v>1127</v>
      </c>
      <c r="E129">
        <v>128</v>
      </c>
      <c r="G129">
        <v>1626</v>
      </c>
      <c r="H129">
        <v>628</v>
      </c>
    </row>
    <row r="130" spans="1:8" x14ac:dyDescent="0.35">
      <c r="A130">
        <v>533</v>
      </c>
      <c r="B130">
        <v>129</v>
      </c>
      <c r="D130">
        <v>1126</v>
      </c>
      <c r="E130">
        <v>129</v>
      </c>
      <c r="G130">
        <v>1625</v>
      </c>
      <c r="H130">
        <v>629</v>
      </c>
    </row>
    <row r="131" spans="1:8" x14ac:dyDescent="0.35">
      <c r="A131">
        <v>534</v>
      </c>
      <c r="B131">
        <v>130</v>
      </c>
      <c r="D131">
        <v>1125</v>
      </c>
      <c r="E131">
        <v>130</v>
      </c>
      <c r="G131">
        <v>1624</v>
      </c>
      <c r="H131">
        <v>630</v>
      </c>
    </row>
    <row r="132" spans="1:8" x14ac:dyDescent="0.35">
      <c r="A132">
        <v>535</v>
      </c>
      <c r="B132">
        <v>131</v>
      </c>
      <c r="D132">
        <v>1124</v>
      </c>
      <c r="E132">
        <v>131</v>
      </c>
      <c r="G132">
        <v>1623</v>
      </c>
      <c r="H132">
        <v>631</v>
      </c>
    </row>
    <row r="133" spans="1:8" x14ac:dyDescent="0.35">
      <c r="A133">
        <v>536</v>
      </c>
      <c r="B133">
        <v>132</v>
      </c>
      <c r="D133">
        <v>1123</v>
      </c>
      <c r="E133">
        <v>132</v>
      </c>
      <c r="G133">
        <v>1622</v>
      </c>
      <c r="H133">
        <v>632</v>
      </c>
    </row>
    <row r="134" spans="1:8" x14ac:dyDescent="0.35">
      <c r="A134">
        <v>537</v>
      </c>
      <c r="B134">
        <v>133</v>
      </c>
      <c r="D134">
        <v>1122</v>
      </c>
      <c r="E134">
        <v>133</v>
      </c>
      <c r="G134">
        <v>1621</v>
      </c>
      <c r="H134">
        <v>633</v>
      </c>
    </row>
    <row r="135" spans="1:8" x14ac:dyDescent="0.35">
      <c r="A135">
        <v>538</v>
      </c>
      <c r="B135">
        <v>134</v>
      </c>
      <c r="D135">
        <v>1121</v>
      </c>
      <c r="E135">
        <v>134</v>
      </c>
      <c r="G135">
        <v>1620</v>
      </c>
      <c r="H135">
        <v>634</v>
      </c>
    </row>
    <row r="136" spans="1:8" x14ac:dyDescent="0.35">
      <c r="A136">
        <v>640</v>
      </c>
      <c r="B136">
        <v>135</v>
      </c>
      <c r="D136">
        <v>1138</v>
      </c>
      <c r="E136">
        <v>135</v>
      </c>
      <c r="G136">
        <v>1638</v>
      </c>
      <c r="H136">
        <v>635</v>
      </c>
    </row>
    <row r="137" spans="1:8" x14ac:dyDescent="0.35">
      <c r="A137">
        <v>641</v>
      </c>
      <c r="B137">
        <v>136</v>
      </c>
      <c r="D137">
        <v>1137</v>
      </c>
      <c r="E137">
        <v>136</v>
      </c>
      <c r="G137">
        <v>1637</v>
      </c>
      <c r="H137">
        <v>636</v>
      </c>
    </row>
    <row r="138" spans="1:8" x14ac:dyDescent="0.35">
      <c r="A138">
        <v>642</v>
      </c>
      <c r="B138">
        <v>137</v>
      </c>
      <c r="D138">
        <v>1136</v>
      </c>
      <c r="E138">
        <v>137</v>
      </c>
      <c r="G138">
        <v>1636</v>
      </c>
      <c r="H138">
        <v>637</v>
      </c>
    </row>
    <row r="139" spans="1:8" x14ac:dyDescent="0.35">
      <c r="A139">
        <v>643</v>
      </c>
      <c r="B139">
        <v>138</v>
      </c>
      <c r="D139">
        <v>1135</v>
      </c>
      <c r="E139">
        <v>138</v>
      </c>
      <c r="G139">
        <v>1635</v>
      </c>
      <c r="H139">
        <v>638</v>
      </c>
    </row>
    <row r="140" spans="1:8" x14ac:dyDescent="0.35">
      <c r="A140">
        <v>639</v>
      </c>
      <c r="B140">
        <v>139</v>
      </c>
      <c r="D140">
        <v>1139</v>
      </c>
      <c r="E140">
        <v>139</v>
      </c>
      <c r="G140">
        <v>1639</v>
      </c>
      <c r="H140">
        <v>639</v>
      </c>
    </row>
    <row r="141" spans="1:8" x14ac:dyDescent="0.35">
      <c r="A141">
        <v>635</v>
      </c>
      <c r="B141">
        <v>140</v>
      </c>
      <c r="D141">
        <v>1143</v>
      </c>
      <c r="E141">
        <v>140</v>
      </c>
      <c r="G141">
        <v>1643</v>
      </c>
      <c r="H141">
        <v>640</v>
      </c>
    </row>
    <row r="142" spans="1:8" x14ac:dyDescent="0.35">
      <c r="A142">
        <v>636</v>
      </c>
      <c r="B142">
        <v>141</v>
      </c>
      <c r="D142">
        <v>1142</v>
      </c>
      <c r="E142">
        <v>141</v>
      </c>
      <c r="G142">
        <v>1642</v>
      </c>
      <c r="H142">
        <v>641</v>
      </c>
    </row>
    <row r="143" spans="1:8" x14ac:dyDescent="0.35">
      <c r="A143">
        <v>637</v>
      </c>
      <c r="B143">
        <v>142</v>
      </c>
      <c r="D143">
        <v>1141</v>
      </c>
      <c r="E143">
        <v>142</v>
      </c>
      <c r="G143">
        <v>1641</v>
      </c>
      <c r="H143">
        <v>642</v>
      </c>
    </row>
    <row r="144" spans="1:8" x14ac:dyDescent="0.35">
      <c r="A144">
        <v>638</v>
      </c>
      <c r="B144">
        <v>143</v>
      </c>
      <c r="D144">
        <v>1140</v>
      </c>
      <c r="E144">
        <v>143</v>
      </c>
      <c r="G144">
        <v>1640</v>
      </c>
      <c r="H144">
        <v>643</v>
      </c>
    </row>
    <row r="145" spans="1:8" x14ac:dyDescent="0.35">
      <c r="A145">
        <v>666</v>
      </c>
      <c r="B145">
        <v>144</v>
      </c>
      <c r="D145">
        <v>1145</v>
      </c>
      <c r="E145">
        <v>144</v>
      </c>
      <c r="G145">
        <v>1645</v>
      </c>
      <c r="H145">
        <v>644</v>
      </c>
    </row>
    <row r="146" spans="1:8" x14ac:dyDescent="0.35">
      <c r="A146">
        <v>667</v>
      </c>
      <c r="B146">
        <v>145</v>
      </c>
      <c r="D146">
        <v>1144</v>
      </c>
      <c r="E146">
        <v>145</v>
      </c>
      <c r="G146">
        <v>1644</v>
      </c>
      <c r="H146">
        <v>645</v>
      </c>
    </row>
    <row r="147" spans="1:8" x14ac:dyDescent="0.35">
      <c r="A147">
        <v>664</v>
      </c>
      <c r="B147">
        <v>146</v>
      </c>
      <c r="D147">
        <v>1147</v>
      </c>
      <c r="E147">
        <v>146</v>
      </c>
      <c r="G147">
        <v>1647</v>
      </c>
      <c r="H147">
        <v>646</v>
      </c>
    </row>
    <row r="148" spans="1:8" x14ac:dyDescent="0.35">
      <c r="A148">
        <v>665</v>
      </c>
      <c r="B148">
        <v>147</v>
      </c>
      <c r="D148">
        <v>1146</v>
      </c>
      <c r="E148">
        <v>147</v>
      </c>
      <c r="G148">
        <v>1646</v>
      </c>
      <c r="H148">
        <v>647</v>
      </c>
    </row>
    <row r="149" spans="1:8" x14ac:dyDescent="0.35">
      <c r="A149">
        <v>662</v>
      </c>
      <c r="B149">
        <v>148</v>
      </c>
      <c r="D149">
        <v>1149</v>
      </c>
      <c r="E149">
        <v>148</v>
      </c>
      <c r="G149">
        <v>1649</v>
      </c>
      <c r="H149">
        <v>648</v>
      </c>
    </row>
    <row r="150" spans="1:8" x14ac:dyDescent="0.35">
      <c r="A150">
        <v>663</v>
      </c>
      <c r="B150">
        <v>149</v>
      </c>
      <c r="D150">
        <v>1148</v>
      </c>
      <c r="E150">
        <v>149</v>
      </c>
      <c r="G150">
        <v>1648</v>
      </c>
      <c r="H150">
        <v>649</v>
      </c>
    </row>
    <row r="151" spans="1:8" x14ac:dyDescent="0.35">
      <c r="A151">
        <v>660</v>
      </c>
      <c r="B151">
        <v>150</v>
      </c>
      <c r="D151">
        <v>1151</v>
      </c>
      <c r="E151">
        <v>150</v>
      </c>
      <c r="G151">
        <v>1651</v>
      </c>
      <c r="H151">
        <v>650</v>
      </c>
    </row>
    <row r="152" spans="1:8" x14ac:dyDescent="0.35">
      <c r="A152">
        <v>661</v>
      </c>
      <c r="B152">
        <v>151</v>
      </c>
      <c r="D152">
        <v>1150</v>
      </c>
      <c r="E152">
        <v>151</v>
      </c>
      <c r="G152">
        <v>1650</v>
      </c>
      <c r="H152">
        <v>651</v>
      </c>
    </row>
    <row r="153" spans="1:8" x14ac:dyDescent="0.35">
      <c r="A153">
        <v>658</v>
      </c>
      <c r="B153">
        <v>152</v>
      </c>
      <c r="D153">
        <v>1153</v>
      </c>
      <c r="E153">
        <v>152</v>
      </c>
      <c r="G153">
        <v>1653</v>
      </c>
      <c r="H153">
        <v>652</v>
      </c>
    </row>
    <row r="154" spans="1:8" x14ac:dyDescent="0.35">
      <c r="A154">
        <v>659</v>
      </c>
      <c r="B154">
        <v>153</v>
      </c>
      <c r="D154">
        <v>1152</v>
      </c>
      <c r="E154">
        <v>153</v>
      </c>
      <c r="G154">
        <v>1652</v>
      </c>
      <c r="H154">
        <v>653</v>
      </c>
    </row>
    <row r="155" spans="1:8" x14ac:dyDescent="0.35">
      <c r="A155">
        <v>656</v>
      </c>
      <c r="B155">
        <v>154</v>
      </c>
      <c r="D155">
        <v>1155</v>
      </c>
      <c r="E155">
        <v>154</v>
      </c>
      <c r="G155">
        <v>1655</v>
      </c>
      <c r="H155">
        <v>654</v>
      </c>
    </row>
    <row r="156" spans="1:8" x14ac:dyDescent="0.35">
      <c r="A156">
        <v>657</v>
      </c>
      <c r="B156">
        <v>155</v>
      </c>
      <c r="D156">
        <v>1154</v>
      </c>
      <c r="E156">
        <v>155</v>
      </c>
      <c r="G156">
        <v>1654</v>
      </c>
      <c r="H156">
        <v>655</v>
      </c>
    </row>
    <row r="157" spans="1:8" x14ac:dyDescent="0.35">
      <c r="A157">
        <v>654</v>
      </c>
      <c r="B157">
        <v>156</v>
      </c>
      <c r="D157">
        <v>1157</v>
      </c>
      <c r="E157">
        <v>156</v>
      </c>
      <c r="G157">
        <v>1657</v>
      </c>
      <c r="H157">
        <v>656</v>
      </c>
    </row>
    <row r="158" spans="1:8" x14ac:dyDescent="0.35">
      <c r="A158">
        <v>655</v>
      </c>
      <c r="B158">
        <v>157</v>
      </c>
      <c r="D158">
        <v>1156</v>
      </c>
      <c r="E158">
        <v>157</v>
      </c>
      <c r="G158">
        <v>1656</v>
      </c>
      <c r="H158">
        <v>657</v>
      </c>
    </row>
    <row r="159" spans="1:8" x14ac:dyDescent="0.35">
      <c r="A159">
        <v>652</v>
      </c>
      <c r="B159">
        <v>158</v>
      </c>
      <c r="D159">
        <v>1159</v>
      </c>
      <c r="E159">
        <v>158</v>
      </c>
      <c r="G159">
        <v>1659</v>
      </c>
      <c r="H159">
        <v>658</v>
      </c>
    </row>
    <row r="160" spans="1:8" x14ac:dyDescent="0.35">
      <c r="A160">
        <v>653</v>
      </c>
      <c r="B160">
        <v>159</v>
      </c>
      <c r="D160">
        <v>1158</v>
      </c>
      <c r="E160">
        <v>159</v>
      </c>
      <c r="G160">
        <v>1658</v>
      </c>
      <c r="H160">
        <v>659</v>
      </c>
    </row>
    <row r="161" spans="1:8" x14ac:dyDescent="0.35">
      <c r="A161">
        <v>650</v>
      </c>
      <c r="B161">
        <v>160</v>
      </c>
      <c r="D161">
        <v>1161</v>
      </c>
      <c r="E161">
        <v>160</v>
      </c>
      <c r="G161">
        <v>1661</v>
      </c>
      <c r="H161">
        <v>660</v>
      </c>
    </row>
    <row r="162" spans="1:8" x14ac:dyDescent="0.35">
      <c r="A162">
        <v>651</v>
      </c>
      <c r="B162">
        <v>161</v>
      </c>
      <c r="D162">
        <v>1160</v>
      </c>
      <c r="E162">
        <v>161</v>
      </c>
      <c r="G162">
        <v>1660</v>
      </c>
      <c r="H162">
        <v>661</v>
      </c>
    </row>
    <row r="163" spans="1:8" x14ac:dyDescent="0.35">
      <c r="A163">
        <v>648</v>
      </c>
      <c r="B163">
        <v>162</v>
      </c>
      <c r="D163">
        <v>1163</v>
      </c>
      <c r="E163">
        <v>162</v>
      </c>
      <c r="G163">
        <v>1663</v>
      </c>
      <c r="H163">
        <v>662</v>
      </c>
    </row>
    <row r="164" spans="1:8" x14ac:dyDescent="0.35">
      <c r="A164">
        <v>649</v>
      </c>
      <c r="B164">
        <v>163</v>
      </c>
      <c r="D164">
        <v>1162</v>
      </c>
      <c r="E164">
        <v>163</v>
      </c>
      <c r="G164">
        <v>1662</v>
      </c>
      <c r="H164">
        <v>663</v>
      </c>
    </row>
    <row r="165" spans="1:8" x14ac:dyDescent="0.35">
      <c r="A165">
        <v>646</v>
      </c>
      <c r="B165">
        <v>164</v>
      </c>
      <c r="D165">
        <v>1165</v>
      </c>
      <c r="E165">
        <v>164</v>
      </c>
      <c r="G165">
        <v>1665</v>
      </c>
      <c r="H165">
        <v>664</v>
      </c>
    </row>
    <row r="166" spans="1:8" x14ac:dyDescent="0.35">
      <c r="A166">
        <v>647</v>
      </c>
      <c r="B166">
        <v>165</v>
      </c>
      <c r="D166">
        <v>1164</v>
      </c>
      <c r="E166">
        <v>165</v>
      </c>
      <c r="G166">
        <v>1664</v>
      </c>
      <c r="H166">
        <v>665</v>
      </c>
    </row>
    <row r="167" spans="1:8" x14ac:dyDescent="0.35">
      <c r="A167">
        <v>644</v>
      </c>
      <c r="B167">
        <v>166</v>
      </c>
      <c r="D167">
        <v>1167</v>
      </c>
      <c r="E167">
        <v>166</v>
      </c>
      <c r="G167">
        <v>1667</v>
      </c>
      <c r="H167">
        <v>666</v>
      </c>
    </row>
    <row r="168" spans="1:8" x14ac:dyDescent="0.35">
      <c r="A168">
        <v>645</v>
      </c>
      <c r="B168">
        <v>167</v>
      </c>
      <c r="D168">
        <v>1166</v>
      </c>
      <c r="E168">
        <v>167</v>
      </c>
      <c r="G168">
        <v>1666</v>
      </c>
      <c r="H168">
        <v>667</v>
      </c>
    </row>
    <row r="169" spans="1:8" x14ac:dyDescent="0.35">
      <c r="A169">
        <v>672</v>
      </c>
      <c r="B169">
        <v>168</v>
      </c>
      <c r="D169">
        <v>1169</v>
      </c>
      <c r="E169">
        <v>168</v>
      </c>
      <c r="G169">
        <v>1669</v>
      </c>
      <c r="H169">
        <v>668</v>
      </c>
    </row>
    <row r="170" spans="1:8" x14ac:dyDescent="0.35">
      <c r="A170">
        <v>673</v>
      </c>
      <c r="B170">
        <v>169</v>
      </c>
      <c r="D170">
        <v>1168</v>
      </c>
      <c r="E170">
        <v>169</v>
      </c>
      <c r="G170">
        <v>1668</v>
      </c>
      <c r="H170">
        <v>669</v>
      </c>
    </row>
    <row r="171" spans="1:8" x14ac:dyDescent="0.35">
      <c r="A171">
        <v>670</v>
      </c>
      <c r="B171">
        <v>170</v>
      </c>
      <c r="D171">
        <v>1171</v>
      </c>
      <c r="E171">
        <v>170</v>
      </c>
      <c r="G171">
        <v>1671</v>
      </c>
      <c r="H171">
        <v>670</v>
      </c>
    </row>
    <row r="172" spans="1:8" x14ac:dyDescent="0.35">
      <c r="A172">
        <v>671</v>
      </c>
      <c r="B172">
        <v>171</v>
      </c>
      <c r="D172">
        <v>1170</v>
      </c>
      <c r="E172">
        <v>171</v>
      </c>
      <c r="G172">
        <v>1670</v>
      </c>
      <c r="H172">
        <v>671</v>
      </c>
    </row>
    <row r="173" spans="1:8" x14ac:dyDescent="0.35">
      <c r="A173">
        <v>668</v>
      </c>
      <c r="B173">
        <v>172</v>
      </c>
      <c r="D173">
        <v>1173</v>
      </c>
      <c r="E173">
        <v>172</v>
      </c>
      <c r="G173">
        <v>1673</v>
      </c>
      <c r="H173">
        <v>672</v>
      </c>
    </row>
    <row r="174" spans="1:8" x14ac:dyDescent="0.35">
      <c r="A174">
        <v>669</v>
      </c>
      <c r="B174">
        <v>173</v>
      </c>
      <c r="D174">
        <v>1172</v>
      </c>
      <c r="E174">
        <v>173</v>
      </c>
      <c r="G174">
        <v>1672</v>
      </c>
      <c r="H174">
        <v>673</v>
      </c>
    </row>
    <row r="175" spans="1:8" x14ac:dyDescent="0.35">
      <c r="A175">
        <v>689</v>
      </c>
      <c r="B175">
        <v>174</v>
      </c>
      <c r="D175">
        <v>1183</v>
      </c>
      <c r="E175">
        <v>174</v>
      </c>
      <c r="G175">
        <v>1678</v>
      </c>
      <c r="H175">
        <v>674</v>
      </c>
    </row>
    <row r="176" spans="1:8" x14ac:dyDescent="0.35">
      <c r="A176">
        <v>690</v>
      </c>
      <c r="B176">
        <v>175</v>
      </c>
      <c r="D176">
        <v>1182</v>
      </c>
      <c r="E176">
        <v>175</v>
      </c>
      <c r="G176">
        <v>1677</v>
      </c>
      <c r="H176">
        <v>675</v>
      </c>
    </row>
    <row r="177" spans="1:8" x14ac:dyDescent="0.35">
      <c r="A177">
        <v>691</v>
      </c>
      <c r="B177">
        <v>176</v>
      </c>
      <c r="D177">
        <v>1181</v>
      </c>
      <c r="E177">
        <v>176</v>
      </c>
      <c r="G177">
        <v>1676</v>
      </c>
      <c r="H177">
        <v>676</v>
      </c>
    </row>
    <row r="178" spans="1:8" x14ac:dyDescent="0.35">
      <c r="A178">
        <v>692</v>
      </c>
      <c r="B178">
        <v>177</v>
      </c>
      <c r="D178">
        <v>1180</v>
      </c>
      <c r="E178">
        <v>177</v>
      </c>
      <c r="G178">
        <v>1675</v>
      </c>
      <c r="H178">
        <v>677</v>
      </c>
    </row>
    <row r="179" spans="1:8" x14ac:dyDescent="0.35">
      <c r="A179">
        <v>693</v>
      </c>
      <c r="B179">
        <v>178</v>
      </c>
      <c r="D179">
        <v>1179</v>
      </c>
      <c r="E179">
        <v>178</v>
      </c>
      <c r="G179">
        <v>1674</v>
      </c>
      <c r="H179">
        <v>678</v>
      </c>
    </row>
    <row r="180" spans="1:8" x14ac:dyDescent="0.35">
      <c r="A180">
        <v>694</v>
      </c>
      <c r="B180">
        <v>179</v>
      </c>
      <c r="D180">
        <v>1178</v>
      </c>
      <c r="E180">
        <v>179</v>
      </c>
      <c r="G180">
        <v>1679</v>
      </c>
      <c r="H180">
        <v>679</v>
      </c>
    </row>
    <row r="181" spans="1:8" x14ac:dyDescent="0.35">
      <c r="A181">
        <v>695</v>
      </c>
      <c r="B181">
        <v>180</v>
      </c>
      <c r="D181">
        <v>1177</v>
      </c>
      <c r="E181">
        <v>180</v>
      </c>
      <c r="G181">
        <v>1680</v>
      </c>
      <c r="H181">
        <v>680</v>
      </c>
    </row>
    <row r="182" spans="1:8" x14ac:dyDescent="0.35">
      <c r="A182">
        <v>696</v>
      </c>
      <c r="B182">
        <v>181</v>
      </c>
      <c r="D182">
        <v>1176</v>
      </c>
      <c r="E182">
        <v>181</v>
      </c>
      <c r="G182">
        <v>1683</v>
      </c>
      <c r="H182">
        <v>681</v>
      </c>
    </row>
    <row r="183" spans="1:8" x14ac:dyDescent="0.35">
      <c r="A183">
        <v>697</v>
      </c>
      <c r="B183">
        <v>182</v>
      </c>
      <c r="D183">
        <v>1175</v>
      </c>
      <c r="E183">
        <v>182</v>
      </c>
      <c r="G183">
        <v>1682</v>
      </c>
      <c r="H183">
        <v>682</v>
      </c>
    </row>
    <row r="184" spans="1:8" x14ac:dyDescent="0.35">
      <c r="A184">
        <v>698</v>
      </c>
      <c r="B184">
        <v>183</v>
      </c>
      <c r="D184">
        <v>1174</v>
      </c>
      <c r="E184">
        <v>183</v>
      </c>
      <c r="G184">
        <v>1681</v>
      </c>
      <c r="H184">
        <v>683</v>
      </c>
    </row>
    <row r="185" spans="1:8" x14ac:dyDescent="0.35">
      <c r="A185">
        <v>686</v>
      </c>
      <c r="B185">
        <v>184</v>
      </c>
      <c r="D185">
        <v>1186</v>
      </c>
      <c r="E185">
        <v>184</v>
      </c>
      <c r="G185">
        <v>1684</v>
      </c>
      <c r="H185">
        <v>684</v>
      </c>
    </row>
    <row r="186" spans="1:8" x14ac:dyDescent="0.35">
      <c r="A186">
        <v>687</v>
      </c>
      <c r="B186">
        <v>185</v>
      </c>
      <c r="D186">
        <v>1185</v>
      </c>
      <c r="E186">
        <v>185</v>
      </c>
      <c r="G186">
        <v>1685</v>
      </c>
      <c r="H186">
        <v>685</v>
      </c>
    </row>
    <row r="187" spans="1:8" x14ac:dyDescent="0.35">
      <c r="A187">
        <v>688</v>
      </c>
      <c r="B187">
        <v>186</v>
      </c>
      <c r="D187">
        <v>1184</v>
      </c>
      <c r="E187">
        <v>186</v>
      </c>
      <c r="G187">
        <v>1688</v>
      </c>
      <c r="H187">
        <v>686</v>
      </c>
    </row>
    <row r="188" spans="1:8" x14ac:dyDescent="0.35">
      <c r="A188">
        <v>685</v>
      </c>
      <c r="B188">
        <v>187</v>
      </c>
      <c r="D188">
        <v>1187</v>
      </c>
      <c r="E188">
        <v>187</v>
      </c>
      <c r="G188">
        <v>1687</v>
      </c>
      <c r="H188">
        <v>687</v>
      </c>
    </row>
    <row r="189" spans="1:8" x14ac:dyDescent="0.35">
      <c r="A189">
        <v>684</v>
      </c>
      <c r="B189">
        <v>188</v>
      </c>
      <c r="D189">
        <v>1188</v>
      </c>
      <c r="E189">
        <v>188</v>
      </c>
      <c r="G189">
        <v>1686</v>
      </c>
      <c r="H189">
        <v>688</v>
      </c>
    </row>
    <row r="190" spans="1:8" x14ac:dyDescent="0.35">
      <c r="A190">
        <v>681</v>
      </c>
      <c r="B190">
        <v>189</v>
      </c>
      <c r="D190">
        <v>1191</v>
      </c>
      <c r="E190">
        <v>189</v>
      </c>
      <c r="G190">
        <v>1698</v>
      </c>
      <c r="H190">
        <v>689</v>
      </c>
    </row>
    <row r="191" spans="1:8" x14ac:dyDescent="0.35">
      <c r="A191">
        <v>682</v>
      </c>
      <c r="B191">
        <v>190</v>
      </c>
      <c r="D191">
        <v>1190</v>
      </c>
      <c r="E191">
        <v>190</v>
      </c>
      <c r="G191">
        <v>1697</v>
      </c>
      <c r="H191">
        <v>690</v>
      </c>
    </row>
    <row r="192" spans="1:8" x14ac:dyDescent="0.35">
      <c r="A192">
        <v>683</v>
      </c>
      <c r="B192">
        <v>191</v>
      </c>
      <c r="D192">
        <v>1189</v>
      </c>
      <c r="E192">
        <v>191</v>
      </c>
      <c r="G192">
        <v>1696</v>
      </c>
      <c r="H192">
        <v>691</v>
      </c>
    </row>
    <row r="193" spans="1:8" x14ac:dyDescent="0.35">
      <c r="A193">
        <v>680</v>
      </c>
      <c r="B193">
        <v>192</v>
      </c>
      <c r="D193">
        <v>1192</v>
      </c>
      <c r="E193">
        <v>192</v>
      </c>
      <c r="G193">
        <v>1695</v>
      </c>
      <c r="H193">
        <v>692</v>
      </c>
    </row>
    <row r="194" spans="1:8" x14ac:dyDescent="0.35">
      <c r="A194">
        <v>679</v>
      </c>
      <c r="B194">
        <v>193</v>
      </c>
      <c r="D194">
        <v>1193</v>
      </c>
      <c r="E194">
        <v>193</v>
      </c>
      <c r="G194">
        <v>1694</v>
      </c>
      <c r="H194">
        <v>693</v>
      </c>
    </row>
    <row r="195" spans="1:8" x14ac:dyDescent="0.35">
      <c r="A195">
        <v>674</v>
      </c>
      <c r="B195">
        <v>194</v>
      </c>
      <c r="D195">
        <v>1198</v>
      </c>
      <c r="E195">
        <v>194</v>
      </c>
      <c r="G195">
        <v>1693</v>
      </c>
      <c r="H195">
        <v>694</v>
      </c>
    </row>
    <row r="196" spans="1:8" x14ac:dyDescent="0.35">
      <c r="A196">
        <v>675</v>
      </c>
      <c r="B196">
        <v>195</v>
      </c>
      <c r="D196">
        <v>1197</v>
      </c>
      <c r="E196">
        <v>195</v>
      </c>
      <c r="G196">
        <v>1692</v>
      </c>
      <c r="H196">
        <v>695</v>
      </c>
    </row>
    <row r="197" spans="1:8" x14ac:dyDescent="0.35">
      <c r="A197">
        <v>676</v>
      </c>
      <c r="B197">
        <v>196</v>
      </c>
      <c r="D197">
        <v>1196</v>
      </c>
      <c r="E197">
        <v>196</v>
      </c>
      <c r="G197">
        <v>1691</v>
      </c>
      <c r="H197">
        <v>696</v>
      </c>
    </row>
    <row r="198" spans="1:8" x14ac:dyDescent="0.35">
      <c r="A198">
        <v>677</v>
      </c>
      <c r="B198">
        <v>197</v>
      </c>
      <c r="D198">
        <v>1195</v>
      </c>
      <c r="E198">
        <v>197</v>
      </c>
      <c r="G198">
        <v>1690</v>
      </c>
      <c r="H198">
        <v>697</v>
      </c>
    </row>
    <row r="199" spans="1:8" x14ac:dyDescent="0.35">
      <c r="A199">
        <v>678</v>
      </c>
      <c r="B199">
        <v>198</v>
      </c>
      <c r="D199">
        <v>1194</v>
      </c>
      <c r="E199">
        <v>198</v>
      </c>
      <c r="G199">
        <v>1689</v>
      </c>
      <c r="H199">
        <v>698</v>
      </c>
    </row>
    <row r="200" spans="1:8" x14ac:dyDescent="0.35">
      <c r="A200">
        <v>701</v>
      </c>
      <c r="B200">
        <v>199</v>
      </c>
      <c r="D200">
        <v>1200</v>
      </c>
      <c r="E200">
        <v>199</v>
      </c>
      <c r="G200">
        <v>1700</v>
      </c>
      <c r="H200">
        <v>699</v>
      </c>
    </row>
    <row r="201" spans="1:8" x14ac:dyDescent="0.35">
      <c r="A201">
        <v>702</v>
      </c>
      <c r="B201">
        <v>200</v>
      </c>
      <c r="D201">
        <v>1199</v>
      </c>
      <c r="E201">
        <v>200</v>
      </c>
      <c r="G201">
        <v>1699</v>
      </c>
      <c r="H201">
        <v>700</v>
      </c>
    </row>
    <row r="202" spans="1:8" x14ac:dyDescent="0.35">
      <c r="A202">
        <v>699</v>
      </c>
      <c r="B202">
        <v>201</v>
      </c>
      <c r="D202">
        <v>1202</v>
      </c>
      <c r="E202">
        <v>201</v>
      </c>
      <c r="G202">
        <v>1702</v>
      </c>
      <c r="H202">
        <v>701</v>
      </c>
    </row>
    <row r="203" spans="1:8" x14ac:dyDescent="0.35">
      <c r="A203">
        <v>700</v>
      </c>
      <c r="B203">
        <v>202</v>
      </c>
      <c r="D203">
        <v>1201</v>
      </c>
      <c r="E203">
        <v>202</v>
      </c>
      <c r="G203">
        <v>1701</v>
      </c>
      <c r="H203">
        <v>702</v>
      </c>
    </row>
    <row r="204" spans="1:8" x14ac:dyDescent="0.35">
      <c r="A204">
        <v>718</v>
      </c>
      <c r="B204">
        <v>203</v>
      </c>
      <c r="D204">
        <v>1210</v>
      </c>
      <c r="E204">
        <v>203</v>
      </c>
      <c r="G204">
        <v>1707</v>
      </c>
      <c r="H204">
        <v>703</v>
      </c>
    </row>
    <row r="205" spans="1:8" x14ac:dyDescent="0.35">
      <c r="A205">
        <v>719</v>
      </c>
      <c r="B205">
        <v>204</v>
      </c>
      <c r="D205">
        <v>1209</v>
      </c>
      <c r="E205">
        <v>204</v>
      </c>
      <c r="G205">
        <v>1706</v>
      </c>
      <c r="H205">
        <v>704</v>
      </c>
    </row>
    <row r="206" spans="1:8" x14ac:dyDescent="0.35">
      <c r="A206">
        <v>720</v>
      </c>
      <c r="B206">
        <v>205</v>
      </c>
      <c r="D206">
        <v>1208</v>
      </c>
      <c r="E206">
        <v>205</v>
      </c>
      <c r="G206">
        <v>1705</v>
      </c>
      <c r="H206">
        <v>705</v>
      </c>
    </row>
    <row r="207" spans="1:8" x14ac:dyDescent="0.35">
      <c r="A207">
        <v>721</v>
      </c>
      <c r="B207">
        <v>206</v>
      </c>
      <c r="D207">
        <v>1207</v>
      </c>
      <c r="E207">
        <v>206</v>
      </c>
      <c r="G207">
        <v>1704</v>
      </c>
      <c r="H207">
        <v>706</v>
      </c>
    </row>
    <row r="208" spans="1:8" x14ac:dyDescent="0.35">
      <c r="A208">
        <v>722</v>
      </c>
      <c r="B208">
        <v>207</v>
      </c>
      <c r="D208">
        <v>1206</v>
      </c>
      <c r="E208">
        <v>207</v>
      </c>
      <c r="G208">
        <v>1703</v>
      </c>
      <c r="H208">
        <v>707</v>
      </c>
    </row>
    <row r="209" spans="1:8" x14ac:dyDescent="0.35">
      <c r="A209">
        <v>723</v>
      </c>
      <c r="B209">
        <v>208</v>
      </c>
      <c r="D209">
        <v>1205</v>
      </c>
      <c r="E209">
        <v>208</v>
      </c>
      <c r="G209">
        <v>1708</v>
      </c>
      <c r="H209">
        <v>708</v>
      </c>
    </row>
    <row r="210" spans="1:8" x14ac:dyDescent="0.35">
      <c r="A210">
        <v>724</v>
      </c>
      <c r="B210">
        <v>209</v>
      </c>
      <c r="D210">
        <v>1204</v>
      </c>
      <c r="E210">
        <v>209</v>
      </c>
      <c r="G210">
        <v>1709</v>
      </c>
      <c r="H210">
        <v>709</v>
      </c>
    </row>
    <row r="211" spans="1:8" x14ac:dyDescent="0.35">
      <c r="A211">
        <v>725</v>
      </c>
      <c r="B211">
        <v>210</v>
      </c>
      <c r="D211">
        <v>1203</v>
      </c>
      <c r="E211">
        <v>210</v>
      </c>
      <c r="G211">
        <v>1712</v>
      </c>
      <c r="H211">
        <v>710</v>
      </c>
    </row>
    <row r="212" spans="1:8" x14ac:dyDescent="0.35">
      <c r="A212">
        <v>715</v>
      </c>
      <c r="B212">
        <v>211</v>
      </c>
      <c r="D212">
        <v>1213</v>
      </c>
      <c r="E212">
        <v>211</v>
      </c>
      <c r="G212">
        <v>1711</v>
      </c>
      <c r="H212">
        <v>711</v>
      </c>
    </row>
    <row r="213" spans="1:8" x14ac:dyDescent="0.35">
      <c r="A213">
        <v>716</v>
      </c>
      <c r="B213">
        <v>212</v>
      </c>
      <c r="D213">
        <v>1212</v>
      </c>
      <c r="E213">
        <v>212</v>
      </c>
      <c r="G213">
        <v>1710</v>
      </c>
      <c r="H213">
        <v>712</v>
      </c>
    </row>
    <row r="214" spans="1:8" x14ac:dyDescent="0.35">
      <c r="A214">
        <v>717</v>
      </c>
      <c r="B214">
        <v>213</v>
      </c>
      <c r="D214">
        <v>1211</v>
      </c>
      <c r="E214">
        <v>213</v>
      </c>
      <c r="G214">
        <v>1713</v>
      </c>
      <c r="H214">
        <v>713</v>
      </c>
    </row>
    <row r="215" spans="1:8" x14ac:dyDescent="0.35">
      <c r="A215">
        <v>714</v>
      </c>
      <c r="B215">
        <v>214</v>
      </c>
      <c r="D215">
        <v>1214</v>
      </c>
      <c r="E215">
        <v>214</v>
      </c>
      <c r="G215">
        <v>1714</v>
      </c>
      <c r="H215">
        <v>714</v>
      </c>
    </row>
    <row r="216" spans="1:8" x14ac:dyDescent="0.35">
      <c r="A216">
        <v>713</v>
      </c>
      <c r="B216">
        <v>215</v>
      </c>
      <c r="D216">
        <v>1215</v>
      </c>
      <c r="E216">
        <v>215</v>
      </c>
      <c r="G216">
        <v>1717</v>
      </c>
      <c r="H216">
        <v>715</v>
      </c>
    </row>
    <row r="217" spans="1:8" x14ac:dyDescent="0.35">
      <c r="A217">
        <v>710</v>
      </c>
      <c r="B217">
        <v>216</v>
      </c>
      <c r="D217">
        <v>1218</v>
      </c>
      <c r="E217">
        <v>216</v>
      </c>
      <c r="G217">
        <v>1716</v>
      </c>
      <c r="H217">
        <v>716</v>
      </c>
    </row>
    <row r="218" spans="1:8" x14ac:dyDescent="0.35">
      <c r="A218">
        <v>711</v>
      </c>
      <c r="B218">
        <v>217</v>
      </c>
      <c r="D218">
        <v>1217</v>
      </c>
      <c r="E218">
        <v>217</v>
      </c>
      <c r="G218">
        <v>1715</v>
      </c>
      <c r="H218">
        <v>717</v>
      </c>
    </row>
    <row r="219" spans="1:8" x14ac:dyDescent="0.35">
      <c r="A219">
        <v>712</v>
      </c>
      <c r="B219">
        <v>218</v>
      </c>
      <c r="D219">
        <v>1216</v>
      </c>
      <c r="E219">
        <v>218</v>
      </c>
      <c r="G219">
        <v>1725</v>
      </c>
      <c r="H219">
        <v>718</v>
      </c>
    </row>
    <row r="220" spans="1:8" x14ac:dyDescent="0.35">
      <c r="A220">
        <v>709</v>
      </c>
      <c r="B220">
        <v>219</v>
      </c>
      <c r="D220">
        <v>1219</v>
      </c>
      <c r="E220">
        <v>219</v>
      </c>
      <c r="G220">
        <v>1724</v>
      </c>
      <c r="H220">
        <v>719</v>
      </c>
    </row>
    <row r="221" spans="1:8" x14ac:dyDescent="0.35">
      <c r="A221">
        <v>708</v>
      </c>
      <c r="B221">
        <v>220</v>
      </c>
      <c r="D221">
        <v>1220</v>
      </c>
      <c r="E221">
        <v>220</v>
      </c>
      <c r="G221">
        <v>1723</v>
      </c>
      <c r="H221">
        <v>720</v>
      </c>
    </row>
    <row r="222" spans="1:8" x14ac:dyDescent="0.35">
      <c r="A222">
        <v>703</v>
      </c>
      <c r="B222">
        <v>221</v>
      </c>
      <c r="D222">
        <v>1225</v>
      </c>
      <c r="E222">
        <v>221</v>
      </c>
      <c r="G222">
        <v>1722</v>
      </c>
      <c r="H222">
        <v>721</v>
      </c>
    </row>
    <row r="223" spans="1:8" x14ac:dyDescent="0.35">
      <c r="A223">
        <v>704</v>
      </c>
      <c r="B223">
        <v>222</v>
      </c>
      <c r="D223">
        <v>1224</v>
      </c>
      <c r="E223">
        <v>222</v>
      </c>
      <c r="G223">
        <v>1721</v>
      </c>
      <c r="H223">
        <v>722</v>
      </c>
    </row>
    <row r="224" spans="1:8" x14ac:dyDescent="0.35">
      <c r="A224">
        <v>705</v>
      </c>
      <c r="B224">
        <v>223</v>
      </c>
      <c r="D224">
        <v>1223</v>
      </c>
      <c r="E224">
        <v>223</v>
      </c>
      <c r="G224">
        <v>1720</v>
      </c>
      <c r="H224">
        <v>723</v>
      </c>
    </row>
    <row r="225" spans="1:8" x14ac:dyDescent="0.35">
      <c r="A225">
        <v>706</v>
      </c>
      <c r="B225">
        <v>224</v>
      </c>
      <c r="D225">
        <v>1222</v>
      </c>
      <c r="E225">
        <v>224</v>
      </c>
      <c r="G225">
        <v>1719</v>
      </c>
      <c r="H225">
        <v>724</v>
      </c>
    </row>
    <row r="226" spans="1:8" x14ac:dyDescent="0.35">
      <c r="A226">
        <v>707</v>
      </c>
      <c r="B226">
        <v>225</v>
      </c>
      <c r="D226">
        <v>1221</v>
      </c>
      <c r="E226">
        <v>225</v>
      </c>
      <c r="G226">
        <v>1718</v>
      </c>
      <c r="H226">
        <v>725</v>
      </c>
    </row>
    <row r="227" spans="1:8" x14ac:dyDescent="0.35">
      <c r="A227">
        <v>750</v>
      </c>
      <c r="B227">
        <v>226</v>
      </c>
      <c r="D227">
        <v>1232</v>
      </c>
      <c r="E227">
        <v>226</v>
      </c>
      <c r="G227">
        <v>1731</v>
      </c>
      <c r="H227">
        <v>726</v>
      </c>
    </row>
    <row r="228" spans="1:8" x14ac:dyDescent="0.35">
      <c r="A228">
        <v>751</v>
      </c>
      <c r="B228">
        <v>227</v>
      </c>
      <c r="D228">
        <v>1231</v>
      </c>
      <c r="E228">
        <v>227</v>
      </c>
      <c r="G228">
        <v>1730</v>
      </c>
      <c r="H228">
        <v>727</v>
      </c>
    </row>
    <row r="229" spans="1:8" x14ac:dyDescent="0.35">
      <c r="A229">
        <v>752</v>
      </c>
      <c r="B229">
        <v>228</v>
      </c>
      <c r="D229">
        <v>1230</v>
      </c>
      <c r="E229">
        <v>228</v>
      </c>
      <c r="G229">
        <v>1729</v>
      </c>
      <c r="H229">
        <v>728</v>
      </c>
    </row>
    <row r="230" spans="1:8" x14ac:dyDescent="0.35">
      <c r="A230">
        <v>753</v>
      </c>
      <c r="B230">
        <v>229</v>
      </c>
      <c r="D230">
        <v>1229</v>
      </c>
      <c r="E230">
        <v>229</v>
      </c>
      <c r="G230">
        <v>1728</v>
      </c>
      <c r="H230">
        <v>729</v>
      </c>
    </row>
    <row r="231" spans="1:8" x14ac:dyDescent="0.35">
      <c r="A231">
        <v>754</v>
      </c>
      <c r="B231">
        <v>230</v>
      </c>
      <c r="D231">
        <v>1228</v>
      </c>
      <c r="E231">
        <v>230</v>
      </c>
      <c r="G231">
        <v>1727</v>
      </c>
      <c r="H231">
        <v>730</v>
      </c>
    </row>
    <row r="232" spans="1:8" x14ac:dyDescent="0.35">
      <c r="A232">
        <v>755</v>
      </c>
      <c r="B232">
        <v>231</v>
      </c>
      <c r="D232">
        <v>1227</v>
      </c>
      <c r="E232">
        <v>231</v>
      </c>
      <c r="G232">
        <v>1726</v>
      </c>
      <c r="H232">
        <v>731</v>
      </c>
    </row>
    <row r="233" spans="1:8" x14ac:dyDescent="0.35">
      <c r="A233">
        <v>756</v>
      </c>
      <c r="B233">
        <v>232</v>
      </c>
      <c r="D233">
        <v>1226</v>
      </c>
      <c r="E233">
        <v>232</v>
      </c>
      <c r="G233">
        <v>1732</v>
      </c>
      <c r="H233">
        <v>732</v>
      </c>
    </row>
    <row r="234" spans="1:8" x14ac:dyDescent="0.35">
      <c r="A234">
        <v>744</v>
      </c>
      <c r="B234">
        <v>233</v>
      </c>
      <c r="D234">
        <v>1238</v>
      </c>
      <c r="E234">
        <v>233</v>
      </c>
      <c r="G234">
        <v>1733</v>
      </c>
      <c r="H234">
        <v>733</v>
      </c>
    </row>
    <row r="235" spans="1:8" x14ac:dyDescent="0.35">
      <c r="A235">
        <v>745</v>
      </c>
      <c r="B235">
        <v>234</v>
      </c>
      <c r="D235">
        <v>1237</v>
      </c>
      <c r="E235">
        <v>234</v>
      </c>
      <c r="G235">
        <v>1734</v>
      </c>
      <c r="H235">
        <v>734</v>
      </c>
    </row>
    <row r="236" spans="1:8" x14ac:dyDescent="0.35">
      <c r="A236">
        <v>746</v>
      </c>
      <c r="B236">
        <v>235</v>
      </c>
      <c r="D236">
        <v>1236</v>
      </c>
      <c r="E236">
        <v>235</v>
      </c>
      <c r="G236">
        <v>1740</v>
      </c>
      <c r="H236">
        <v>735</v>
      </c>
    </row>
    <row r="237" spans="1:8" x14ac:dyDescent="0.35">
      <c r="A237">
        <v>747</v>
      </c>
      <c r="B237">
        <v>236</v>
      </c>
      <c r="D237">
        <v>1235</v>
      </c>
      <c r="E237">
        <v>236</v>
      </c>
      <c r="G237">
        <v>1739</v>
      </c>
      <c r="H237">
        <v>736</v>
      </c>
    </row>
    <row r="238" spans="1:8" x14ac:dyDescent="0.35">
      <c r="A238">
        <v>748</v>
      </c>
      <c r="B238">
        <v>237</v>
      </c>
      <c r="D238">
        <v>1234</v>
      </c>
      <c r="E238">
        <v>237</v>
      </c>
      <c r="G238">
        <v>1738</v>
      </c>
      <c r="H238">
        <v>737</v>
      </c>
    </row>
    <row r="239" spans="1:8" x14ac:dyDescent="0.35">
      <c r="A239">
        <v>749</v>
      </c>
      <c r="B239">
        <v>238</v>
      </c>
      <c r="D239">
        <v>1233</v>
      </c>
      <c r="E239">
        <v>238</v>
      </c>
      <c r="G239">
        <v>1737</v>
      </c>
      <c r="H239">
        <v>738</v>
      </c>
    </row>
    <row r="240" spans="1:8" x14ac:dyDescent="0.35">
      <c r="A240">
        <v>743</v>
      </c>
      <c r="B240">
        <v>239</v>
      </c>
      <c r="D240">
        <v>1239</v>
      </c>
      <c r="E240">
        <v>239</v>
      </c>
      <c r="G240">
        <v>1736</v>
      </c>
      <c r="H240">
        <v>739</v>
      </c>
    </row>
    <row r="241" spans="1:8" x14ac:dyDescent="0.35">
      <c r="A241">
        <v>742</v>
      </c>
      <c r="B241">
        <v>240</v>
      </c>
      <c r="D241">
        <v>1240</v>
      </c>
      <c r="E241">
        <v>240</v>
      </c>
      <c r="G241">
        <v>1735</v>
      </c>
      <c r="H241">
        <v>740</v>
      </c>
    </row>
    <row r="242" spans="1:8" x14ac:dyDescent="0.35">
      <c r="A242">
        <v>741</v>
      </c>
      <c r="B242">
        <v>241</v>
      </c>
      <c r="D242">
        <v>1241</v>
      </c>
      <c r="E242">
        <v>241</v>
      </c>
      <c r="G242">
        <v>1741</v>
      </c>
      <c r="H242">
        <v>741</v>
      </c>
    </row>
    <row r="243" spans="1:8" x14ac:dyDescent="0.35">
      <c r="A243">
        <v>735</v>
      </c>
      <c r="B243">
        <v>242</v>
      </c>
      <c r="D243">
        <v>1247</v>
      </c>
      <c r="E243">
        <v>242</v>
      </c>
      <c r="G243">
        <v>1742</v>
      </c>
      <c r="H243">
        <v>742</v>
      </c>
    </row>
    <row r="244" spans="1:8" x14ac:dyDescent="0.35">
      <c r="A244">
        <v>736</v>
      </c>
      <c r="B244">
        <v>243</v>
      </c>
      <c r="D244">
        <v>1246</v>
      </c>
      <c r="E244">
        <v>243</v>
      </c>
      <c r="G244">
        <v>1743</v>
      </c>
      <c r="H244">
        <v>743</v>
      </c>
    </row>
    <row r="245" spans="1:8" x14ac:dyDescent="0.35">
      <c r="A245">
        <v>737</v>
      </c>
      <c r="B245">
        <v>244</v>
      </c>
      <c r="D245">
        <v>1245</v>
      </c>
      <c r="E245">
        <v>244</v>
      </c>
      <c r="G245">
        <v>1749</v>
      </c>
      <c r="H245">
        <v>744</v>
      </c>
    </row>
    <row r="246" spans="1:8" x14ac:dyDescent="0.35">
      <c r="A246">
        <v>738</v>
      </c>
      <c r="B246">
        <v>245</v>
      </c>
      <c r="D246">
        <v>1244</v>
      </c>
      <c r="E246">
        <v>245</v>
      </c>
      <c r="G246">
        <v>1748</v>
      </c>
      <c r="H246">
        <v>745</v>
      </c>
    </row>
    <row r="247" spans="1:8" x14ac:dyDescent="0.35">
      <c r="A247">
        <v>739</v>
      </c>
      <c r="B247">
        <v>246</v>
      </c>
      <c r="D247">
        <v>1243</v>
      </c>
      <c r="E247">
        <v>246</v>
      </c>
      <c r="G247">
        <v>1747</v>
      </c>
      <c r="H247">
        <v>746</v>
      </c>
    </row>
    <row r="248" spans="1:8" x14ac:dyDescent="0.35">
      <c r="A248">
        <v>740</v>
      </c>
      <c r="B248">
        <v>247</v>
      </c>
      <c r="D248">
        <v>1242</v>
      </c>
      <c r="E248">
        <v>247</v>
      </c>
      <c r="G248">
        <v>1746</v>
      </c>
      <c r="H248">
        <v>747</v>
      </c>
    </row>
    <row r="249" spans="1:8" x14ac:dyDescent="0.35">
      <c r="A249">
        <v>734</v>
      </c>
      <c r="B249">
        <v>248</v>
      </c>
      <c r="D249">
        <v>1248</v>
      </c>
      <c r="E249">
        <v>248</v>
      </c>
      <c r="G249">
        <v>1745</v>
      </c>
      <c r="H249">
        <v>748</v>
      </c>
    </row>
    <row r="250" spans="1:8" x14ac:dyDescent="0.35">
      <c r="A250">
        <v>733</v>
      </c>
      <c r="B250">
        <v>249</v>
      </c>
      <c r="D250">
        <v>1249</v>
      </c>
      <c r="E250">
        <v>249</v>
      </c>
      <c r="G250">
        <v>1744</v>
      </c>
      <c r="H250">
        <v>749</v>
      </c>
    </row>
    <row r="251" spans="1:8" x14ac:dyDescent="0.35">
      <c r="A251">
        <v>732</v>
      </c>
      <c r="B251">
        <v>250</v>
      </c>
      <c r="D251">
        <v>1250</v>
      </c>
      <c r="E251">
        <v>250</v>
      </c>
      <c r="G251">
        <v>1756</v>
      </c>
      <c r="H251">
        <v>750</v>
      </c>
    </row>
    <row r="252" spans="1:8" x14ac:dyDescent="0.35">
      <c r="A252">
        <v>726</v>
      </c>
      <c r="B252">
        <v>251</v>
      </c>
      <c r="D252">
        <v>1256</v>
      </c>
      <c r="E252">
        <v>251</v>
      </c>
      <c r="G252">
        <v>1755</v>
      </c>
      <c r="H252">
        <v>751</v>
      </c>
    </row>
    <row r="253" spans="1:8" x14ac:dyDescent="0.35">
      <c r="A253">
        <v>727</v>
      </c>
      <c r="B253">
        <v>252</v>
      </c>
      <c r="D253">
        <v>1255</v>
      </c>
      <c r="E253">
        <v>252</v>
      </c>
      <c r="G253">
        <v>1754</v>
      </c>
      <c r="H253">
        <v>752</v>
      </c>
    </row>
    <row r="254" spans="1:8" x14ac:dyDescent="0.35">
      <c r="A254">
        <v>728</v>
      </c>
      <c r="B254">
        <v>253</v>
      </c>
      <c r="D254">
        <v>1254</v>
      </c>
      <c r="E254">
        <v>253</v>
      </c>
      <c r="G254">
        <v>1753</v>
      </c>
      <c r="H254">
        <v>753</v>
      </c>
    </row>
    <row r="255" spans="1:8" x14ac:dyDescent="0.35">
      <c r="A255">
        <v>729</v>
      </c>
      <c r="B255">
        <v>254</v>
      </c>
      <c r="D255">
        <v>1253</v>
      </c>
      <c r="E255">
        <v>254</v>
      </c>
      <c r="G255">
        <v>1752</v>
      </c>
      <c r="H255">
        <v>754</v>
      </c>
    </row>
    <row r="256" spans="1:8" x14ac:dyDescent="0.35">
      <c r="A256">
        <v>730</v>
      </c>
      <c r="B256">
        <v>255</v>
      </c>
      <c r="D256">
        <v>1252</v>
      </c>
      <c r="E256">
        <v>255</v>
      </c>
      <c r="G256">
        <v>1751</v>
      </c>
      <c r="H256">
        <v>755</v>
      </c>
    </row>
    <row r="257" spans="1:8" x14ac:dyDescent="0.35">
      <c r="A257">
        <v>731</v>
      </c>
      <c r="B257">
        <v>256</v>
      </c>
      <c r="D257">
        <v>1251</v>
      </c>
      <c r="E257">
        <v>256</v>
      </c>
      <c r="G257">
        <v>1750</v>
      </c>
      <c r="H257">
        <v>756</v>
      </c>
    </row>
    <row r="258" spans="1:8" x14ac:dyDescent="0.35">
      <c r="A258">
        <v>771</v>
      </c>
      <c r="B258">
        <v>257</v>
      </c>
      <c r="D258">
        <v>1262</v>
      </c>
      <c r="E258">
        <v>257</v>
      </c>
      <c r="G258">
        <v>1757</v>
      </c>
      <c r="H258">
        <v>757</v>
      </c>
    </row>
    <row r="259" spans="1:8" x14ac:dyDescent="0.35">
      <c r="A259">
        <v>772</v>
      </c>
      <c r="B259">
        <v>258</v>
      </c>
      <c r="D259">
        <v>1261</v>
      </c>
      <c r="E259">
        <v>258</v>
      </c>
      <c r="G259">
        <v>1760</v>
      </c>
      <c r="H259">
        <v>758</v>
      </c>
    </row>
    <row r="260" spans="1:8" x14ac:dyDescent="0.35">
      <c r="A260">
        <v>773</v>
      </c>
      <c r="B260">
        <v>259</v>
      </c>
      <c r="D260">
        <v>1260</v>
      </c>
      <c r="E260">
        <v>259</v>
      </c>
      <c r="G260">
        <v>1759</v>
      </c>
      <c r="H260">
        <v>759</v>
      </c>
    </row>
    <row r="261" spans="1:8" x14ac:dyDescent="0.35">
      <c r="A261">
        <v>774</v>
      </c>
      <c r="B261">
        <v>260</v>
      </c>
      <c r="D261">
        <v>1259</v>
      </c>
      <c r="E261">
        <v>260</v>
      </c>
      <c r="G261">
        <v>1758</v>
      </c>
      <c r="H261">
        <v>760</v>
      </c>
    </row>
    <row r="262" spans="1:8" x14ac:dyDescent="0.35">
      <c r="A262">
        <v>775</v>
      </c>
      <c r="B262">
        <v>261</v>
      </c>
      <c r="D262">
        <v>1258</v>
      </c>
      <c r="E262">
        <v>261</v>
      </c>
      <c r="G262">
        <v>1761</v>
      </c>
      <c r="H262">
        <v>761</v>
      </c>
    </row>
    <row r="263" spans="1:8" x14ac:dyDescent="0.35">
      <c r="A263">
        <v>776</v>
      </c>
      <c r="B263">
        <v>262</v>
      </c>
      <c r="D263">
        <v>1257</v>
      </c>
      <c r="E263">
        <v>262</v>
      </c>
      <c r="G263">
        <v>1762</v>
      </c>
      <c r="H263">
        <v>762</v>
      </c>
    </row>
    <row r="264" spans="1:8" x14ac:dyDescent="0.35">
      <c r="A264">
        <v>768</v>
      </c>
      <c r="B264">
        <v>263</v>
      </c>
      <c r="D264">
        <v>1265</v>
      </c>
      <c r="E264">
        <v>263</v>
      </c>
      <c r="G264">
        <v>1765</v>
      </c>
      <c r="H264">
        <v>763</v>
      </c>
    </row>
    <row r="265" spans="1:8" x14ac:dyDescent="0.35">
      <c r="A265">
        <v>769</v>
      </c>
      <c r="B265">
        <v>264</v>
      </c>
      <c r="D265">
        <v>1264</v>
      </c>
      <c r="E265">
        <v>264</v>
      </c>
      <c r="G265">
        <v>1764</v>
      </c>
      <c r="H265">
        <v>764</v>
      </c>
    </row>
    <row r="266" spans="1:8" x14ac:dyDescent="0.35">
      <c r="A266">
        <v>770</v>
      </c>
      <c r="B266">
        <v>265</v>
      </c>
      <c r="D266">
        <v>1263</v>
      </c>
      <c r="E266">
        <v>265</v>
      </c>
      <c r="G266">
        <v>1763</v>
      </c>
      <c r="H266">
        <v>765</v>
      </c>
    </row>
    <row r="267" spans="1:8" x14ac:dyDescent="0.35">
      <c r="A267">
        <v>767</v>
      </c>
      <c r="B267">
        <v>266</v>
      </c>
      <c r="D267">
        <v>1266</v>
      </c>
      <c r="E267">
        <v>266</v>
      </c>
      <c r="G267">
        <v>1766</v>
      </c>
      <c r="H267">
        <v>766</v>
      </c>
    </row>
    <row r="268" spans="1:8" x14ac:dyDescent="0.35">
      <c r="A268">
        <v>766</v>
      </c>
      <c r="B268">
        <v>267</v>
      </c>
      <c r="D268">
        <v>1267</v>
      </c>
      <c r="E268">
        <v>267</v>
      </c>
      <c r="G268">
        <v>1767</v>
      </c>
      <c r="H268">
        <v>767</v>
      </c>
    </row>
    <row r="269" spans="1:8" x14ac:dyDescent="0.35">
      <c r="A269">
        <v>763</v>
      </c>
      <c r="B269">
        <v>268</v>
      </c>
      <c r="D269">
        <v>1270</v>
      </c>
      <c r="E269">
        <v>268</v>
      </c>
      <c r="G269">
        <v>1770</v>
      </c>
      <c r="H269">
        <v>768</v>
      </c>
    </row>
    <row r="270" spans="1:8" x14ac:dyDescent="0.35">
      <c r="A270">
        <v>764</v>
      </c>
      <c r="B270">
        <v>269</v>
      </c>
      <c r="D270">
        <v>1269</v>
      </c>
      <c r="E270">
        <v>269</v>
      </c>
      <c r="G270">
        <v>1769</v>
      </c>
      <c r="H270">
        <v>769</v>
      </c>
    </row>
    <row r="271" spans="1:8" x14ac:dyDescent="0.35">
      <c r="A271">
        <v>765</v>
      </c>
      <c r="B271">
        <v>270</v>
      </c>
      <c r="D271">
        <v>1268</v>
      </c>
      <c r="E271">
        <v>270</v>
      </c>
      <c r="G271">
        <v>1768</v>
      </c>
      <c r="H271">
        <v>770</v>
      </c>
    </row>
    <row r="272" spans="1:8" x14ac:dyDescent="0.35">
      <c r="A272">
        <v>762</v>
      </c>
      <c r="B272">
        <v>271</v>
      </c>
      <c r="D272">
        <v>1271</v>
      </c>
      <c r="E272">
        <v>271</v>
      </c>
      <c r="G272">
        <v>1776</v>
      </c>
      <c r="H272">
        <v>771</v>
      </c>
    </row>
    <row r="273" spans="1:8" x14ac:dyDescent="0.35">
      <c r="A273">
        <v>761</v>
      </c>
      <c r="B273">
        <v>272</v>
      </c>
      <c r="D273">
        <v>1272</v>
      </c>
      <c r="E273">
        <v>272</v>
      </c>
      <c r="G273">
        <v>1775</v>
      </c>
      <c r="H273">
        <v>772</v>
      </c>
    </row>
    <row r="274" spans="1:8" x14ac:dyDescent="0.35">
      <c r="A274">
        <v>758</v>
      </c>
      <c r="B274">
        <v>273</v>
      </c>
      <c r="D274">
        <v>1275</v>
      </c>
      <c r="E274">
        <v>273</v>
      </c>
      <c r="G274">
        <v>1774</v>
      </c>
      <c r="H274">
        <v>773</v>
      </c>
    </row>
    <row r="275" spans="1:8" x14ac:dyDescent="0.35">
      <c r="A275">
        <v>759</v>
      </c>
      <c r="B275">
        <v>274</v>
      </c>
      <c r="D275">
        <v>1274</v>
      </c>
      <c r="E275">
        <v>274</v>
      </c>
      <c r="G275">
        <v>1773</v>
      </c>
      <c r="H275">
        <v>774</v>
      </c>
    </row>
    <row r="276" spans="1:8" x14ac:dyDescent="0.35">
      <c r="A276">
        <v>760</v>
      </c>
      <c r="B276">
        <v>275</v>
      </c>
      <c r="D276">
        <v>1273</v>
      </c>
      <c r="E276">
        <v>275</v>
      </c>
      <c r="G276">
        <v>1772</v>
      </c>
      <c r="H276">
        <v>775</v>
      </c>
    </row>
    <row r="277" spans="1:8" x14ac:dyDescent="0.35">
      <c r="A277">
        <v>790</v>
      </c>
      <c r="B277">
        <v>276</v>
      </c>
      <c r="D277">
        <v>1281</v>
      </c>
      <c r="E277">
        <v>276</v>
      </c>
      <c r="G277">
        <v>1771</v>
      </c>
      <c r="H277">
        <v>776</v>
      </c>
    </row>
    <row r="278" spans="1:8" x14ac:dyDescent="0.35">
      <c r="A278">
        <v>791</v>
      </c>
      <c r="B278">
        <v>277</v>
      </c>
      <c r="D278">
        <v>1280</v>
      </c>
      <c r="E278">
        <v>277</v>
      </c>
      <c r="G278">
        <v>1779</v>
      </c>
      <c r="H278">
        <v>777</v>
      </c>
    </row>
    <row r="279" spans="1:8" x14ac:dyDescent="0.35">
      <c r="A279">
        <v>792</v>
      </c>
      <c r="B279">
        <v>278</v>
      </c>
      <c r="D279">
        <v>1279</v>
      </c>
      <c r="E279">
        <v>278</v>
      </c>
      <c r="G279">
        <v>1778</v>
      </c>
      <c r="H279">
        <v>778</v>
      </c>
    </row>
    <row r="280" spans="1:8" x14ac:dyDescent="0.35">
      <c r="A280">
        <v>793</v>
      </c>
      <c r="B280">
        <v>279</v>
      </c>
      <c r="D280">
        <v>1278</v>
      </c>
      <c r="E280">
        <v>279</v>
      </c>
      <c r="G280">
        <v>1777</v>
      </c>
      <c r="H280">
        <v>779</v>
      </c>
    </row>
    <row r="281" spans="1:8" x14ac:dyDescent="0.35">
      <c r="A281">
        <v>794</v>
      </c>
      <c r="B281">
        <v>280</v>
      </c>
      <c r="D281">
        <v>1277</v>
      </c>
      <c r="E281">
        <v>280</v>
      </c>
      <c r="G281">
        <v>1780</v>
      </c>
      <c r="H281">
        <v>780</v>
      </c>
    </row>
    <row r="282" spans="1:8" x14ac:dyDescent="0.35">
      <c r="A282">
        <v>795</v>
      </c>
      <c r="B282">
        <v>281</v>
      </c>
      <c r="D282">
        <v>1276</v>
      </c>
      <c r="E282">
        <v>281</v>
      </c>
      <c r="G282">
        <v>1781</v>
      </c>
      <c r="H282">
        <v>781</v>
      </c>
    </row>
    <row r="283" spans="1:8" x14ac:dyDescent="0.35">
      <c r="A283">
        <v>787</v>
      </c>
      <c r="B283">
        <v>282</v>
      </c>
      <c r="D283">
        <v>1284</v>
      </c>
      <c r="E283">
        <v>282</v>
      </c>
      <c r="G283">
        <v>1784</v>
      </c>
      <c r="H283">
        <v>782</v>
      </c>
    </row>
    <row r="284" spans="1:8" x14ac:dyDescent="0.35">
      <c r="A284">
        <v>788</v>
      </c>
      <c r="B284">
        <v>283</v>
      </c>
      <c r="D284">
        <v>1283</v>
      </c>
      <c r="E284">
        <v>283</v>
      </c>
      <c r="G284">
        <v>1783</v>
      </c>
      <c r="H284">
        <v>783</v>
      </c>
    </row>
    <row r="285" spans="1:8" x14ac:dyDescent="0.35">
      <c r="A285">
        <v>789</v>
      </c>
      <c r="B285">
        <v>284</v>
      </c>
      <c r="D285">
        <v>1282</v>
      </c>
      <c r="E285">
        <v>284</v>
      </c>
      <c r="G285">
        <v>1782</v>
      </c>
      <c r="H285">
        <v>784</v>
      </c>
    </row>
    <row r="286" spans="1:8" x14ac:dyDescent="0.35">
      <c r="A286">
        <v>786</v>
      </c>
      <c r="B286">
        <v>285</v>
      </c>
      <c r="D286">
        <v>1285</v>
      </c>
      <c r="E286">
        <v>285</v>
      </c>
      <c r="G286">
        <v>1785</v>
      </c>
      <c r="H286">
        <v>785</v>
      </c>
    </row>
    <row r="287" spans="1:8" x14ac:dyDescent="0.35">
      <c r="A287">
        <v>785</v>
      </c>
      <c r="B287">
        <v>286</v>
      </c>
      <c r="D287">
        <v>1286</v>
      </c>
      <c r="E287">
        <v>286</v>
      </c>
      <c r="G287">
        <v>1786</v>
      </c>
      <c r="H287">
        <v>786</v>
      </c>
    </row>
    <row r="288" spans="1:8" x14ac:dyDescent="0.35">
      <c r="A288">
        <v>782</v>
      </c>
      <c r="B288">
        <v>287</v>
      </c>
      <c r="D288">
        <v>1289</v>
      </c>
      <c r="E288">
        <v>287</v>
      </c>
      <c r="G288">
        <v>1789</v>
      </c>
      <c r="H288">
        <v>787</v>
      </c>
    </row>
    <row r="289" spans="1:8" x14ac:dyDescent="0.35">
      <c r="A289">
        <v>783</v>
      </c>
      <c r="B289">
        <v>288</v>
      </c>
      <c r="D289">
        <v>1288</v>
      </c>
      <c r="E289">
        <v>288</v>
      </c>
      <c r="G289">
        <v>1788</v>
      </c>
      <c r="H289">
        <v>788</v>
      </c>
    </row>
    <row r="290" spans="1:8" x14ac:dyDescent="0.35">
      <c r="A290">
        <v>784</v>
      </c>
      <c r="B290">
        <v>289</v>
      </c>
      <c r="D290">
        <v>1287</v>
      </c>
      <c r="E290">
        <v>289</v>
      </c>
      <c r="G290">
        <v>1787</v>
      </c>
      <c r="H290">
        <v>789</v>
      </c>
    </row>
    <row r="291" spans="1:8" x14ac:dyDescent="0.35">
      <c r="A291">
        <v>781</v>
      </c>
      <c r="B291">
        <v>290</v>
      </c>
      <c r="D291">
        <v>1290</v>
      </c>
      <c r="E291">
        <v>290</v>
      </c>
      <c r="G291">
        <v>1795</v>
      </c>
      <c r="H291">
        <v>790</v>
      </c>
    </row>
    <row r="292" spans="1:8" x14ac:dyDescent="0.35">
      <c r="A292">
        <v>780</v>
      </c>
      <c r="B292">
        <v>291</v>
      </c>
      <c r="D292">
        <v>1291</v>
      </c>
      <c r="E292">
        <v>291</v>
      </c>
      <c r="G292">
        <v>1794</v>
      </c>
      <c r="H292">
        <v>791</v>
      </c>
    </row>
    <row r="293" spans="1:8" x14ac:dyDescent="0.35">
      <c r="A293">
        <v>777</v>
      </c>
      <c r="B293">
        <v>292</v>
      </c>
      <c r="D293">
        <v>1294</v>
      </c>
      <c r="E293">
        <v>292</v>
      </c>
      <c r="G293">
        <v>1793</v>
      </c>
      <c r="H293">
        <v>792</v>
      </c>
    </row>
    <row r="294" spans="1:8" x14ac:dyDescent="0.35">
      <c r="A294">
        <v>778</v>
      </c>
      <c r="B294">
        <v>293</v>
      </c>
      <c r="D294">
        <v>1293</v>
      </c>
      <c r="E294">
        <v>293</v>
      </c>
      <c r="G294">
        <v>1792</v>
      </c>
      <c r="H294">
        <v>793</v>
      </c>
    </row>
    <row r="295" spans="1:8" x14ac:dyDescent="0.35">
      <c r="A295">
        <v>779</v>
      </c>
      <c r="B295">
        <v>294</v>
      </c>
      <c r="D295">
        <v>1292</v>
      </c>
      <c r="E295">
        <v>294</v>
      </c>
      <c r="G295">
        <v>1791</v>
      </c>
      <c r="H295">
        <v>794</v>
      </c>
    </row>
    <row r="296" spans="1:8" x14ac:dyDescent="0.35">
      <c r="A296">
        <v>802</v>
      </c>
      <c r="B296">
        <v>295</v>
      </c>
      <c r="D296">
        <v>1299</v>
      </c>
      <c r="E296">
        <v>295</v>
      </c>
      <c r="G296">
        <v>1790</v>
      </c>
      <c r="H296">
        <v>795</v>
      </c>
    </row>
    <row r="297" spans="1:8" x14ac:dyDescent="0.35">
      <c r="A297">
        <v>803</v>
      </c>
      <c r="B297">
        <v>296</v>
      </c>
      <c r="D297">
        <v>1298</v>
      </c>
      <c r="E297">
        <v>296</v>
      </c>
      <c r="G297">
        <v>1796</v>
      </c>
      <c r="H297">
        <v>796</v>
      </c>
    </row>
    <row r="298" spans="1:8" x14ac:dyDescent="0.35">
      <c r="A298">
        <v>804</v>
      </c>
      <c r="B298">
        <v>297</v>
      </c>
      <c r="D298">
        <v>1297</v>
      </c>
      <c r="E298">
        <v>297</v>
      </c>
      <c r="G298">
        <v>1797</v>
      </c>
      <c r="H298">
        <v>797</v>
      </c>
    </row>
    <row r="299" spans="1:8" x14ac:dyDescent="0.35">
      <c r="A299">
        <v>805</v>
      </c>
      <c r="B299">
        <v>298</v>
      </c>
      <c r="D299">
        <v>1296</v>
      </c>
      <c r="E299">
        <v>298</v>
      </c>
      <c r="G299">
        <v>1798</v>
      </c>
      <c r="H299">
        <v>798</v>
      </c>
    </row>
    <row r="300" spans="1:8" x14ac:dyDescent="0.35">
      <c r="A300">
        <v>806</v>
      </c>
      <c r="B300">
        <v>299</v>
      </c>
      <c r="D300">
        <v>1295</v>
      </c>
      <c r="E300">
        <v>299</v>
      </c>
      <c r="G300">
        <v>1799</v>
      </c>
      <c r="H300">
        <v>799</v>
      </c>
    </row>
    <row r="301" spans="1:8" x14ac:dyDescent="0.35">
      <c r="A301">
        <v>800</v>
      </c>
      <c r="B301">
        <v>300</v>
      </c>
      <c r="D301">
        <v>1301</v>
      </c>
      <c r="E301">
        <v>300</v>
      </c>
      <c r="G301">
        <v>1801</v>
      </c>
      <c r="H301">
        <v>800</v>
      </c>
    </row>
    <row r="302" spans="1:8" x14ac:dyDescent="0.35">
      <c r="A302">
        <v>801</v>
      </c>
      <c r="B302">
        <v>301</v>
      </c>
      <c r="D302">
        <v>1300</v>
      </c>
      <c r="E302">
        <v>301</v>
      </c>
      <c r="G302">
        <v>1800</v>
      </c>
      <c r="H302">
        <v>801</v>
      </c>
    </row>
    <row r="303" spans="1:8" x14ac:dyDescent="0.35">
      <c r="A303">
        <v>799</v>
      </c>
      <c r="B303">
        <v>302</v>
      </c>
      <c r="D303">
        <v>1302</v>
      </c>
      <c r="E303">
        <v>302</v>
      </c>
      <c r="G303">
        <v>1806</v>
      </c>
      <c r="H303">
        <v>802</v>
      </c>
    </row>
    <row r="304" spans="1:8" x14ac:dyDescent="0.35">
      <c r="A304">
        <v>798</v>
      </c>
      <c r="B304">
        <v>303</v>
      </c>
      <c r="D304">
        <v>1303</v>
      </c>
      <c r="E304">
        <v>303</v>
      </c>
      <c r="G304">
        <v>1805</v>
      </c>
      <c r="H304">
        <v>803</v>
      </c>
    </row>
    <row r="305" spans="1:8" x14ac:dyDescent="0.35">
      <c r="A305">
        <v>797</v>
      </c>
      <c r="B305">
        <v>304</v>
      </c>
      <c r="D305">
        <v>1304</v>
      </c>
      <c r="E305">
        <v>304</v>
      </c>
      <c r="G305">
        <v>1804</v>
      </c>
      <c r="H305">
        <v>804</v>
      </c>
    </row>
    <row r="306" spans="1:8" x14ac:dyDescent="0.35">
      <c r="A306">
        <v>796</v>
      </c>
      <c r="B306">
        <v>305</v>
      </c>
      <c r="D306">
        <v>1305</v>
      </c>
      <c r="E306">
        <v>305</v>
      </c>
      <c r="G306">
        <v>1803</v>
      </c>
      <c r="H306">
        <v>805</v>
      </c>
    </row>
    <row r="307" spans="1:8" x14ac:dyDescent="0.35">
      <c r="A307">
        <v>813</v>
      </c>
      <c r="B307">
        <v>306</v>
      </c>
      <c r="D307">
        <v>1306</v>
      </c>
      <c r="E307">
        <v>306</v>
      </c>
      <c r="G307">
        <v>1802</v>
      </c>
      <c r="H307">
        <v>806</v>
      </c>
    </row>
    <row r="308" spans="1:8" x14ac:dyDescent="0.35">
      <c r="A308">
        <v>812</v>
      </c>
      <c r="B308">
        <v>307</v>
      </c>
      <c r="D308">
        <v>1307</v>
      </c>
      <c r="E308">
        <v>307</v>
      </c>
      <c r="G308">
        <v>1807</v>
      </c>
      <c r="H308">
        <v>807</v>
      </c>
    </row>
    <row r="309" spans="1:8" x14ac:dyDescent="0.35">
      <c r="A309">
        <v>811</v>
      </c>
      <c r="B309">
        <v>308</v>
      </c>
      <c r="D309">
        <v>1308</v>
      </c>
      <c r="E309">
        <v>308</v>
      </c>
      <c r="G309">
        <v>1808</v>
      </c>
      <c r="H309">
        <v>808</v>
      </c>
    </row>
    <row r="310" spans="1:8" x14ac:dyDescent="0.35">
      <c r="A310">
        <v>810</v>
      </c>
      <c r="B310">
        <v>309</v>
      </c>
      <c r="D310">
        <v>1309</v>
      </c>
      <c r="E310">
        <v>309</v>
      </c>
      <c r="G310">
        <v>1809</v>
      </c>
      <c r="H310">
        <v>809</v>
      </c>
    </row>
    <row r="311" spans="1:8" x14ac:dyDescent="0.35">
      <c r="A311">
        <v>809</v>
      </c>
      <c r="B311">
        <v>310</v>
      </c>
      <c r="D311">
        <v>1310</v>
      </c>
      <c r="E311">
        <v>310</v>
      </c>
      <c r="G311">
        <v>1810</v>
      </c>
      <c r="H311">
        <v>810</v>
      </c>
    </row>
    <row r="312" spans="1:8" x14ac:dyDescent="0.35">
      <c r="A312">
        <v>808</v>
      </c>
      <c r="B312">
        <v>311</v>
      </c>
      <c r="D312">
        <v>1311</v>
      </c>
      <c r="E312">
        <v>311</v>
      </c>
      <c r="G312">
        <v>1811</v>
      </c>
      <c r="H312">
        <v>811</v>
      </c>
    </row>
    <row r="313" spans="1:8" x14ac:dyDescent="0.35">
      <c r="A313">
        <v>807</v>
      </c>
      <c r="B313">
        <v>312</v>
      </c>
      <c r="D313">
        <v>1312</v>
      </c>
      <c r="E313">
        <v>312</v>
      </c>
      <c r="G313">
        <v>1812</v>
      </c>
      <c r="H313">
        <v>812</v>
      </c>
    </row>
    <row r="314" spans="1:8" x14ac:dyDescent="0.35">
      <c r="A314">
        <v>820</v>
      </c>
      <c r="B314">
        <v>313</v>
      </c>
      <c r="D314">
        <v>1313</v>
      </c>
      <c r="E314">
        <v>313</v>
      </c>
      <c r="G314">
        <v>1813</v>
      </c>
      <c r="H314">
        <v>813</v>
      </c>
    </row>
    <row r="315" spans="1:8" x14ac:dyDescent="0.35">
      <c r="A315">
        <v>819</v>
      </c>
      <c r="B315">
        <v>314</v>
      </c>
      <c r="D315">
        <v>1314</v>
      </c>
      <c r="E315">
        <v>314</v>
      </c>
      <c r="G315">
        <v>1814</v>
      </c>
      <c r="H315">
        <v>814</v>
      </c>
    </row>
    <row r="316" spans="1:8" x14ac:dyDescent="0.35">
      <c r="A316">
        <v>818</v>
      </c>
      <c r="B316">
        <v>315</v>
      </c>
      <c r="D316">
        <v>1315</v>
      </c>
      <c r="E316">
        <v>315</v>
      </c>
      <c r="G316">
        <v>1815</v>
      </c>
      <c r="H316">
        <v>815</v>
      </c>
    </row>
    <row r="317" spans="1:8" x14ac:dyDescent="0.35">
      <c r="A317">
        <v>817</v>
      </c>
      <c r="B317">
        <v>316</v>
      </c>
      <c r="D317">
        <v>1316</v>
      </c>
      <c r="E317">
        <v>316</v>
      </c>
      <c r="G317">
        <v>1816</v>
      </c>
      <c r="H317">
        <v>816</v>
      </c>
    </row>
    <row r="318" spans="1:8" x14ac:dyDescent="0.35">
      <c r="A318">
        <v>816</v>
      </c>
      <c r="B318">
        <v>317</v>
      </c>
      <c r="D318">
        <v>1317</v>
      </c>
      <c r="E318">
        <v>317</v>
      </c>
      <c r="G318">
        <v>1817</v>
      </c>
      <c r="H318">
        <v>817</v>
      </c>
    </row>
    <row r="319" spans="1:8" x14ac:dyDescent="0.35">
      <c r="A319">
        <v>815</v>
      </c>
      <c r="B319">
        <v>318</v>
      </c>
      <c r="D319">
        <v>1318</v>
      </c>
      <c r="E319">
        <v>318</v>
      </c>
      <c r="G319">
        <v>1818</v>
      </c>
      <c r="H319">
        <v>818</v>
      </c>
    </row>
    <row r="320" spans="1:8" x14ac:dyDescent="0.35">
      <c r="A320">
        <v>814</v>
      </c>
      <c r="B320">
        <v>319</v>
      </c>
      <c r="D320">
        <v>1319</v>
      </c>
      <c r="E320">
        <v>319</v>
      </c>
      <c r="G320">
        <v>1819</v>
      </c>
      <c r="H320">
        <v>819</v>
      </c>
    </row>
    <row r="321" spans="7:8" x14ac:dyDescent="0.35">
      <c r="G321">
        <v>1820</v>
      </c>
      <c r="H321">
        <v>820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F323"/>
  <sheetViews>
    <sheetView workbookViewId="0"/>
  </sheetViews>
  <sheetFormatPr baseColWidth="10" defaultColWidth="8.7265625" defaultRowHeight="14.5" x14ac:dyDescent="0.35"/>
  <sheetData>
    <row r="1" spans="1:32" x14ac:dyDescent="0.35">
      <c r="O1" t="s">
        <v>51</v>
      </c>
      <c r="P1">
        <v>26.32</v>
      </c>
      <c r="Y1" t="s">
        <v>52</v>
      </c>
      <c r="Z1">
        <v>42.787500000000001</v>
      </c>
    </row>
    <row r="2" spans="1:32" x14ac:dyDescent="0.35">
      <c r="A2" t="s">
        <v>58</v>
      </c>
      <c r="E2" t="s">
        <v>62</v>
      </c>
      <c r="I2" t="s">
        <v>63</v>
      </c>
      <c r="O2" t="s">
        <v>59</v>
      </c>
      <c r="S2" t="s">
        <v>66</v>
      </c>
      <c r="X2" t="s">
        <v>60</v>
      </c>
      <c r="AC2" t="s">
        <v>61</v>
      </c>
    </row>
    <row r="3" spans="1:32" x14ac:dyDescent="0.35">
      <c r="B3" t="s">
        <v>1</v>
      </c>
      <c r="C3" t="s">
        <v>2</v>
      </c>
      <c r="D3" t="s">
        <v>3</v>
      </c>
      <c r="E3" t="s">
        <v>1</v>
      </c>
      <c r="F3" t="s">
        <v>2</v>
      </c>
      <c r="G3" t="s">
        <v>3</v>
      </c>
      <c r="I3" t="s">
        <v>1</v>
      </c>
      <c r="J3" t="s">
        <v>2</v>
      </c>
      <c r="K3" t="s">
        <v>3</v>
      </c>
      <c r="P3" t="s">
        <v>1</v>
      </c>
      <c r="Q3" t="s">
        <v>2</v>
      </c>
      <c r="R3" t="s">
        <v>3</v>
      </c>
      <c r="S3" t="s">
        <v>1</v>
      </c>
      <c r="T3" t="s">
        <v>2</v>
      </c>
      <c r="U3" t="s">
        <v>3</v>
      </c>
      <c r="Y3" t="s">
        <v>1</v>
      </c>
      <c r="Z3" t="s">
        <v>2</v>
      </c>
      <c r="AA3" t="s">
        <v>3</v>
      </c>
      <c r="AD3" t="s">
        <v>1</v>
      </c>
      <c r="AE3" t="s">
        <v>2</v>
      </c>
      <c r="AF3" t="s">
        <v>3</v>
      </c>
    </row>
    <row r="4" spans="1:32" x14ac:dyDescent="0.35">
      <c r="A4">
        <v>1</v>
      </c>
      <c r="B4">
        <v>0</v>
      </c>
      <c r="C4">
        <v>0</v>
      </c>
      <c r="D4">
        <v>-3.28</v>
      </c>
      <c r="E4">
        <f>B4</f>
        <v>0</v>
      </c>
      <c r="F4">
        <f>2*$P$1-C4</f>
        <v>52.64</v>
      </c>
      <c r="G4">
        <f>D4</f>
        <v>-3.28</v>
      </c>
      <c r="H4">
        <f>SUMIFS($O:$O,$P:$P,E4,$Q:$Q,F4,$R:$R,G4)</f>
        <v>503</v>
      </c>
      <c r="I4">
        <f>TRUNC(2*$Z$1-B4,2)</f>
        <v>85.57</v>
      </c>
      <c r="J4">
        <f>C4</f>
        <v>0</v>
      </c>
      <c r="K4">
        <f>D4</f>
        <v>-3.28</v>
      </c>
      <c r="L4">
        <f>SUMIFS($X:$X,$Y:$Y,I4,$Z:$Z,J4,$AA:$AA,K4)</f>
        <v>1002</v>
      </c>
      <c r="O4">
        <v>501</v>
      </c>
      <c r="P4">
        <v>0</v>
      </c>
      <c r="Q4">
        <v>39.479999999999997</v>
      </c>
      <c r="R4">
        <v>-3.28</v>
      </c>
      <c r="S4">
        <f>TRUNC(2*$Z$1-P4,2)</f>
        <v>85.57</v>
      </c>
      <c r="T4">
        <f>Q4</f>
        <v>39.479999999999997</v>
      </c>
      <c r="U4">
        <f>R4</f>
        <v>-3.28</v>
      </c>
      <c r="V4">
        <f>SUMIFS($AC:$AC,$AD:$AD,S4,$AE:$AE,T4,$AF:$AF,U4)</f>
        <v>1502</v>
      </c>
      <c r="X4">
        <v>1001</v>
      </c>
      <c r="Y4">
        <v>73.349999999999994</v>
      </c>
      <c r="Z4">
        <v>0</v>
      </c>
      <c r="AA4">
        <v>-3.28</v>
      </c>
      <c r="AC4">
        <v>1501</v>
      </c>
      <c r="AD4">
        <v>73.349999999999994</v>
      </c>
      <c r="AE4">
        <v>39.479999999999997</v>
      </c>
      <c r="AF4">
        <v>-3.28</v>
      </c>
    </row>
    <row r="5" spans="1:32" x14ac:dyDescent="0.35">
      <c r="A5">
        <v>2</v>
      </c>
      <c r="B5">
        <v>12.225</v>
      </c>
      <c r="C5">
        <v>0</v>
      </c>
      <c r="D5">
        <v>-3.28</v>
      </c>
      <c r="E5">
        <f t="shared" ref="E5:E68" si="0">B5</f>
        <v>12.225</v>
      </c>
      <c r="F5">
        <f t="shared" ref="F5:F68" si="1">2*$P$1-C5</f>
        <v>52.64</v>
      </c>
      <c r="G5">
        <f t="shared" ref="G5:G68" si="2">D5</f>
        <v>-3.28</v>
      </c>
      <c r="H5">
        <f t="shared" ref="H5:H68" si="3">SUMIFS($O:$O,$P:$P,E5,$Q:$Q,F5,$R:$R,G5)</f>
        <v>504</v>
      </c>
      <c r="I5">
        <f t="shared" ref="I5:I68" si="4">TRUNC(2*$Z$1-B5,2)</f>
        <v>73.349999999999994</v>
      </c>
      <c r="J5">
        <f t="shared" ref="J5:J68" si="5">C5</f>
        <v>0</v>
      </c>
      <c r="K5">
        <f t="shared" ref="K5:K68" si="6">D5</f>
        <v>-3.28</v>
      </c>
      <c r="L5">
        <f t="shared" ref="L5:L68" si="7">SUMIFS($X:$X,$Y:$Y,I5,$Z:$Z,J5,$AA:$AA,K5)</f>
        <v>1001</v>
      </c>
      <c r="O5">
        <v>502</v>
      </c>
      <c r="P5">
        <v>12.225</v>
      </c>
      <c r="Q5">
        <v>39.479999999999997</v>
      </c>
      <c r="R5">
        <v>-3.28</v>
      </c>
      <c r="S5">
        <f t="shared" ref="S5:S68" si="8">TRUNC(2*$Z$1-P5,2)</f>
        <v>73.349999999999994</v>
      </c>
      <c r="T5">
        <f t="shared" ref="T5:T68" si="9">Q5</f>
        <v>39.479999999999997</v>
      </c>
      <c r="U5">
        <f t="shared" ref="U5:U68" si="10">R5</f>
        <v>-3.28</v>
      </c>
      <c r="V5">
        <f t="shared" ref="V5:V68" si="11">SUMIFS($AC:$AC,$AD:$AD,S5,$AE:$AE,T5,$AF:$AF,U5)</f>
        <v>1501</v>
      </c>
      <c r="X5">
        <v>1002</v>
      </c>
      <c r="Y5">
        <v>85.57</v>
      </c>
      <c r="Z5">
        <v>0</v>
      </c>
      <c r="AA5">
        <v>-3.28</v>
      </c>
      <c r="AC5">
        <v>1502</v>
      </c>
      <c r="AD5">
        <v>85.57</v>
      </c>
      <c r="AE5">
        <v>39.479999999999997</v>
      </c>
      <c r="AF5">
        <v>-3.28</v>
      </c>
    </row>
    <row r="6" spans="1:32" x14ac:dyDescent="0.35">
      <c r="A6">
        <v>3</v>
      </c>
      <c r="B6">
        <v>0</v>
      </c>
      <c r="C6">
        <v>13.16</v>
      </c>
      <c r="D6">
        <v>-3.28</v>
      </c>
      <c r="E6">
        <f t="shared" si="0"/>
        <v>0</v>
      </c>
      <c r="F6">
        <f t="shared" si="1"/>
        <v>39.480000000000004</v>
      </c>
      <c r="G6">
        <f t="shared" si="2"/>
        <v>-3.28</v>
      </c>
      <c r="H6">
        <f t="shared" si="3"/>
        <v>501</v>
      </c>
      <c r="I6">
        <f t="shared" si="4"/>
        <v>85.57</v>
      </c>
      <c r="J6">
        <f t="shared" si="5"/>
        <v>13.16</v>
      </c>
      <c r="K6">
        <f t="shared" si="6"/>
        <v>-3.28</v>
      </c>
      <c r="L6">
        <f t="shared" si="7"/>
        <v>1004</v>
      </c>
      <c r="O6">
        <v>503</v>
      </c>
      <c r="P6">
        <v>0</v>
      </c>
      <c r="Q6">
        <v>52.64</v>
      </c>
      <c r="R6">
        <v>-3.28</v>
      </c>
      <c r="S6">
        <f t="shared" si="8"/>
        <v>85.57</v>
      </c>
      <c r="T6">
        <f t="shared" si="9"/>
        <v>52.64</v>
      </c>
      <c r="U6">
        <f t="shared" si="10"/>
        <v>-3.28</v>
      </c>
      <c r="V6">
        <f t="shared" si="11"/>
        <v>1504</v>
      </c>
      <c r="X6">
        <v>1003</v>
      </c>
      <c r="Y6">
        <v>73.349999999999994</v>
      </c>
      <c r="Z6">
        <v>13.16</v>
      </c>
      <c r="AA6">
        <v>-3.28</v>
      </c>
      <c r="AC6">
        <v>1503</v>
      </c>
      <c r="AD6">
        <v>73.349999999999994</v>
      </c>
      <c r="AE6">
        <v>52.64</v>
      </c>
      <c r="AF6">
        <v>-3.28</v>
      </c>
    </row>
    <row r="7" spans="1:32" x14ac:dyDescent="0.35">
      <c r="A7">
        <v>4</v>
      </c>
      <c r="B7">
        <v>12.225</v>
      </c>
      <c r="C7">
        <v>13.16</v>
      </c>
      <c r="D7">
        <v>-3.28</v>
      </c>
      <c r="E7">
        <f t="shared" si="0"/>
        <v>12.225</v>
      </c>
      <c r="F7">
        <f t="shared" si="1"/>
        <v>39.480000000000004</v>
      </c>
      <c r="G7">
        <f t="shared" si="2"/>
        <v>-3.28</v>
      </c>
      <c r="H7">
        <f t="shared" si="3"/>
        <v>502</v>
      </c>
      <c r="I7">
        <f t="shared" si="4"/>
        <v>73.349999999999994</v>
      </c>
      <c r="J7">
        <f t="shared" si="5"/>
        <v>13.16</v>
      </c>
      <c r="K7">
        <f t="shared" si="6"/>
        <v>-3.28</v>
      </c>
      <c r="L7">
        <f t="shared" si="7"/>
        <v>1003</v>
      </c>
      <c r="O7">
        <v>504</v>
      </c>
      <c r="P7">
        <v>12.225</v>
      </c>
      <c r="Q7">
        <v>52.64</v>
      </c>
      <c r="R7">
        <v>-3.28</v>
      </c>
      <c r="S7">
        <f t="shared" si="8"/>
        <v>73.349999999999994</v>
      </c>
      <c r="T7">
        <f t="shared" si="9"/>
        <v>52.64</v>
      </c>
      <c r="U7">
        <f t="shared" si="10"/>
        <v>-3.28</v>
      </c>
      <c r="V7">
        <f t="shared" si="11"/>
        <v>1503</v>
      </c>
      <c r="X7">
        <v>1004</v>
      </c>
      <c r="Y7">
        <v>85.57</v>
      </c>
      <c r="Z7">
        <v>13.16</v>
      </c>
      <c r="AA7">
        <v>-3.28</v>
      </c>
      <c r="AC7">
        <v>1504</v>
      </c>
      <c r="AD7">
        <v>85.57</v>
      </c>
      <c r="AE7">
        <v>52.64</v>
      </c>
      <c r="AF7">
        <v>-3.28</v>
      </c>
    </row>
    <row r="8" spans="1:32" x14ac:dyDescent="0.35">
      <c r="A8">
        <v>5</v>
      </c>
      <c r="B8">
        <v>0</v>
      </c>
      <c r="C8">
        <v>0</v>
      </c>
      <c r="D8">
        <v>4.26</v>
      </c>
      <c r="E8">
        <f t="shared" si="0"/>
        <v>0</v>
      </c>
      <c r="F8">
        <f t="shared" si="1"/>
        <v>52.64</v>
      </c>
      <c r="G8">
        <f t="shared" si="2"/>
        <v>4.26</v>
      </c>
      <c r="H8">
        <f t="shared" si="3"/>
        <v>510</v>
      </c>
      <c r="I8">
        <f t="shared" si="4"/>
        <v>85.57</v>
      </c>
      <c r="J8">
        <f t="shared" si="5"/>
        <v>0</v>
      </c>
      <c r="K8">
        <f t="shared" si="6"/>
        <v>4.26</v>
      </c>
      <c r="L8">
        <f t="shared" si="7"/>
        <v>1007</v>
      </c>
      <c r="O8">
        <v>505</v>
      </c>
      <c r="P8">
        <v>0</v>
      </c>
      <c r="Q8">
        <v>39.479999999999997</v>
      </c>
      <c r="R8">
        <v>4.26</v>
      </c>
      <c r="S8">
        <f t="shared" si="8"/>
        <v>85.57</v>
      </c>
      <c r="T8">
        <f t="shared" si="9"/>
        <v>39.479999999999997</v>
      </c>
      <c r="U8">
        <f t="shared" si="10"/>
        <v>4.26</v>
      </c>
      <c r="V8">
        <f t="shared" si="11"/>
        <v>1507</v>
      </c>
      <c r="X8">
        <v>1005</v>
      </c>
      <c r="Y8">
        <v>73.349999999999994</v>
      </c>
      <c r="Z8">
        <v>0</v>
      </c>
      <c r="AA8">
        <v>4.26</v>
      </c>
      <c r="AC8">
        <v>1505</v>
      </c>
      <c r="AD8">
        <v>73.349999999999994</v>
      </c>
      <c r="AE8">
        <v>39.479999999999997</v>
      </c>
      <c r="AF8">
        <v>4.26</v>
      </c>
    </row>
    <row r="9" spans="1:32" x14ac:dyDescent="0.35">
      <c r="A9">
        <v>6</v>
      </c>
      <c r="B9">
        <v>6.1120000000000001</v>
      </c>
      <c r="C9">
        <v>0</v>
      </c>
      <c r="D9">
        <v>4.26</v>
      </c>
      <c r="E9">
        <f t="shared" si="0"/>
        <v>6.1120000000000001</v>
      </c>
      <c r="F9">
        <f t="shared" si="1"/>
        <v>52.64</v>
      </c>
      <c r="G9">
        <f t="shared" si="2"/>
        <v>4.26</v>
      </c>
      <c r="H9">
        <f t="shared" si="3"/>
        <v>511</v>
      </c>
      <c r="I9">
        <f t="shared" si="4"/>
        <v>79.459999999999994</v>
      </c>
      <c r="J9">
        <f t="shared" si="5"/>
        <v>0</v>
      </c>
      <c r="K9">
        <f t="shared" si="6"/>
        <v>4.26</v>
      </c>
      <c r="L9">
        <f t="shared" si="7"/>
        <v>1006</v>
      </c>
      <c r="O9">
        <v>506</v>
      </c>
      <c r="P9">
        <v>6.1120000000000001</v>
      </c>
      <c r="Q9">
        <v>39.479999999999997</v>
      </c>
      <c r="R9">
        <v>4.26</v>
      </c>
      <c r="S9">
        <f t="shared" si="8"/>
        <v>79.459999999999994</v>
      </c>
      <c r="T9">
        <f t="shared" si="9"/>
        <v>39.479999999999997</v>
      </c>
      <c r="U9">
        <f t="shared" si="10"/>
        <v>4.26</v>
      </c>
      <c r="V9">
        <f t="shared" si="11"/>
        <v>1506</v>
      </c>
      <c r="X9">
        <v>1006</v>
      </c>
      <c r="Y9">
        <v>79.459999999999994</v>
      </c>
      <c r="Z9">
        <v>0</v>
      </c>
      <c r="AA9">
        <v>4.26</v>
      </c>
      <c r="AC9">
        <v>1506</v>
      </c>
      <c r="AD9">
        <v>79.459999999999994</v>
      </c>
      <c r="AE9">
        <v>39.479999999999997</v>
      </c>
      <c r="AF9">
        <v>4.26</v>
      </c>
    </row>
    <row r="10" spans="1:32" x14ac:dyDescent="0.35">
      <c r="A10">
        <v>7</v>
      </c>
      <c r="B10">
        <v>12.225</v>
      </c>
      <c r="C10">
        <v>0</v>
      </c>
      <c r="D10">
        <v>4.26</v>
      </c>
      <c r="E10">
        <f t="shared" si="0"/>
        <v>12.225</v>
      </c>
      <c r="F10">
        <f t="shared" si="1"/>
        <v>52.64</v>
      </c>
      <c r="G10">
        <f t="shared" si="2"/>
        <v>4.26</v>
      </c>
      <c r="H10">
        <f t="shared" si="3"/>
        <v>512</v>
      </c>
      <c r="I10">
        <f t="shared" si="4"/>
        <v>73.349999999999994</v>
      </c>
      <c r="J10">
        <f t="shared" si="5"/>
        <v>0</v>
      </c>
      <c r="K10">
        <f t="shared" si="6"/>
        <v>4.26</v>
      </c>
      <c r="L10">
        <f t="shared" si="7"/>
        <v>1005</v>
      </c>
      <c r="O10">
        <v>507</v>
      </c>
      <c r="P10">
        <v>12.225</v>
      </c>
      <c r="Q10">
        <v>39.479999999999997</v>
      </c>
      <c r="R10">
        <v>4.26</v>
      </c>
      <c r="S10">
        <f t="shared" si="8"/>
        <v>73.349999999999994</v>
      </c>
      <c r="T10">
        <f t="shared" si="9"/>
        <v>39.479999999999997</v>
      </c>
      <c r="U10">
        <f t="shared" si="10"/>
        <v>4.26</v>
      </c>
      <c r="V10">
        <f t="shared" si="11"/>
        <v>1505</v>
      </c>
      <c r="X10">
        <v>1007</v>
      </c>
      <c r="Y10">
        <v>85.57</v>
      </c>
      <c r="Z10">
        <v>0</v>
      </c>
      <c r="AA10">
        <v>4.26</v>
      </c>
      <c r="AC10">
        <v>1507</v>
      </c>
      <c r="AD10">
        <v>85.57</v>
      </c>
      <c r="AE10">
        <v>39.479999999999997</v>
      </c>
      <c r="AF10">
        <v>4.26</v>
      </c>
    </row>
    <row r="11" spans="1:32" x14ac:dyDescent="0.35">
      <c r="A11">
        <v>8</v>
      </c>
      <c r="B11">
        <v>0</v>
      </c>
      <c r="C11">
        <v>6.58</v>
      </c>
      <c r="D11">
        <v>4.26</v>
      </c>
      <c r="E11">
        <f t="shared" si="0"/>
        <v>0</v>
      </c>
      <c r="F11">
        <f t="shared" si="1"/>
        <v>46.06</v>
      </c>
      <c r="G11">
        <f t="shared" si="2"/>
        <v>4.26</v>
      </c>
      <c r="H11">
        <f t="shared" si="3"/>
        <v>508</v>
      </c>
      <c r="I11">
        <f t="shared" si="4"/>
        <v>85.57</v>
      </c>
      <c r="J11">
        <f t="shared" si="5"/>
        <v>6.58</v>
      </c>
      <c r="K11">
        <f t="shared" si="6"/>
        <v>4.26</v>
      </c>
      <c r="L11">
        <f t="shared" si="7"/>
        <v>1009</v>
      </c>
      <c r="O11">
        <v>508</v>
      </c>
      <c r="P11">
        <v>0</v>
      </c>
      <c r="Q11">
        <v>46.06</v>
      </c>
      <c r="R11">
        <v>4.26</v>
      </c>
      <c r="S11">
        <f t="shared" si="8"/>
        <v>85.57</v>
      </c>
      <c r="T11">
        <f t="shared" si="9"/>
        <v>46.06</v>
      </c>
      <c r="U11">
        <f t="shared" si="10"/>
        <v>4.26</v>
      </c>
      <c r="V11">
        <f t="shared" si="11"/>
        <v>1509</v>
      </c>
      <c r="X11">
        <v>1008</v>
      </c>
      <c r="Y11">
        <v>73.349999999999994</v>
      </c>
      <c r="Z11">
        <v>6.58</v>
      </c>
      <c r="AA11">
        <v>4.26</v>
      </c>
      <c r="AC11">
        <v>1508</v>
      </c>
      <c r="AD11">
        <v>73.349999999999994</v>
      </c>
      <c r="AE11">
        <v>46.06</v>
      </c>
      <c r="AF11">
        <v>4.26</v>
      </c>
    </row>
    <row r="12" spans="1:32" x14ac:dyDescent="0.35">
      <c r="A12">
        <v>9</v>
      </c>
      <c r="B12">
        <v>12.225</v>
      </c>
      <c r="C12">
        <v>6.58</v>
      </c>
      <c r="D12">
        <v>4.26</v>
      </c>
      <c r="E12">
        <f t="shared" si="0"/>
        <v>12.225</v>
      </c>
      <c r="F12">
        <f t="shared" si="1"/>
        <v>46.06</v>
      </c>
      <c r="G12">
        <f t="shared" si="2"/>
        <v>4.26</v>
      </c>
      <c r="H12">
        <f t="shared" si="3"/>
        <v>509</v>
      </c>
      <c r="I12">
        <f t="shared" si="4"/>
        <v>73.349999999999994</v>
      </c>
      <c r="J12">
        <f t="shared" si="5"/>
        <v>6.58</v>
      </c>
      <c r="K12">
        <f t="shared" si="6"/>
        <v>4.26</v>
      </c>
      <c r="L12">
        <f t="shared" si="7"/>
        <v>1008</v>
      </c>
      <c r="O12">
        <v>509</v>
      </c>
      <c r="P12">
        <v>12.225</v>
      </c>
      <c r="Q12">
        <v>46.06</v>
      </c>
      <c r="R12">
        <v>4.26</v>
      </c>
      <c r="S12">
        <f t="shared" si="8"/>
        <v>73.349999999999994</v>
      </c>
      <c r="T12">
        <f t="shared" si="9"/>
        <v>46.06</v>
      </c>
      <c r="U12">
        <f t="shared" si="10"/>
        <v>4.26</v>
      </c>
      <c r="V12">
        <f t="shared" si="11"/>
        <v>1508</v>
      </c>
      <c r="X12">
        <v>1009</v>
      </c>
      <c r="Y12">
        <v>85.57</v>
      </c>
      <c r="Z12">
        <v>6.58</v>
      </c>
      <c r="AA12">
        <v>4.26</v>
      </c>
      <c r="AC12">
        <v>1509</v>
      </c>
      <c r="AD12">
        <v>85.57</v>
      </c>
      <c r="AE12">
        <v>46.06</v>
      </c>
      <c r="AF12">
        <v>4.26</v>
      </c>
    </row>
    <row r="13" spans="1:32" x14ac:dyDescent="0.35">
      <c r="A13">
        <v>10</v>
      </c>
      <c r="B13">
        <v>0</v>
      </c>
      <c r="C13">
        <v>13.16</v>
      </c>
      <c r="D13">
        <v>4.26</v>
      </c>
      <c r="E13">
        <f t="shared" si="0"/>
        <v>0</v>
      </c>
      <c r="F13">
        <f t="shared" si="1"/>
        <v>39.480000000000004</v>
      </c>
      <c r="G13">
        <f t="shared" si="2"/>
        <v>4.26</v>
      </c>
      <c r="H13">
        <f t="shared" si="3"/>
        <v>505</v>
      </c>
      <c r="I13">
        <f t="shared" si="4"/>
        <v>85.57</v>
      </c>
      <c r="J13">
        <f t="shared" si="5"/>
        <v>13.16</v>
      </c>
      <c r="K13">
        <f t="shared" si="6"/>
        <v>4.26</v>
      </c>
      <c r="L13">
        <f t="shared" si="7"/>
        <v>1012</v>
      </c>
      <c r="O13">
        <v>510</v>
      </c>
      <c r="P13">
        <v>0</v>
      </c>
      <c r="Q13">
        <v>52.64</v>
      </c>
      <c r="R13">
        <v>4.26</v>
      </c>
      <c r="S13">
        <f t="shared" si="8"/>
        <v>85.57</v>
      </c>
      <c r="T13">
        <f t="shared" si="9"/>
        <v>52.64</v>
      </c>
      <c r="U13">
        <f t="shared" si="10"/>
        <v>4.26</v>
      </c>
      <c r="V13">
        <f t="shared" si="11"/>
        <v>1512</v>
      </c>
      <c r="X13">
        <v>1010</v>
      </c>
      <c r="Y13">
        <v>73.349999999999994</v>
      </c>
      <c r="Z13">
        <v>13.16</v>
      </c>
      <c r="AA13">
        <v>4.26</v>
      </c>
      <c r="AC13">
        <v>1510</v>
      </c>
      <c r="AD13">
        <v>73.349999999999994</v>
      </c>
      <c r="AE13">
        <v>52.64</v>
      </c>
      <c r="AF13">
        <v>4.26</v>
      </c>
    </row>
    <row r="14" spans="1:32" x14ac:dyDescent="0.35">
      <c r="A14">
        <v>11</v>
      </c>
      <c r="B14">
        <v>6.1120000000000001</v>
      </c>
      <c r="C14">
        <v>13.16</v>
      </c>
      <c r="D14">
        <v>4.26</v>
      </c>
      <c r="E14">
        <f t="shared" si="0"/>
        <v>6.1120000000000001</v>
      </c>
      <c r="F14">
        <f t="shared" si="1"/>
        <v>39.480000000000004</v>
      </c>
      <c r="G14">
        <f t="shared" si="2"/>
        <v>4.26</v>
      </c>
      <c r="H14">
        <f t="shared" si="3"/>
        <v>506</v>
      </c>
      <c r="I14">
        <f t="shared" si="4"/>
        <v>79.459999999999994</v>
      </c>
      <c r="J14">
        <f t="shared" si="5"/>
        <v>13.16</v>
      </c>
      <c r="K14">
        <f t="shared" si="6"/>
        <v>4.26</v>
      </c>
      <c r="L14">
        <f t="shared" si="7"/>
        <v>1011</v>
      </c>
      <c r="O14">
        <v>511</v>
      </c>
      <c r="P14">
        <v>6.1120000000000001</v>
      </c>
      <c r="Q14">
        <v>52.64</v>
      </c>
      <c r="R14">
        <v>4.26</v>
      </c>
      <c r="S14">
        <f t="shared" si="8"/>
        <v>79.459999999999994</v>
      </c>
      <c r="T14">
        <f t="shared" si="9"/>
        <v>52.64</v>
      </c>
      <c r="U14">
        <f t="shared" si="10"/>
        <v>4.26</v>
      </c>
      <c r="V14">
        <f t="shared" si="11"/>
        <v>1511</v>
      </c>
      <c r="X14">
        <v>1011</v>
      </c>
      <c r="Y14">
        <v>79.459999999999994</v>
      </c>
      <c r="Z14">
        <v>13.16</v>
      </c>
      <c r="AA14">
        <v>4.26</v>
      </c>
      <c r="AC14">
        <v>1511</v>
      </c>
      <c r="AD14">
        <v>79.459999999999994</v>
      </c>
      <c r="AE14">
        <v>52.64</v>
      </c>
      <c r="AF14">
        <v>4.26</v>
      </c>
    </row>
    <row r="15" spans="1:32" x14ac:dyDescent="0.35">
      <c r="A15">
        <v>12</v>
      </c>
      <c r="B15">
        <v>12.225</v>
      </c>
      <c r="C15">
        <v>13.16</v>
      </c>
      <c r="D15">
        <v>4.26</v>
      </c>
      <c r="E15">
        <f t="shared" si="0"/>
        <v>12.225</v>
      </c>
      <c r="F15">
        <f t="shared" si="1"/>
        <v>39.480000000000004</v>
      </c>
      <c r="G15">
        <f t="shared" si="2"/>
        <v>4.26</v>
      </c>
      <c r="H15">
        <f t="shared" si="3"/>
        <v>507</v>
      </c>
      <c r="I15">
        <f t="shared" si="4"/>
        <v>73.349999999999994</v>
      </c>
      <c r="J15">
        <f t="shared" si="5"/>
        <v>13.16</v>
      </c>
      <c r="K15">
        <f t="shared" si="6"/>
        <v>4.26</v>
      </c>
      <c r="L15">
        <f t="shared" si="7"/>
        <v>1010</v>
      </c>
      <c r="O15">
        <v>512</v>
      </c>
      <c r="P15">
        <v>12.225</v>
      </c>
      <c r="Q15">
        <v>52.64</v>
      </c>
      <c r="R15">
        <v>4.26</v>
      </c>
      <c r="S15">
        <f t="shared" si="8"/>
        <v>73.349999999999994</v>
      </c>
      <c r="T15">
        <f t="shared" si="9"/>
        <v>52.64</v>
      </c>
      <c r="U15">
        <f t="shared" si="10"/>
        <v>4.26</v>
      </c>
      <c r="V15">
        <f t="shared" si="11"/>
        <v>1510</v>
      </c>
      <c r="X15">
        <v>1012</v>
      </c>
      <c r="Y15">
        <v>85.57</v>
      </c>
      <c r="Z15">
        <v>13.16</v>
      </c>
      <c r="AA15">
        <v>4.26</v>
      </c>
      <c r="AC15">
        <v>1512</v>
      </c>
      <c r="AD15">
        <v>85.57</v>
      </c>
      <c r="AE15">
        <v>52.64</v>
      </c>
      <c r="AF15">
        <v>4.26</v>
      </c>
    </row>
    <row r="16" spans="1:32" x14ac:dyDescent="0.35">
      <c r="A16">
        <v>13</v>
      </c>
      <c r="B16">
        <v>0</v>
      </c>
      <c r="C16">
        <v>0</v>
      </c>
      <c r="D16">
        <v>11.8</v>
      </c>
      <c r="E16">
        <f t="shared" si="0"/>
        <v>0</v>
      </c>
      <c r="F16">
        <f t="shared" si="1"/>
        <v>52.64</v>
      </c>
      <c r="G16">
        <f t="shared" si="2"/>
        <v>11.8</v>
      </c>
      <c r="H16">
        <f t="shared" si="3"/>
        <v>518</v>
      </c>
      <c r="I16">
        <f t="shared" si="4"/>
        <v>85.57</v>
      </c>
      <c r="J16">
        <f t="shared" si="5"/>
        <v>0</v>
      </c>
      <c r="K16">
        <f t="shared" si="6"/>
        <v>11.8</v>
      </c>
      <c r="L16">
        <f t="shared" si="7"/>
        <v>1015</v>
      </c>
      <c r="O16">
        <v>513</v>
      </c>
      <c r="P16">
        <v>0</v>
      </c>
      <c r="Q16">
        <v>39.479999999999997</v>
      </c>
      <c r="R16">
        <v>11.8</v>
      </c>
      <c r="S16">
        <f t="shared" si="8"/>
        <v>85.57</v>
      </c>
      <c r="T16">
        <f t="shared" si="9"/>
        <v>39.479999999999997</v>
      </c>
      <c r="U16">
        <f t="shared" si="10"/>
        <v>11.8</v>
      </c>
      <c r="V16">
        <f t="shared" si="11"/>
        <v>1515</v>
      </c>
      <c r="X16">
        <v>1013</v>
      </c>
      <c r="Y16">
        <v>73.349999999999994</v>
      </c>
      <c r="Z16">
        <v>0</v>
      </c>
      <c r="AA16">
        <v>11.8</v>
      </c>
      <c r="AC16">
        <v>1513</v>
      </c>
      <c r="AD16">
        <v>73.349999999999994</v>
      </c>
      <c r="AE16">
        <v>39.479999999999997</v>
      </c>
      <c r="AF16">
        <v>11.8</v>
      </c>
    </row>
    <row r="17" spans="1:32" x14ac:dyDescent="0.35">
      <c r="A17">
        <v>14</v>
      </c>
      <c r="B17">
        <v>6.1120000000000001</v>
      </c>
      <c r="C17">
        <v>0</v>
      </c>
      <c r="D17">
        <v>11.8</v>
      </c>
      <c r="E17">
        <f t="shared" si="0"/>
        <v>6.1120000000000001</v>
      </c>
      <c r="F17">
        <f t="shared" si="1"/>
        <v>52.64</v>
      </c>
      <c r="G17">
        <f t="shared" si="2"/>
        <v>11.8</v>
      </c>
      <c r="H17">
        <f t="shared" si="3"/>
        <v>519</v>
      </c>
      <c r="I17">
        <f t="shared" si="4"/>
        <v>79.459999999999994</v>
      </c>
      <c r="J17">
        <f t="shared" si="5"/>
        <v>0</v>
      </c>
      <c r="K17">
        <f t="shared" si="6"/>
        <v>11.8</v>
      </c>
      <c r="L17">
        <f t="shared" si="7"/>
        <v>1014</v>
      </c>
      <c r="O17">
        <v>514</v>
      </c>
      <c r="P17">
        <v>6.1120000000000001</v>
      </c>
      <c r="Q17">
        <v>39.479999999999997</v>
      </c>
      <c r="R17">
        <v>11.8</v>
      </c>
      <c r="S17">
        <f t="shared" si="8"/>
        <v>79.459999999999994</v>
      </c>
      <c r="T17">
        <f t="shared" si="9"/>
        <v>39.479999999999997</v>
      </c>
      <c r="U17">
        <f t="shared" si="10"/>
        <v>11.8</v>
      </c>
      <c r="V17">
        <f t="shared" si="11"/>
        <v>1514</v>
      </c>
      <c r="X17">
        <v>1014</v>
      </c>
      <c r="Y17">
        <v>79.459999999999994</v>
      </c>
      <c r="Z17">
        <v>0</v>
      </c>
      <c r="AA17">
        <v>11.8</v>
      </c>
      <c r="AC17">
        <v>1514</v>
      </c>
      <c r="AD17">
        <v>79.459999999999994</v>
      </c>
      <c r="AE17">
        <v>39.479999999999997</v>
      </c>
      <c r="AF17">
        <v>11.8</v>
      </c>
    </row>
    <row r="18" spans="1:32" x14ac:dyDescent="0.35">
      <c r="A18">
        <v>15</v>
      </c>
      <c r="B18">
        <v>12.225</v>
      </c>
      <c r="C18">
        <v>0</v>
      </c>
      <c r="D18">
        <v>11.8</v>
      </c>
      <c r="E18">
        <f t="shared" si="0"/>
        <v>12.225</v>
      </c>
      <c r="F18">
        <f t="shared" si="1"/>
        <v>52.64</v>
      </c>
      <c r="G18">
        <f t="shared" si="2"/>
        <v>11.8</v>
      </c>
      <c r="H18">
        <f t="shared" si="3"/>
        <v>520</v>
      </c>
      <c r="I18">
        <f t="shared" si="4"/>
        <v>73.349999999999994</v>
      </c>
      <c r="J18">
        <f t="shared" si="5"/>
        <v>0</v>
      </c>
      <c r="K18">
        <f t="shared" si="6"/>
        <v>11.8</v>
      </c>
      <c r="L18">
        <f t="shared" si="7"/>
        <v>1013</v>
      </c>
      <c r="O18">
        <v>515</v>
      </c>
      <c r="P18">
        <v>12.225</v>
      </c>
      <c r="Q18">
        <v>39.479999999999997</v>
      </c>
      <c r="R18">
        <v>11.8</v>
      </c>
      <c r="S18">
        <f t="shared" si="8"/>
        <v>73.349999999999994</v>
      </c>
      <c r="T18">
        <f t="shared" si="9"/>
        <v>39.479999999999997</v>
      </c>
      <c r="U18">
        <f t="shared" si="10"/>
        <v>11.8</v>
      </c>
      <c r="V18">
        <f t="shared" si="11"/>
        <v>1513</v>
      </c>
      <c r="X18">
        <v>1015</v>
      </c>
      <c r="Y18">
        <v>85.57</v>
      </c>
      <c r="Z18">
        <v>0</v>
      </c>
      <c r="AA18">
        <v>11.8</v>
      </c>
      <c r="AC18">
        <v>1515</v>
      </c>
      <c r="AD18">
        <v>85.57</v>
      </c>
      <c r="AE18">
        <v>39.479999999999997</v>
      </c>
      <c r="AF18">
        <v>11.8</v>
      </c>
    </row>
    <row r="19" spans="1:32" x14ac:dyDescent="0.35">
      <c r="A19">
        <v>16</v>
      </c>
      <c r="B19">
        <v>0</v>
      </c>
      <c r="C19">
        <v>6.58</v>
      </c>
      <c r="D19">
        <v>11.8</v>
      </c>
      <c r="E19">
        <f t="shared" si="0"/>
        <v>0</v>
      </c>
      <c r="F19">
        <f t="shared" si="1"/>
        <v>46.06</v>
      </c>
      <c r="G19">
        <f t="shared" si="2"/>
        <v>11.8</v>
      </c>
      <c r="H19">
        <f t="shared" si="3"/>
        <v>516</v>
      </c>
      <c r="I19">
        <f t="shared" si="4"/>
        <v>85.57</v>
      </c>
      <c r="J19">
        <f t="shared" si="5"/>
        <v>6.58</v>
      </c>
      <c r="K19">
        <f t="shared" si="6"/>
        <v>11.8</v>
      </c>
      <c r="L19">
        <f t="shared" si="7"/>
        <v>1017</v>
      </c>
      <c r="O19">
        <v>516</v>
      </c>
      <c r="P19">
        <v>0</v>
      </c>
      <c r="Q19">
        <v>46.06</v>
      </c>
      <c r="R19">
        <v>11.8</v>
      </c>
      <c r="S19">
        <f t="shared" si="8"/>
        <v>85.57</v>
      </c>
      <c r="T19">
        <f t="shared" si="9"/>
        <v>46.06</v>
      </c>
      <c r="U19">
        <f t="shared" si="10"/>
        <v>11.8</v>
      </c>
      <c r="V19">
        <f t="shared" si="11"/>
        <v>1517</v>
      </c>
      <c r="X19">
        <v>1016</v>
      </c>
      <c r="Y19">
        <v>73.349999999999994</v>
      </c>
      <c r="Z19">
        <v>6.58</v>
      </c>
      <c r="AA19">
        <v>11.8</v>
      </c>
      <c r="AC19">
        <v>1516</v>
      </c>
      <c r="AD19">
        <v>73.349999999999994</v>
      </c>
      <c r="AE19">
        <v>46.06</v>
      </c>
      <c r="AF19">
        <v>11.8</v>
      </c>
    </row>
    <row r="20" spans="1:32" x14ac:dyDescent="0.35">
      <c r="A20">
        <v>17</v>
      </c>
      <c r="B20">
        <v>12.225</v>
      </c>
      <c r="C20">
        <v>6.58</v>
      </c>
      <c r="D20">
        <v>11.8</v>
      </c>
      <c r="E20">
        <f t="shared" si="0"/>
        <v>12.225</v>
      </c>
      <c r="F20">
        <f t="shared" si="1"/>
        <v>46.06</v>
      </c>
      <c r="G20">
        <f t="shared" si="2"/>
        <v>11.8</v>
      </c>
      <c r="H20">
        <f t="shared" si="3"/>
        <v>517</v>
      </c>
      <c r="I20">
        <f t="shared" si="4"/>
        <v>73.349999999999994</v>
      </c>
      <c r="J20">
        <f t="shared" si="5"/>
        <v>6.58</v>
      </c>
      <c r="K20">
        <f t="shared" si="6"/>
        <v>11.8</v>
      </c>
      <c r="L20">
        <f t="shared" si="7"/>
        <v>1016</v>
      </c>
      <c r="O20">
        <v>517</v>
      </c>
      <c r="P20">
        <v>12.225</v>
      </c>
      <c r="Q20">
        <v>46.06</v>
      </c>
      <c r="R20">
        <v>11.8</v>
      </c>
      <c r="S20">
        <f t="shared" si="8"/>
        <v>73.349999999999994</v>
      </c>
      <c r="T20">
        <f t="shared" si="9"/>
        <v>46.06</v>
      </c>
      <c r="U20">
        <f t="shared" si="10"/>
        <v>11.8</v>
      </c>
      <c r="V20">
        <f t="shared" si="11"/>
        <v>1516</v>
      </c>
      <c r="X20">
        <v>1017</v>
      </c>
      <c r="Y20">
        <v>85.57</v>
      </c>
      <c r="Z20">
        <v>6.58</v>
      </c>
      <c r="AA20">
        <v>11.8</v>
      </c>
      <c r="AC20">
        <v>1517</v>
      </c>
      <c r="AD20">
        <v>85.57</v>
      </c>
      <c r="AE20">
        <v>46.06</v>
      </c>
      <c r="AF20">
        <v>11.8</v>
      </c>
    </row>
    <row r="21" spans="1:32" x14ac:dyDescent="0.35">
      <c r="A21">
        <v>18</v>
      </c>
      <c r="B21">
        <v>0</v>
      </c>
      <c r="C21">
        <v>13.16</v>
      </c>
      <c r="D21">
        <v>11.8</v>
      </c>
      <c r="E21">
        <f t="shared" si="0"/>
        <v>0</v>
      </c>
      <c r="F21">
        <f t="shared" si="1"/>
        <v>39.480000000000004</v>
      </c>
      <c r="G21">
        <f t="shared" si="2"/>
        <v>11.8</v>
      </c>
      <c r="H21">
        <f t="shared" si="3"/>
        <v>513</v>
      </c>
      <c r="I21">
        <f t="shared" si="4"/>
        <v>85.57</v>
      </c>
      <c r="J21">
        <f t="shared" si="5"/>
        <v>13.16</v>
      </c>
      <c r="K21">
        <f t="shared" si="6"/>
        <v>11.8</v>
      </c>
      <c r="L21">
        <f t="shared" si="7"/>
        <v>1020</v>
      </c>
      <c r="O21">
        <v>518</v>
      </c>
      <c r="P21">
        <v>0</v>
      </c>
      <c r="Q21">
        <v>52.64</v>
      </c>
      <c r="R21">
        <v>11.8</v>
      </c>
      <c r="S21">
        <f t="shared" si="8"/>
        <v>85.57</v>
      </c>
      <c r="T21">
        <f t="shared" si="9"/>
        <v>52.64</v>
      </c>
      <c r="U21">
        <f t="shared" si="10"/>
        <v>11.8</v>
      </c>
      <c r="V21">
        <f t="shared" si="11"/>
        <v>1520</v>
      </c>
      <c r="X21">
        <v>1018</v>
      </c>
      <c r="Y21">
        <v>73.349999999999994</v>
      </c>
      <c r="Z21">
        <v>13.16</v>
      </c>
      <c r="AA21">
        <v>11.8</v>
      </c>
      <c r="AC21">
        <v>1518</v>
      </c>
      <c r="AD21">
        <v>73.349999999999994</v>
      </c>
      <c r="AE21">
        <v>52.64</v>
      </c>
      <c r="AF21">
        <v>11.8</v>
      </c>
    </row>
    <row r="22" spans="1:32" x14ac:dyDescent="0.35">
      <c r="A22">
        <v>19</v>
      </c>
      <c r="B22">
        <v>6.1120000000000001</v>
      </c>
      <c r="C22">
        <v>13.16</v>
      </c>
      <c r="D22">
        <v>11.8</v>
      </c>
      <c r="E22">
        <f t="shared" si="0"/>
        <v>6.1120000000000001</v>
      </c>
      <c r="F22">
        <f t="shared" si="1"/>
        <v>39.480000000000004</v>
      </c>
      <c r="G22">
        <f t="shared" si="2"/>
        <v>11.8</v>
      </c>
      <c r="H22">
        <f t="shared" si="3"/>
        <v>514</v>
      </c>
      <c r="I22">
        <f t="shared" si="4"/>
        <v>79.459999999999994</v>
      </c>
      <c r="J22">
        <f t="shared" si="5"/>
        <v>13.16</v>
      </c>
      <c r="K22">
        <f t="shared" si="6"/>
        <v>11.8</v>
      </c>
      <c r="L22">
        <f t="shared" si="7"/>
        <v>1019</v>
      </c>
      <c r="O22">
        <v>519</v>
      </c>
      <c r="P22">
        <v>6.1120000000000001</v>
      </c>
      <c r="Q22">
        <v>52.64</v>
      </c>
      <c r="R22">
        <v>11.8</v>
      </c>
      <c r="S22">
        <f t="shared" si="8"/>
        <v>79.459999999999994</v>
      </c>
      <c r="T22">
        <f t="shared" si="9"/>
        <v>52.64</v>
      </c>
      <c r="U22">
        <f t="shared" si="10"/>
        <v>11.8</v>
      </c>
      <c r="V22">
        <f t="shared" si="11"/>
        <v>1519</v>
      </c>
      <c r="X22">
        <v>1019</v>
      </c>
      <c r="Y22">
        <v>79.459999999999994</v>
      </c>
      <c r="Z22">
        <v>13.16</v>
      </c>
      <c r="AA22">
        <v>11.8</v>
      </c>
      <c r="AC22">
        <v>1519</v>
      </c>
      <c r="AD22">
        <v>79.459999999999994</v>
      </c>
      <c r="AE22">
        <v>52.64</v>
      </c>
      <c r="AF22">
        <v>11.8</v>
      </c>
    </row>
    <row r="23" spans="1:32" x14ac:dyDescent="0.35">
      <c r="A23">
        <v>20</v>
      </c>
      <c r="B23">
        <v>12.225</v>
      </c>
      <c r="C23">
        <v>13.16</v>
      </c>
      <c r="D23">
        <v>11.8</v>
      </c>
      <c r="E23">
        <f t="shared" si="0"/>
        <v>12.225</v>
      </c>
      <c r="F23">
        <f t="shared" si="1"/>
        <v>39.480000000000004</v>
      </c>
      <c r="G23">
        <f t="shared" si="2"/>
        <v>11.8</v>
      </c>
      <c r="H23">
        <f t="shared" si="3"/>
        <v>515</v>
      </c>
      <c r="I23">
        <f t="shared" si="4"/>
        <v>73.349999999999994</v>
      </c>
      <c r="J23">
        <f t="shared" si="5"/>
        <v>13.16</v>
      </c>
      <c r="K23">
        <f t="shared" si="6"/>
        <v>11.8</v>
      </c>
      <c r="L23">
        <f t="shared" si="7"/>
        <v>1018</v>
      </c>
      <c r="O23">
        <v>520</v>
      </c>
      <c r="P23">
        <v>12.225</v>
      </c>
      <c r="Q23">
        <v>52.64</v>
      </c>
      <c r="R23">
        <v>11.8</v>
      </c>
      <c r="S23">
        <f t="shared" si="8"/>
        <v>73.349999999999994</v>
      </c>
      <c r="T23">
        <f t="shared" si="9"/>
        <v>52.64</v>
      </c>
      <c r="U23">
        <f t="shared" si="10"/>
        <v>11.8</v>
      </c>
      <c r="V23">
        <f t="shared" si="11"/>
        <v>1518</v>
      </c>
      <c r="X23">
        <v>1020</v>
      </c>
      <c r="Y23">
        <v>85.57</v>
      </c>
      <c r="Z23">
        <v>13.16</v>
      </c>
      <c r="AA23">
        <v>11.8</v>
      </c>
      <c r="AC23">
        <v>1520</v>
      </c>
      <c r="AD23">
        <v>85.57</v>
      </c>
      <c r="AE23">
        <v>52.64</v>
      </c>
      <c r="AF23">
        <v>11.8</v>
      </c>
    </row>
    <row r="24" spans="1:32" x14ac:dyDescent="0.35">
      <c r="A24">
        <v>21</v>
      </c>
      <c r="B24">
        <v>0</v>
      </c>
      <c r="C24">
        <v>0</v>
      </c>
      <c r="D24">
        <v>17.75</v>
      </c>
      <c r="E24">
        <f t="shared" si="0"/>
        <v>0</v>
      </c>
      <c r="F24">
        <f t="shared" si="1"/>
        <v>52.64</v>
      </c>
      <c r="G24">
        <f t="shared" si="2"/>
        <v>17.75</v>
      </c>
      <c r="H24">
        <f t="shared" si="3"/>
        <v>523</v>
      </c>
      <c r="I24">
        <f t="shared" si="4"/>
        <v>85.57</v>
      </c>
      <c r="J24">
        <f t="shared" si="5"/>
        <v>0</v>
      </c>
      <c r="K24">
        <f t="shared" si="6"/>
        <v>17.75</v>
      </c>
      <c r="L24">
        <f t="shared" si="7"/>
        <v>1022</v>
      </c>
      <c r="O24">
        <v>521</v>
      </c>
      <c r="P24">
        <v>0</v>
      </c>
      <c r="Q24">
        <v>39.479999999999997</v>
      </c>
      <c r="R24">
        <v>17.75</v>
      </c>
      <c r="S24">
        <f t="shared" si="8"/>
        <v>85.57</v>
      </c>
      <c r="T24">
        <f t="shared" si="9"/>
        <v>39.479999999999997</v>
      </c>
      <c r="U24">
        <f t="shared" si="10"/>
        <v>17.75</v>
      </c>
      <c r="V24">
        <f t="shared" si="11"/>
        <v>1522</v>
      </c>
      <c r="X24">
        <v>1021</v>
      </c>
      <c r="Y24">
        <v>73.349999999999994</v>
      </c>
      <c r="Z24">
        <v>0</v>
      </c>
      <c r="AA24">
        <v>17.75</v>
      </c>
      <c r="AC24">
        <v>1521</v>
      </c>
      <c r="AD24">
        <v>73.349999999999994</v>
      </c>
      <c r="AE24">
        <v>39.479999999999997</v>
      </c>
      <c r="AF24">
        <v>17.75</v>
      </c>
    </row>
    <row r="25" spans="1:32" x14ac:dyDescent="0.35">
      <c r="A25">
        <v>22</v>
      </c>
      <c r="B25">
        <v>12.225</v>
      </c>
      <c r="C25">
        <v>0</v>
      </c>
      <c r="D25">
        <v>17.75</v>
      </c>
      <c r="E25">
        <f t="shared" si="0"/>
        <v>12.225</v>
      </c>
      <c r="F25">
        <f t="shared" si="1"/>
        <v>52.64</v>
      </c>
      <c r="G25">
        <f t="shared" si="2"/>
        <v>17.75</v>
      </c>
      <c r="H25">
        <f t="shared" si="3"/>
        <v>524</v>
      </c>
      <c r="I25">
        <f t="shared" si="4"/>
        <v>73.349999999999994</v>
      </c>
      <c r="J25">
        <f t="shared" si="5"/>
        <v>0</v>
      </c>
      <c r="K25">
        <f t="shared" si="6"/>
        <v>17.75</v>
      </c>
      <c r="L25">
        <f t="shared" si="7"/>
        <v>1021</v>
      </c>
      <c r="O25">
        <v>522</v>
      </c>
      <c r="P25">
        <v>12.225</v>
      </c>
      <c r="Q25">
        <v>39.479999999999997</v>
      </c>
      <c r="R25">
        <v>17.75</v>
      </c>
      <c r="S25">
        <f t="shared" si="8"/>
        <v>73.349999999999994</v>
      </c>
      <c r="T25">
        <f t="shared" si="9"/>
        <v>39.479999999999997</v>
      </c>
      <c r="U25">
        <f t="shared" si="10"/>
        <v>17.75</v>
      </c>
      <c r="V25">
        <f t="shared" si="11"/>
        <v>1521</v>
      </c>
      <c r="X25">
        <v>1022</v>
      </c>
      <c r="Y25">
        <v>85.57</v>
      </c>
      <c r="Z25">
        <v>0</v>
      </c>
      <c r="AA25">
        <v>17.75</v>
      </c>
      <c r="AC25">
        <v>1522</v>
      </c>
      <c r="AD25">
        <v>85.57</v>
      </c>
      <c r="AE25">
        <v>39.479999999999997</v>
      </c>
      <c r="AF25">
        <v>17.75</v>
      </c>
    </row>
    <row r="26" spans="1:32" x14ac:dyDescent="0.35">
      <c r="A26">
        <v>23</v>
      </c>
      <c r="B26">
        <v>0</v>
      </c>
      <c r="C26">
        <v>13.16</v>
      </c>
      <c r="D26">
        <v>17.75</v>
      </c>
      <c r="E26">
        <f t="shared" si="0"/>
        <v>0</v>
      </c>
      <c r="F26">
        <f t="shared" si="1"/>
        <v>39.480000000000004</v>
      </c>
      <c r="G26">
        <f t="shared" si="2"/>
        <v>17.75</v>
      </c>
      <c r="H26">
        <f t="shared" si="3"/>
        <v>521</v>
      </c>
      <c r="I26">
        <f t="shared" si="4"/>
        <v>85.57</v>
      </c>
      <c r="J26">
        <f t="shared" si="5"/>
        <v>13.16</v>
      </c>
      <c r="K26">
        <f t="shared" si="6"/>
        <v>17.75</v>
      </c>
      <c r="L26">
        <f t="shared" si="7"/>
        <v>1024</v>
      </c>
      <c r="O26">
        <v>523</v>
      </c>
      <c r="P26">
        <v>0</v>
      </c>
      <c r="Q26">
        <v>52.64</v>
      </c>
      <c r="R26">
        <v>17.75</v>
      </c>
      <c r="S26">
        <f t="shared" si="8"/>
        <v>85.57</v>
      </c>
      <c r="T26">
        <f t="shared" si="9"/>
        <v>52.64</v>
      </c>
      <c r="U26">
        <f t="shared" si="10"/>
        <v>17.75</v>
      </c>
      <c r="V26">
        <f t="shared" si="11"/>
        <v>1524</v>
      </c>
      <c r="X26">
        <v>1023</v>
      </c>
      <c r="Y26">
        <v>73.349999999999994</v>
      </c>
      <c r="Z26">
        <v>13.16</v>
      </c>
      <c r="AA26">
        <v>17.75</v>
      </c>
      <c r="AC26">
        <v>1523</v>
      </c>
      <c r="AD26">
        <v>73.349999999999994</v>
      </c>
      <c r="AE26">
        <v>52.64</v>
      </c>
      <c r="AF26">
        <v>17.75</v>
      </c>
    </row>
    <row r="27" spans="1:32" x14ac:dyDescent="0.35">
      <c r="A27">
        <v>24</v>
      </c>
      <c r="B27">
        <v>12.225</v>
      </c>
      <c r="C27">
        <v>13.16</v>
      </c>
      <c r="D27">
        <v>17.75</v>
      </c>
      <c r="E27">
        <f t="shared" si="0"/>
        <v>12.225</v>
      </c>
      <c r="F27">
        <f t="shared" si="1"/>
        <v>39.480000000000004</v>
      </c>
      <c r="G27">
        <f t="shared" si="2"/>
        <v>17.75</v>
      </c>
      <c r="H27">
        <f t="shared" si="3"/>
        <v>522</v>
      </c>
      <c r="I27">
        <f t="shared" si="4"/>
        <v>73.349999999999994</v>
      </c>
      <c r="J27">
        <f t="shared" si="5"/>
        <v>13.16</v>
      </c>
      <c r="K27">
        <f t="shared" si="6"/>
        <v>17.75</v>
      </c>
      <c r="L27">
        <f t="shared" si="7"/>
        <v>1023</v>
      </c>
      <c r="O27">
        <v>524</v>
      </c>
      <c r="P27">
        <v>12.225</v>
      </c>
      <c r="Q27">
        <v>52.64</v>
      </c>
      <c r="R27">
        <v>17.75</v>
      </c>
      <c r="S27">
        <f t="shared" si="8"/>
        <v>73.349999999999994</v>
      </c>
      <c r="T27">
        <f t="shared" si="9"/>
        <v>52.64</v>
      </c>
      <c r="U27">
        <f t="shared" si="10"/>
        <v>17.75</v>
      </c>
      <c r="V27">
        <f t="shared" si="11"/>
        <v>1523</v>
      </c>
      <c r="X27">
        <v>1024</v>
      </c>
      <c r="Y27">
        <v>85.57</v>
      </c>
      <c r="Z27">
        <v>13.16</v>
      </c>
      <c r="AA27">
        <v>17.75</v>
      </c>
      <c r="AC27">
        <v>1524</v>
      </c>
      <c r="AD27">
        <v>85.57</v>
      </c>
      <c r="AE27">
        <v>52.64</v>
      </c>
      <c r="AF27">
        <v>17.75</v>
      </c>
    </row>
    <row r="28" spans="1:32" x14ac:dyDescent="0.35">
      <c r="A28">
        <v>25</v>
      </c>
      <c r="B28">
        <v>-1.4</v>
      </c>
      <c r="C28">
        <v>-1.6</v>
      </c>
      <c r="D28">
        <v>19.149999999999999</v>
      </c>
      <c r="E28">
        <f t="shared" si="0"/>
        <v>-1.4</v>
      </c>
      <c r="F28">
        <f t="shared" si="1"/>
        <v>54.24</v>
      </c>
      <c r="G28">
        <f t="shared" si="2"/>
        <v>19.149999999999999</v>
      </c>
      <c r="H28">
        <f t="shared" si="3"/>
        <v>620</v>
      </c>
      <c r="I28">
        <f t="shared" si="4"/>
        <v>86.97</v>
      </c>
      <c r="J28">
        <f t="shared" si="5"/>
        <v>-1.6</v>
      </c>
      <c r="K28">
        <f t="shared" si="6"/>
        <v>19.149999999999999</v>
      </c>
      <c r="L28">
        <f t="shared" si="7"/>
        <v>1039</v>
      </c>
      <c r="O28">
        <v>525</v>
      </c>
      <c r="P28">
        <v>-1.4</v>
      </c>
      <c r="Q28">
        <v>39.479999999999997</v>
      </c>
      <c r="R28">
        <v>19.149999999999999</v>
      </c>
      <c r="S28">
        <f t="shared" si="8"/>
        <v>86.97</v>
      </c>
      <c r="T28">
        <f t="shared" si="9"/>
        <v>39.479999999999997</v>
      </c>
      <c r="U28">
        <f t="shared" si="10"/>
        <v>19.149999999999999</v>
      </c>
      <c r="V28">
        <f t="shared" si="11"/>
        <v>1538</v>
      </c>
      <c r="X28">
        <v>1025</v>
      </c>
      <c r="Y28">
        <v>73.349999999999994</v>
      </c>
      <c r="Z28">
        <v>-1.6</v>
      </c>
      <c r="AA28">
        <v>19.149999999999999</v>
      </c>
      <c r="AC28">
        <v>1525</v>
      </c>
      <c r="AD28">
        <v>73.349999999999994</v>
      </c>
      <c r="AE28">
        <v>39.479999999999997</v>
      </c>
      <c r="AF28">
        <v>19.149999999999999</v>
      </c>
    </row>
    <row r="29" spans="1:32" x14ac:dyDescent="0.35">
      <c r="A29">
        <v>26</v>
      </c>
      <c r="B29">
        <v>0</v>
      </c>
      <c r="C29">
        <v>-1.6</v>
      </c>
      <c r="D29">
        <v>19.149999999999999</v>
      </c>
      <c r="E29">
        <f t="shared" si="0"/>
        <v>0</v>
      </c>
      <c r="F29">
        <f t="shared" si="1"/>
        <v>54.24</v>
      </c>
      <c r="G29">
        <f t="shared" si="2"/>
        <v>19.149999999999999</v>
      </c>
      <c r="H29">
        <f t="shared" si="3"/>
        <v>621</v>
      </c>
      <c r="I29">
        <f t="shared" si="4"/>
        <v>85.57</v>
      </c>
      <c r="J29">
        <f t="shared" si="5"/>
        <v>-1.6</v>
      </c>
      <c r="K29">
        <f t="shared" si="6"/>
        <v>19.149999999999999</v>
      </c>
      <c r="L29">
        <f t="shared" si="7"/>
        <v>1038</v>
      </c>
      <c r="O29">
        <v>526</v>
      </c>
      <c r="P29">
        <v>0</v>
      </c>
      <c r="Q29">
        <v>39.479999999999997</v>
      </c>
      <c r="R29">
        <v>19.149999999999999</v>
      </c>
      <c r="S29">
        <f t="shared" si="8"/>
        <v>85.57</v>
      </c>
      <c r="T29">
        <f t="shared" si="9"/>
        <v>39.479999999999997</v>
      </c>
      <c r="U29">
        <f t="shared" si="10"/>
        <v>19.149999999999999</v>
      </c>
      <c r="V29">
        <f t="shared" si="11"/>
        <v>1537</v>
      </c>
      <c r="X29">
        <v>1026</v>
      </c>
      <c r="Y29">
        <v>74.349999999999994</v>
      </c>
      <c r="Z29">
        <v>-1.6</v>
      </c>
      <c r="AA29">
        <v>19.149999999999999</v>
      </c>
      <c r="AC29">
        <v>1526</v>
      </c>
      <c r="AD29">
        <v>74.97</v>
      </c>
      <c r="AE29">
        <v>39.479999999999997</v>
      </c>
      <c r="AF29">
        <v>19.149999999999999</v>
      </c>
    </row>
    <row r="30" spans="1:32" x14ac:dyDescent="0.35">
      <c r="A30">
        <v>27</v>
      </c>
      <c r="B30">
        <v>1.024</v>
      </c>
      <c r="C30">
        <v>-1.6</v>
      </c>
      <c r="D30">
        <v>19.149999999999999</v>
      </c>
      <c r="E30">
        <f t="shared" si="0"/>
        <v>1.024</v>
      </c>
      <c r="F30">
        <f t="shared" si="1"/>
        <v>54.24</v>
      </c>
      <c r="G30">
        <f t="shared" si="2"/>
        <v>19.149999999999999</v>
      </c>
      <c r="H30">
        <f t="shared" si="3"/>
        <v>622</v>
      </c>
      <c r="I30">
        <f t="shared" si="4"/>
        <v>84.55</v>
      </c>
      <c r="J30">
        <f t="shared" si="5"/>
        <v>-1.6</v>
      </c>
      <c r="K30">
        <f t="shared" si="6"/>
        <v>19.149999999999999</v>
      </c>
      <c r="L30">
        <f t="shared" si="7"/>
        <v>1037</v>
      </c>
      <c r="O30">
        <v>527</v>
      </c>
      <c r="P30">
        <v>1.621</v>
      </c>
      <c r="Q30">
        <v>39.479999999999997</v>
      </c>
      <c r="R30">
        <v>19.149999999999999</v>
      </c>
      <c r="S30">
        <f t="shared" si="8"/>
        <v>83.95</v>
      </c>
      <c r="T30">
        <f t="shared" si="9"/>
        <v>39.479999999999997</v>
      </c>
      <c r="U30">
        <f t="shared" si="10"/>
        <v>19.149999999999999</v>
      </c>
      <c r="V30">
        <f t="shared" si="11"/>
        <v>1536</v>
      </c>
      <c r="X30">
        <v>1027</v>
      </c>
      <c r="Y30">
        <v>75.38</v>
      </c>
      <c r="Z30">
        <v>-1.6</v>
      </c>
      <c r="AA30">
        <v>19.149999999999999</v>
      </c>
      <c r="AC30">
        <v>1527</v>
      </c>
      <c r="AD30">
        <v>76.58</v>
      </c>
      <c r="AE30">
        <v>39.479999999999997</v>
      </c>
      <c r="AF30">
        <v>19.149999999999999</v>
      </c>
    </row>
    <row r="31" spans="1:32" x14ac:dyDescent="0.35">
      <c r="A31">
        <v>28</v>
      </c>
      <c r="B31">
        <v>2.048</v>
      </c>
      <c r="C31">
        <v>-1.6</v>
      </c>
      <c r="D31">
        <v>19.149999999999999</v>
      </c>
      <c r="E31">
        <f t="shared" si="0"/>
        <v>2.048</v>
      </c>
      <c r="F31">
        <f t="shared" si="1"/>
        <v>54.24</v>
      </c>
      <c r="G31">
        <f t="shared" si="2"/>
        <v>19.149999999999999</v>
      </c>
      <c r="H31">
        <f t="shared" si="3"/>
        <v>623</v>
      </c>
      <c r="I31">
        <f t="shared" si="4"/>
        <v>83.52</v>
      </c>
      <c r="J31">
        <f t="shared" si="5"/>
        <v>-1.6</v>
      </c>
      <c r="K31">
        <f t="shared" si="6"/>
        <v>19.149999999999999</v>
      </c>
      <c r="L31">
        <f t="shared" si="7"/>
        <v>1036</v>
      </c>
      <c r="O31">
        <v>528</v>
      </c>
      <c r="P31">
        <v>3.234</v>
      </c>
      <c r="Q31">
        <v>39.479999999999997</v>
      </c>
      <c r="R31">
        <v>19.149999999999999</v>
      </c>
      <c r="S31">
        <f t="shared" si="8"/>
        <v>82.34</v>
      </c>
      <c r="T31">
        <f t="shared" si="9"/>
        <v>39.479999999999997</v>
      </c>
      <c r="U31">
        <f t="shared" si="10"/>
        <v>19.149999999999999</v>
      </c>
      <c r="V31">
        <f t="shared" si="11"/>
        <v>1535</v>
      </c>
      <c r="X31">
        <v>1028</v>
      </c>
      <c r="Y31">
        <v>76.400000000000006</v>
      </c>
      <c r="Z31">
        <v>-1.6</v>
      </c>
      <c r="AA31">
        <v>19.149999999999999</v>
      </c>
      <c r="AC31">
        <v>1528</v>
      </c>
      <c r="AD31">
        <v>78.19</v>
      </c>
      <c r="AE31">
        <v>39.479999999999997</v>
      </c>
      <c r="AF31">
        <v>19.149999999999999</v>
      </c>
    </row>
    <row r="32" spans="1:32" x14ac:dyDescent="0.35">
      <c r="A32">
        <v>29</v>
      </c>
      <c r="B32">
        <v>3.056</v>
      </c>
      <c r="C32">
        <v>-1.6</v>
      </c>
      <c r="D32">
        <v>19.149999999999999</v>
      </c>
      <c r="E32">
        <f t="shared" si="0"/>
        <v>3.056</v>
      </c>
      <c r="F32">
        <f t="shared" si="1"/>
        <v>54.24</v>
      </c>
      <c r="G32">
        <f t="shared" si="2"/>
        <v>19.149999999999999</v>
      </c>
      <c r="H32">
        <f t="shared" si="3"/>
        <v>624</v>
      </c>
      <c r="I32">
        <f t="shared" si="4"/>
        <v>82.51</v>
      </c>
      <c r="J32">
        <f t="shared" si="5"/>
        <v>-1.6</v>
      </c>
      <c r="K32">
        <f t="shared" si="6"/>
        <v>19.149999999999999</v>
      </c>
      <c r="L32">
        <f t="shared" si="7"/>
        <v>1035</v>
      </c>
      <c r="O32">
        <v>529</v>
      </c>
      <c r="P32">
        <v>4.8460000000000001</v>
      </c>
      <c r="Q32">
        <v>39.479999999999997</v>
      </c>
      <c r="R32">
        <v>19.149999999999999</v>
      </c>
      <c r="S32">
        <f t="shared" si="8"/>
        <v>80.72</v>
      </c>
      <c r="T32">
        <f t="shared" si="9"/>
        <v>39.479999999999997</v>
      </c>
      <c r="U32">
        <f t="shared" si="10"/>
        <v>19.149999999999999</v>
      </c>
      <c r="V32">
        <f t="shared" si="11"/>
        <v>1534</v>
      </c>
      <c r="X32">
        <v>1029</v>
      </c>
      <c r="Y32">
        <v>77.22</v>
      </c>
      <c r="Z32">
        <v>-1.6</v>
      </c>
      <c r="AA32">
        <v>19.149999999999999</v>
      </c>
      <c r="AC32">
        <v>1529</v>
      </c>
      <c r="AD32">
        <v>78.61</v>
      </c>
      <c r="AE32">
        <v>39.479999999999997</v>
      </c>
      <c r="AF32">
        <v>19.149999999999999</v>
      </c>
    </row>
    <row r="33" spans="1:32" x14ac:dyDescent="0.35">
      <c r="A33">
        <v>30</v>
      </c>
      <c r="B33">
        <v>3.8690000000000002</v>
      </c>
      <c r="C33">
        <v>-1.6</v>
      </c>
      <c r="D33">
        <v>19.149999999999999</v>
      </c>
      <c r="E33">
        <f t="shared" si="0"/>
        <v>3.8690000000000002</v>
      </c>
      <c r="F33">
        <f t="shared" si="1"/>
        <v>54.24</v>
      </c>
      <c r="G33">
        <f t="shared" si="2"/>
        <v>19.149999999999999</v>
      </c>
      <c r="H33">
        <f t="shared" si="3"/>
        <v>625</v>
      </c>
      <c r="I33">
        <f t="shared" si="4"/>
        <v>81.7</v>
      </c>
      <c r="J33">
        <f t="shared" si="5"/>
        <v>-1.6</v>
      </c>
      <c r="K33">
        <f t="shared" si="6"/>
        <v>19.149999999999999</v>
      </c>
      <c r="L33">
        <f t="shared" si="7"/>
        <v>1034</v>
      </c>
      <c r="O33">
        <v>530</v>
      </c>
      <c r="P33">
        <v>5.2619999999999996</v>
      </c>
      <c r="Q33">
        <v>39.479999999999997</v>
      </c>
      <c r="R33">
        <v>19.149999999999999</v>
      </c>
      <c r="S33">
        <f t="shared" si="8"/>
        <v>80.31</v>
      </c>
      <c r="T33">
        <f t="shared" si="9"/>
        <v>39.479999999999997</v>
      </c>
      <c r="U33">
        <f t="shared" si="10"/>
        <v>19.149999999999999</v>
      </c>
      <c r="V33">
        <f t="shared" si="11"/>
        <v>1533</v>
      </c>
      <c r="X33">
        <v>1030</v>
      </c>
      <c r="Y33">
        <v>78.03</v>
      </c>
      <c r="Z33">
        <v>-1.6</v>
      </c>
      <c r="AA33">
        <v>19.149999999999999</v>
      </c>
      <c r="AC33">
        <v>1530</v>
      </c>
      <c r="AD33">
        <v>78.84</v>
      </c>
      <c r="AE33">
        <v>39.479999999999997</v>
      </c>
      <c r="AF33">
        <v>19.149999999999999</v>
      </c>
    </row>
    <row r="34" spans="1:32" x14ac:dyDescent="0.35">
      <c r="A34">
        <v>31</v>
      </c>
      <c r="B34">
        <v>4.6820000000000004</v>
      </c>
      <c r="C34">
        <v>-1.6</v>
      </c>
      <c r="D34">
        <v>19.149999999999999</v>
      </c>
      <c r="E34">
        <f t="shared" si="0"/>
        <v>4.6820000000000004</v>
      </c>
      <c r="F34">
        <f t="shared" si="1"/>
        <v>54.24</v>
      </c>
      <c r="G34">
        <f t="shared" si="2"/>
        <v>19.149999999999999</v>
      </c>
      <c r="H34">
        <f t="shared" si="3"/>
        <v>626</v>
      </c>
      <c r="I34">
        <f t="shared" si="4"/>
        <v>80.89</v>
      </c>
      <c r="J34">
        <f t="shared" si="5"/>
        <v>-1.6</v>
      </c>
      <c r="K34">
        <f t="shared" si="6"/>
        <v>19.149999999999999</v>
      </c>
      <c r="L34">
        <f t="shared" si="7"/>
        <v>1033</v>
      </c>
      <c r="O34">
        <v>531</v>
      </c>
      <c r="P34">
        <v>5.4969999999999999</v>
      </c>
      <c r="Q34">
        <v>39.479999999999997</v>
      </c>
      <c r="R34">
        <v>19.149999999999999</v>
      </c>
      <c r="S34">
        <f t="shared" si="8"/>
        <v>80.069999999999993</v>
      </c>
      <c r="T34">
        <f t="shared" si="9"/>
        <v>39.479999999999997</v>
      </c>
      <c r="U34">
        <f t="shared" si="10"/>
        <v>19.149999999999999</v>
      </c>
      <c r="V34">
        <f t="shared" si="11"/>
        <v>1532</v>
      </c>
      <c r="X34">
        <v>1031</v>
      </c>
      <c r="Y34">
        <v>78.84</v>
      </c>
      <c r="Z34">
        <v>-1.6</v>
      </c>
      <c r="AA34">
        <v>19.149999999999999</v>
      </c>
      <c r="AC34">
        <v>1531</v>
      </c>
      <c r="AD34">
        <v>79.459999999999994</v>
      </c>
      <c r="AE34">
        <v>39.479999999999997</v>
      </c>
      <c r="AF34">
        <v>19.149999999999999</v>
      </c>
    </row>
    <row r="35" spans="1:32" x14ac:dyDescent="0.35">
      <c r="A35">
        <v>32</v>
      </c>
      <c r="B35">
        <v>5.4969999999999999</v>
      </c>
      <c r="C35">
        <v>-1.6</v>
      </c>
      <c r="D35">
        <v>19.149999999999999</v>
      </c>
      <c r="E35">
        <f t="shared" si="0"/>
        <v>5.4969999999999999</v>
      </c>
      <c r="F35">
        <f t="shared" si="1"/>
        <v>54.24</v>
      </c>
      <c r="G35">
        <f t="shared" si="2"/>
        <v>19.149999999999999</v>
      </c>
      <c r="H35">
        <f t="shared" si="3"/>
        <v>627</v>
      </c>
      <c r="I35">
        <f t="shared" si="4"/>
        <v>80.069999999999993</v>
      </c>
      <c r="J35">
        <f t="shared" si="5"/>
        <v>-1.6</v>
      </c>
      <c r="K35">
        <f t="shared" si="6"/>
        <v>19.149999999999999</v>
      </c>
      <c r="L35">
        <f t="shared" si="7"/>
        <v>1032</v>
      </c>
      <c r="O35">
        <v>532</v>
      </c>
      <c r="P35">
        <v>6.1120000000000001</v>
      </c>
      <c r="Q35">
        <v>39.479999999999997</v>
      </c>
      <c r="R35">
        <v>19.149999999999999</v>
      </c>
      <c r="S35">
        <f t="shared" si="8"/>
        <v>79.459999999999994</v>
      </c>
      <c r="T35">
        <f t="shared" si="9"/>
        <v>39.479999999999997</v>
      </c>
      <c r="U35">
        <f t="shared" si="10"/>
        <v>19.149999999999999</v>
      </c>
      <c r="V35">
        <f t="shared" si="11"/>
        <v>1531</v>
      </c>
      <c r="X35">
        <v>1032</v>
      </c>
      <c r="Y35">
        <v>80.069999999999993</v>
      </c>
      <c r="Z35">
        <v>-1.6</v>
      </c>
      <c r="AA35">
        <v>19.149999999999999</v>
      </c>
      <c r="AC35">
        <v>1532</v>
      </c>
      <c r="AD35">
        <v>80.069999999999993</v>
      </c>
      <c r="AE35">
        <v>39.479999999999997</v>
      </c>
      <c r="AF35">
        <v>19.149999999999999</v>
      </c>
    </row>
    <row r="36" spans="1:32" x14ac:dyDescent="0.35">
      <c r="A36">
        <v>33</v>
      </c>
      <c r="B36">
        <v>6.7270000000000003</v>
      </c>
      <c r="C36">
        <v>-1.6</v>
      </c>
      <c r="D36">
        <v>19.149999999999999</v>
      </c>
      <c r="E36">
        <f t="shared" si="0"/>
        <v>6.7270000000000003</v>
      </c>
      <c r="F36">
        <f t="shared" si="1"/>
        <v>54.24</v>
      </c>
      <c r="G36">
        <f t="shared" si="2"/>
        <v>19.149999999999999</v>
      </c>
      <c r="H36">
        <f t="shared" si="3"/>
        <v>628</v>
      </c>
      <c r="I36">
        <f t="shared" si="4"/>
        <v>78.84</v>
      </c>
      <c r="J36">
        <f t="shared" si="5"/>
        <v>-1.6</v>
      </c>
      <c r="K36">
        <f t="shared" si="6"/>
        <v>19.149999999999999</v>
      </c>
      <c r="L36">
        <f t="shared" si="7"/>
        <v>1031</v>
      </c>
      <c r="O36">
        <v>533</v>
      </c>
      <c r="P36">
        <v>6.7270000000000003</v>
      </c>
      <c r="Q36">
        <v>39.479999999999997</v>
      </c>
      <c r="R36">
        <v>19.149999999999999</v>
      </c>
      <c r="S36">
        <f t="shared" si="8"/>
        <v>78.84</v>
      </c>
      <c r="T36">
        <f t="shared" si="9"/>
        <v>39.479999999999997</v>
      </c>
      <c r="U36">
        <f t="shared" si="10"/>
        <v>19.149999999999999</v>
      </c>
      <c r="V36">
        <f t="shared" si="11"/>
        <v>1530</v>
      </c>
      <c r="X36">
        <v>1033</v>
      </c>
      <c r="Y36">
        <v>80.89</v>
      </c>
      <c r="Z36">
        <v>-1.6</v>
      </c>
      <c r="AA36">
        <v>19.149999999999999</v>
      </c>
      <c r="AC36">
        <v>1533</v>
      </c>
      <c r="AD36">
        <v>80.31</v>
      </c>
      <c r="AE36">
        <v>39.479999999999997</v>
      </c>
      <c r="AF36">
        <v>19.149999999999999</v>
      </c>
    </row>
    <row r="37" spans="1:32" x14ac:dyDescent="0.35">
      <c r="A37">
        <v>34</v>
      </c>
      <c r="B37">
        <v>7.54</v>
      </c>
      <c r="C37">
        <v>-1.6</v>
      </c>
      <c r="D37">
        <v>19.149999999999999</v>
      </c>
      <c r="E37">
        <f t="shared" si="0"/>
        <v>7.54</v>
      </c>
      <c r="F37">
        <f t="shared" si="1"/>
        <v>54.24</v>
      </c>
      <c r="G37">
        <f t="shared" si="2"/>
        <v>19.149999999999999</v>
      </c>
      <c r="H37">
        <f t="shared" si="3"/>
        <v>629</v>
      </c>
      <c r="I37">
        <f t="shared" si="4"/>
        <v>78.03</v>
      </c>
      <c r="J37">
        <f t="shared" si="5"/>
        <v>-1.6</v>
      </c>
      <c r="K37">
        <f t="shared" si="6"/>
        <v>19.149999999999999</v>
      </c>
      <c r="L37">
        <f t="shared" si="7"/>
        <v>1030</v>
      </c>
      <c r="O37">
        <v>534</v>
      </c>
      <c r="P37">
        <v>6.9619999999999997</v>
      </c>
      <c r="Q37">
        <v>39.479999999999997</v>
      </c>
      <c r="R37">
        <v>19.149999999999999</v>
      </c>
      <c r="S37">
        <f t="shared" si="8"/>
        <v>78.61</v>
      </c>
      <c r="T37">
        <f t="shared" si="9"/>
        <v>39.479999999999997</v>
      </c>
      <c r="U37">
        <f t="shared" si="10"/>
        <v>19.149999999999999</v>
      </c>
      <c r="V37">
        <f t="shared" si="11"/>
        <v>1529</v>
      </c>
      <c r="X37">
        <v>1034</v>
      </c>
      <c r="Y37">
        <v>81.7</v>
      </c>
      <c r="Z37">
        <v>-1.6</v>
      </c>
      <c r="AA37">
        <v>19.149999999999999</v>
      </c>
      <c r="AC37">
        <v>1534</v>
      </c>
      <c r="AD37">
        <v>80.72</v>
      </c>
      <c r="AE37">
        <v>39.479999999999997</v>
      </c>
      <c r="AF37">
        <v>19.149999999999999</v>
      </c>
    </row>
    <row r="38" spans="1:32" x14ac:dyDescent="0.35">
      <c r="A38">
        <v>35</v>
      </c>
      <c r="B38">
        <v>8.3529999999999998</v>
      </c>
      <c r="C38">
        <v>-1.6</v>
      </c>
      <c r="D38">
        <v>19.149999999999999</v>
      </c>
      <c r="E38">
        <f t="shared" si="0"/>
        <v>8.3529999999999998</v>
      </c>
      <c r="F38">
        <f t="shared" si="1"/>
        <v>54.24</v>
      </c>
      <c r="G38">
        <f t="shared" si="2"/>
        <v>19.149999999999999</v>
      </c>
      <c r="H38">
        <f t="shared" si="3"/>
        <v>630</v>
      </c>
      <c r="I38">
        <f t="shared" si="4"/>
        <v>77.22</v>
      </c>
      <c r="J38">
        <f t="shared" si="5"/>
        <v>-1.6</v>
      </c>
      <c r="K38">
        <f t="shared" si="6"/>
        <v>19.149999999999999</v>
      </c>
      <c r="L38">
        <f t="shared" si="7"/>
        <v>1029</v>
      </c>
      <c r="O38">
        <v>535</v>
      </c>
      <c r="P38">
        <v>7.3789999999999996</v>
      </c>
      <c r="Q38">
        <v>39.479999999999997</v>
      </c>
      <c r="R38">
        <v>19.149999999999999</v>
      </c>
      <c r="S38">
        <f t="shared" si="8"/>
        <v>78.19</v>
      </c>
      <c r="T38">
        <f t="shared" si="9"/>
        <v>39.479999999999997</v>
      </c>
      <c r="U38">
        <f t="shared" si="10"/>
        <v>19.149999999999999</v>
      </c>
      <c r="V38">
        <f t="shared" si="11"/>
        <v>1528</v>
      </c>
      <c r="X38">
        <v>1035</v>
      </c>
      <c r="Y38">
        <v>82.51</v>
      </c>
      <c r="Z38">
        <v>-1.6</v>
      </c>
      <c r="AA38">
        <v>19.149999999999999</v>
      </c>
      <c r="AC38">
        <v>1535</v>
      </c>
      <c r="AD38">
        <v>82.34</v>
      </c>
      <c r="AE38">
        <v>39.479999999999997</v>
      </c>
      <c r="AF38">
        <v>19.149999999999999</v>
      </c>
    </row>
    <row r="39" spans="1:32" x14ac:dyDescent="0.35">
      <c r="A39">
        <v>36</v>
      </c>
      <c r="B39">
        <v>9.1690000000000005</v>
      </c>
      <c r="C39">
        <v>-1.6</v>
      </c>
      <c r="D39">
        <v>19.149999999999999</v>
      </c>
      <c r="E39">
        <f t="shared" si="0"/>
        <v>9.1690000000000005</v>
      </c>
      <c r="F39">
        <f t="shared" si="1"/>
        <v>54.24</v>
      </c>
      <c r="G39">
        <f t="shared" si="2"/>
        <v>19.149999999999999</v>
      </c>
      <c r="H39">
        <f t="shared" si="3"/>
        <v>631</v>
      </c>
      <c r="I39">
        <f t="shared" si="4"/>
        <v>76.400000000000006</v>
      </c>
      <c r="J39">
        <f t="shared" si="5"/>
        <v>-1.6</v>
      </c>
      <c r="K39">
        <f t="shared" si="6"/>
        <v>19.149999999999999</v>
      </c>
      <c r="L39">
        <f t="shared" si="7"/>
        <v>1028</v>
      </c>
      <c r="O39">
        <v>536</v>
      </c>
      <c r="P39">
        <v>8.9909999999999997</v>
      </c>
      <c r="Q39">
        <v>39.479999999999997</v>
      </c>
      <c r="R39">
        <v>19.149999999999999</v>
      </c>
      <c r="S39">
        <f t="shared" si="8"/>
        <v>76.58</v>
      </c>
      <c r="T39">
        <f t="shared" si="9"/>
        <v>39.479999999999997</v>
      </c>
      <c r="U39">
        <f t="shared" si="10"/>
        <v>19.149999999999999</v>
      </c>
      <c r="V39">
        <f t="shared" si="11"/>
        <v>1527</v>
      </c>
      <c r="X39">
        <v>1036</v>
      </c>
      <c r="Y39">
        <v>83.52</v>
      </c>
      <c r="Z39">
        <v>-1.6</v>
      </c>
      <c r="AA39">
        <v>19.149999999999999</v>
      </c>
      <c r="AC39">
        <v>1536</v>
      </c>
      <c r="AD39">
        <v>83.95</v>
      </c>
      <c r="AE39">
        <v>39.479999999999997</v>
      </c>
      <c r="AF39">
        <v>19.149999999999999</v>
      </c>
    </row>
    <row r="40" spans="1:32" x14ac:dyDescent="0.35">
      <c r="A40">
        <v>37</v>
      </c>
      <c r="B40">
        <v>10.193</v>
      </c>
      <c r="C40">
        <v>-1.6</v>
      </c>
      <c r="D40">
        <v>19.149999999999999</v>
      </c>
      <c r="E40">
        <f t="shared" si="0"/>
        <v>10.193</v>
      </c>
      <c r="F40">
        <f t="shared" si="1"/>
        <v>54.24</v>
      </c>
      <c r="G40">
        <f t="shared" si="2"/>
        <v>19.149999999999999</v>
      </c>
      <c r="H40">
        <f t="shared" si="3"/>
        <v>632</v>
      </c>
      <c r="I40">
        <f t="shared" si="4"/>
        <v>75.38</v>
      </c>
      <c r="J40">
        <f t="shared" si="5"/>
        <v>-1.6</v>
      </c>
      <c r="K40">
        <f t="shared" si="6"/>
        <v>19.149999999999999</v>
      </c>
      <c r="L40">
        <f t="shared" si="7"/>
        <v>1027</v>
      </c>
      <c r="O40">
        <v>537</v>
      </c>
      <c r="P40">
        <v>10.603999999999999</v>
      </c>
      <c r="Q40">
        <v>39.479999999999997</v>
      </c>
      <c r="R40">
        <v>19.149999999999999</v>
      </c>
      <c r="S40">
        <f t="shared" si="8"/>
        <v>74.97</v>
      </c>
      <c r="T40">
        <f t="shared" si="9"/>
        <v>39.479999999999997</v>
      </c>
      <c r="U40">
        <f t="shared" si="10"/>
        <v>19.149999999999999</v>
      </c>
      <c r="V40">
        <f t="shared" si="11"/>
        <v>1526</v>
      </c>
      <c r="X40">
        <v>1037</v>
      </c>
      <c r="Y40">
        <v>84.55</v>
      </c>
      <c r="Z40">
        <v>-1.6</v>
      </c>
      <c r="AA40">
        <v>19.149999999999999</v>
      </c>
      <c r="AC40">
        <v>1537</v>
      </c>
      <c r="AD40">
        <v>85.57</v>
      </c>
      <c r="AE40">
        <v>39.479999999999997</v>
      </c>
      <c r="AF40">
        <v>19.149999999999999</v>
      </c>
    </row>
    <row r="41" spans="1:32" x14ac:dyDescent="0.35">
      <c r="A41">
        <v>38</v>
      </c>
      <c r="B41">
        <v>11.217000000000001</v>
      </c>
      <c r="C41">
        <v>-1.6</v>
      </c>
      <c r="D41">
        <v>19.149999999999999</v>
      </c>
      <c r="E41">
        <f t="shared" si="0"/>
        <v>11.217000000000001</v>
      </c>
      <c r="F41">
        <f t="shared" si="1"/>
        <v>54.24</v>
      </c>
      <c r="G41">
        <f t="shared" si="2"/>
        <v>19.149999999999999</v>
      </c>
      <c r="H41">
        <f t="shared" si="3"/>
        <v>633</v>
      </c>
      <c r="I41">
        <f t="shared" si="4"/>
        <v>74.349999999999994</v>
      </c>
      <c r="J41">
        <f t="shared" si="5"/>
        <v>-1.6</v>
      </c>
      <c r="K41">
        <f t="shared" si="6"/>
        <v>19.149999999999999</v>
      </c>
      <c r="L41">
        <f t="shared" si="7"/>
        <v>1026</v>
      </c>
      <c r="O41">
        <v>538</v>
      </c>
      <c r="P41">
        <v>12.225</v>
      </c>
      <c r="Q41">
        <v>39.479999999999997</v>
      </c>
      <c r="R41">
        <v>19.149999999999999</v>
      </c>
      <c r="S41">
        <f t="shared" si="8"/>
        <v>73.349999999999994</v>
      </c>
      <c r="T41">
        <f t="shared" si="9"/>
        <v>39.479999999999997</v>
      </c>
      <c r="U41">
        <f t="shared" si="10"/>
        <v>19.149999999999999</v>
      </c>
      <c r="V41">
        <f t="shared" si="11"/>
        <v>1525</v>
      </c>
      <c r="X41">
        <v>1038</v>
      </c>
      <c r="Y41">
        <v>85.57</v>
      </c>
      <c r="Z41">
        <v>-1.6</v>
      </c>
      <c r="AA41">
        <v>19.149999999999999</v>
      </c>
      <c r="AC41">
        <v>1538</v>
      </c>
      <c r="AD41">
        <v>86.97</v>
      </c>
      <c r="AE41">
        <v>39.479999999999997</v>
      </c>
      <c r="AF41">
        <v>19.149999999999999</v>
      </c>
    </row>
    <row r="42" spans="1:32" x14ac:dyDescent="0.35">
      <c r="A42">
        <v>39</v>
      </c>
      <c r="B42">
        <v>12.225</v>
      </c>
      <c r="C42">
        <v>-1.6</v>
      </c>
      <c r="D42">
        <v>19.149999999999999</v>
      </c>
      <c r="E42">
        <f t="shared" si="0"/>
        <v>12.225</v>
      </c>
      <c r="F42">
        <f t="shared" si="1"/>
        <v>54.24</v>
      </c>
      <c r="G42">
        <f t="shared" si="2"/>
        <v>19.149999999999999</v>
      </c>
      <c r="H42">
        <f t="shared" si="3"/>
        <v>634</v>
      </c>
      <c r="I42">
        <f t="shared" si="4"/>
        <v>73.349999999999994</v>
      </c>
      <c r="J42">
        <f t="shared" si="5"/>
        <v>-1.6</v>
      </c>
      <c r="K42">
        <f t="shared" si="6"/>
        <v>19.149999999999999</v>
      </c>
      <c r="L42">
        <f t="shared" si="7"/>
        <v>1025</v>
      </c>
      <c r="O42">
        <v>539</v>
      </c>
      <c r="P42">
        <v>3.8140000000000001</v>
      </c>
      <c r="Q42">
        <v>40.511000000000003</v>
      </c>
      <c r="R42">
        <v>19.149999999999999</v>
      </c>
      <c r="S42">
        <f t="shared" si="8"/>
        <v>81.760000000000005</v>
      </c>
      <c r="T42">
        <f t="shared" si="9"/>
        <v>40.511000000000003</v>
      </c>
      <c r="U42">
        <f t="shared" si="10"/>
        <v>19.149999999999999</v>
      </c>
      <c r="V42">
        <f t="shared" si="11"/>
        <v>1541</v>
      </c>
      <c r="X42">
        <v>1039</v>
      </c>
      <c r="Y42">
        <v>86.97</v>
      </c>
      <c r="Z42">
        <v>-1.6</v>
      </c>
      <c r="AA42">
        <v>19.149999999999999</v>
      </c>
      <c r="AC42">
        <v>1539</v>
      </c>
      <c r="AD42">
        <v>77.16</v>
      </c>
      <c r="AE42">
        <v>40.511000000000003</v>
      </c>
      <c r="AF42">
        <v>19.149999999999999</v>
      </c>
    </row>
    <row r="43" spans="1:32" x14ac:dyDescent="0.35">
      <c r="A43">
        <v>40</v>
      </c>
      <c r="B43">
        <v>-1.4</v>
      </c>
      <c r="C43">
        <v>-0.35</v>
      </c>
      <c r="D43">
        <v>19.149999999999999</v>
      </c>
      <c r="E43">
        <f t="shared" si="0"/>
        <v>-1.4</v>
      </c>
      <c r="F43">
        <f t="shared" si="1"/>
        <v>52.99</v>
      </c>
      <c r="G43">
        <f t="shared" si="2"/>
        <v>19.149999999999999</v>
      </c>
      <c r="H43">
        <f t="shared" si="3"/>
        <v>614</v>
      </c>
      <c r="I43">
        <f t="shared" si="4"/>
        <v>86.97</v>
      </c>
      <c r="J43">
        <f t="shared" si="5"/>
        <v>-0.35</v>
      </c>
      <c r="K43">
        <f t="shared" si="6"/>
        <v>19.149999999999999</v>
      </c>
      <c r="L43">
        <f t="shared" si="7"/>
        <v>1045</v>
      </c>
      <c r="O43">
        <v>540</v>
      </c>
      <c r="P43">
        <v>6.1120000000000001</v>
      </c>
      <c r="Q43">
        <v>40.511000000000003</v>
      </c>
      <c r="R43">
        <v>19.149999999999999</v>
      </c>
      <c r="S43">
        <f t="shared" si="8"/>
        <v>79.459999999999994</v>
      </c>
      <c r="T43">
        <f t="shared" si="9"/>
        <v>40.511000000000003</v>
      </c>
      <c r="U43">
        <f t="shared" si="10"/>
        <v>19.149999999999999</v>
      </c>
      <c r="V43">
        <f t="shared" si="11"/>
        <v>1540</v>
      </c>
      <c r="X43">
        <v>1040</v>
      </c>
      <c r="Y43">
        <v>76.400000000000006</v>
      </c>
      <c r="Z43">
        <v>-0.35</v>
      </c>
      <c r="AA43">
        <v>19.149999999999999</v>
      </c>
      <c r="AC43">
        <v>1540</v>
      </c>
      <c r="AD43">
        <v>79.459999999999994</v>
      </c>
      <c r="AE43">
        <v>40.511000000000003</v>
      </c>
      <c r="AF43">
        <v>19.149999999999999</v>
      </c>
    </row>
    <row r="44" spans="1:32" x14ac:dyDescent="0.35">
      <c r="A44">
        <v>41</v>
      </c>
      <c r="B44">
        <v>0</v>
      </c>
      <c r="C44">
        <v>-0.35</v>
      </c>
      <c r="D44">
        <v>19.149999999999999</v>
      </c>
      <c r="E44">
        <f t="shared" si="0"/>
        <v>0</v>
      </c>
      <c r="F44">
        <f t="shared" si="1"/>
        <v>52.99</v>
      </c>
      <c r="G44">
        <f t="shared" si="2"/>
        <v>19.149999999999999</v>
      </c>
      <c r="H44">
        <f t="shared" si="3"/>
        <v>615</v>
      </c>
      <c r="I44">
        <f t="shared" si="4"/>
        <v>85.57</v>
      </c>
      <c r="J44">
        <f t="shared" si="5"/>
        <v>-0.35</v>
      </c>
      <c r="K44">
        <f t="shared" si="6"/>
        <v>19.149999999999999</v>
      </c>
      <c r="L44">
        <f t="shared" si="7"/>
        <v>1044</v>
      </c>
      <c r="O44">
        <v>541</v>
      </c>
      <c r="P44">
        <v>8.4109999999999996</v>
      </c>
      <c r="Q44">
        <v>40.511000000000003</v>
      </c>
      <c r="R44">
        <v>19.149999999999999</v>
      </c>
      <c r="S44">
        <f t="shared" si="8"/>
        <v>77.16</v>
      </c>
      <c r="T44">
        <f t="shared" si="9"/>
        <v>40.511000000000003</v>
      </c>
      <c r="U44">
        <f t="shared" si="10"/>
        <v>19.149999999999999</v>
      </c>
      <c r="V44">
        <f t="shared" si="11"/>
        <v>1539</v>
      </c>
      <c r="X44">
        <v>1041</v>
      </c>
      <c r="Y44">
        <v>78.84</v>
      </c>
      <c r="Z44">
        <v>-0.35</v>
      </c>
      <c r="AA44">
        <v>19.149999999999999</v>
      </c>
      <c r="AC44">
        <v>1541</v>
      </c>
      <c r="AD44">
        <v>81.760000000000005</v>
      </c>
      <c r="AE44">
        <v>40.511000000000003</v>
      </c>
      <c r="AF44">
        <v>19.149999999999999</v>
      </c>
    </row>
    <row r="45" spans="1:32" x14ac:dyDescent="0.35">
      <c r="A45">
        <v>42</v>
      </c>
      <c r="B45">
        <v>3.056</v>
      </c>
      <c r="C45">
        <v>-0.35</v>
      </c>
      <c r="D45">
        <v>19.149999999999999</v>
      </c>
      <c r="E45">
        <f t="shared" si="0"/>
        <v>3.056</v>
      </c>
      <c r="F45">
        <f t="shared" si="1"/>
        <v>52.99</v>
      </c>
      <c r="G45">
        <f t="shared" si="2"/>
        <v>19.149999999999999</v>
      </c>
      <c r="H45">
        <f t="shared" si="3"/>
        <v>616</v>
      </c>
      <c r="I45">
        <f t="shared" si="4"/>
        <v>82.51</v>
      </c>
      <c r="J45">
        <f t="shared" si="5"/>
        <v>-0.35</v>
      </c>
      <c r="K45">
        <f t="shared" si="6"/>
        <v>19.149999999999999</v>
      </c>
      <c r="L45">
        <f t="shared" si="7"/>
        <v>1043</v>
      </c>
      <c r="O45">
        <v>542</v>
      </c>
      <c r="P45">
        <v>6.1120000000000001</v>
      </c>
      <c r="Q45">
        <v>40.826000000000001</v>
      </c>
      <c r="R45">
        <v>19.149999999999999</v>
      </c>
      <c r="S45">
        <f t="shared" si="8"/>
        <v>79.459999999999994</v>
      </c>
      <c r="T45">
        <f t="shared" si="9"/>
        <v>40.826000000000001</v>
      </c>
      <c r="U45">
        <f t="shared" si="10"/>
        <v>19.149999999999999</v>
      </c>
      <c r="V45">
        <f t="shared" si="11"/>
        <v>1542</v>
      </c>
      <c r="X45">
        <v>1042</v>
      </c>
      <c r="Y45">
        <v>80.069999999999993</v>
      </c>
      <c r="Z45">
        <v>-0.35</v>
      </c>
      <c r="AA45">
        <v>19.149999999999999</v>
      </c>
      <c r="AC45">
        <v>1542</v>
      </c>
      <c r="AD45">
        <v>79.459999999999994</v>
      </c>
      <c r="AE45">
        <v>40.826000000000001</v>
      </c>
      <c r="AF45">
        <v>19.149999999999999</v>
      </c>
    </row>
    <row r="46" spans="1:32" x14ac:dyDescent="0.35">
      <c r="A46">
        <v>43</v>
      </c>
      <c r="B46">
        <v>5.4969999999999999</v>
      </c>
      <c r="C46">
        <v>-0.35</v>
      </c>
      <c r="D46">
        <v>19.149999999999999</v>
      </c>
      <c r="E46">
        <f t="shared" si="0"/>
        <v>5.4969999999999999</v>
      </c>
      <c r="F46">
        <f t="shared" si="1"/>
        <v>52.99</v>
      </c>
      <c r="G46">
        <f t="shared" si="2"/>
        <v>19.149999999999999</v>
      </c>
      <c r="H46">
        <f t="shared" si="3"/>
        <v>617</v>
      </c>
      <c r="I46">
        <f t="shared" si="4"/>
        <v>80.069999999999993</v>
      </c>
      <c r="J46">
        <f t="shared" si="5"/>
        <v>-0.35</v>
      </c>
      <c r="K46">
        <f t="shared" si="6"/>
        <v>19.149999999999999</v>
      </c>
      <c r="L46">
        <f t="shared" si="7"/>
        <v>1042</v>
      </c>
      <c r="O46">
        <v>543</v>
      </c>
      <c r="P46">
        <v>0</v>
      </c>
      <c r="Q46">
        <v>41.100999999999999</v>
      </c>
      <c r="R46">
        <v>19.149999999999999</v>
      </c>
      <c r="S46">
        <f t="shared" si="8"/>
        <v>85.57</v>
      </c>
      <c r="T46">
        <f t="shared" si="9"/>
        <v>41.100999999999999</v>
      </c>
      <c r="U46">
        <f t="shared" si="10"/>
        <v>19.149999999999999</v>
      </c>
      <c r="V46">
        <f t="shared" si="11"/>
        <v>1544</v>
      </c>
      <c r="X46">
        <v>1043</v>
      </c>
      <c r="Y46">
        <v>82.51</v>
      </c>
      <c r="Z46">
        <v>-0.35</v>
      </c>
      <c r="AA46">
        <v>19.149999999999999</v>
      </c>
      <c r="AC46">
        <v>1543</v>
      </c>
      <c r="AD46">
        <v>73.349999999999994</v>
      </c>
      <c r="AE46">
        <v>41.100999999999999</v>
      </c>
      <c r="AF46">
        <v>19.149999999999999</v>
      </c>
    </row>
    <row r="47" spans="1:32" x14ac:dyDescent="0.35">
      <c r="A47">
        <v>44</v>
      </c>
      <c r="B47">
        <v>6.7270000000000003</v>
      </c>
      <c r="C47">
        <v>-0.35</v>
      </c>
      <c r="D47">
        <v>19.149999999999999</v>
      </c>
      <c r="E47">
        <f t="shared" si="0"/>
        <v>6.7270000000000003</v>
      </c>
      <c r="F47">
        <f t="shared" si="1"/>
        <v>52.99</v>
      </c>
      <c r="G47">
        <f t="shared" si="2"/>
        <v>19.149999999999999</v>
      </c>
      <c r="H47">
        <f t="shared" si="3"/>
        <v>618</v>
      </c>
      <c r="I47">
        <f t="shared" si="4"/>
        <v>78.84</v>
      </c>
      <c r="J47">
        <f t="shared" si="5"/>
        <v>-0.35</v>
      </c>
      <c r="K47">
        <f t="shared" si="6"/>
        <v>19.149999999999999</v>
      </c>
      <c r="L47">
        <f t="shared" si="7"/>
        <v>1041</v>
      </c>
      <c r="O47">
        <v>544</v>
      </c>
      <c r="P47">
        <v>12.225</v>
      </c>
      <c r="Q47">
        <v>41.100999999999999</v>
      </c>
      <c r="R47">
        <v>19.149999999999999</v>
      </c>
      <c r="S47">
        <f t="shared" si="8"/>
        <v>73.349999999999994</v>
      </c>
      <c r="T47">
        <f t="shared" si="9"/>
        <v>41.100999999999999</v>
      </c>
      <c r="U47">
        <f t="shared" si="10"/>
        <v>19.149999999999999</v>
      </c>
      <c r="V47">
        <f t="shared" si="11"/>
        <v>1543</v>
      </c>
      <c r="X47">
        <v>1044</v>
      </c>
      <c r="Y47">
        <v>85.57</v>
      </c>
      <c r="Z47">
        <v>-0.35</v>
      </c>
      <c r="AA47">
        <v>19.149999999999999</v>
      </c>
      <c r="AC47">
        <v>1544</v>
      </c>
      <c r="AD47">
        <v>85.57</v>
      </c>
      <c r="AE47">
        <v>41.100999999999999</v>
      </c>
      <c r="AF47">
        <v>19.149999999999999</v>
      </c>
    </row>
    <row r="48" spans="1:32" x14ac:dyDescent="0.35">
      <c r="A48">
        <v>45</v>
      </c>
      <c r="B48">
        <v>9.1690000000000005</v>
      </c>
      <c r="C48">
        <v>-0.35</v>
      </c>
      <c r="D48">
        <v>19.149999999999999</v>
      </c>
      <c r="E48">
        <f t="shared" si="0"/>
        <v>9.1690000000000005</v>
      </c>
      <c r="F48">
        <f t="shared" si="1"/>
        <v>52.99</v>
      </c>
      <c r="G48">
        <f t="shared" si="2"/>
        <v>19.149999999999999</v>
      </c>
      <c r="H48">
        <f t="shared" si="3"/>
        <v>619</v>
      </c>
      <c r="I48">
        <f t="shared" si="4"/>
        <v>76.400000000000006</v>
      </c>
      <c r="J48">
        <f t="shared" si="5"/>
        <v>-0.35</v>
      </c>
      <c r="K48">
        <f t="shared" si="6"/>
        <v>19.149999999999999</v>
      </c>
      <c r="L48">
        <f t="shared" si="7"/>
        <v>1040</v>
      </c>
      <c r="O48">
        <v>545</v>
      </c>
      <c r="P48">
        <v>1.383</v>
      </c>
      <c r="Q48">
        <v>41.331000000000003</v>
      </c>
      <c r="R48">
        <v>19.149999999999999</v>
      </c>
      <c r="S48">
        <f t="shared" si="8"/>
        <v>84.19</v>
      </c>
      <c r="T48">
        <f t="shared" si="9"/>
        <v>41.331000000000003</v>
      </c>
      <c r="U48">
        <f t="shared" si="10"/>
        <v>19.149999999999999</v>
      </c>
      <c r="V48">
        <f t="shared" si="11"/>
        <v>1546</v>
      </c>
      <c r="X48">
        <v>1045</v>
      </c>
      <c r="Y48">
        <v>86.97</v>
      </c>
      <c r="Z48">
        <v>-0.35</v>
      </c>
      <c r="AA48">
        <v>19.149999999999999</v>
      </c>
      <c r="AC48">
        <v>1545</v>
      </c>
      <c r="AD48">
        <v>74.73</v>
      </c>
      <c r="AE48">
        <v>41.331000000000003</v>
      </c>
      <c r="AF48">
        <v>19.149999999999999</v>
      </c>
    </row>
    <row r="49" spans="1:32" x14ac:dyDescent="0.35">
      <c r="A49">
        <v>46</v>
      </c>
      <c r="B49">
        <v>-1.4</v>
      </c>
      <c r="C49">
        <v>0</v>
      </c>
      <c r="D49">
        <v>19.149999999999999</v>
      </c>
      <c r="E49">
        <f t="shared" si="0"/>
        <v>-1.4</v>
      </c>
      <c r="F49">
        <f t="shared" si="1"/>
        <v>52.64</v>
      </c>
      <c r="G49">
        <f t="shared" si="2"/>
        <v>19.149999999999999</v>
      </c>
      <c r="H49">
        <f t="shared" si="3"/>
        <v>590</v>
      </c>
      <c r="I49">
        <f t="shared" si="4"/>
        <v>86.97</v>
      </c>
      <c r="J49">
        <f t="shared" si="5"/>
        <v>0</v>
      </c>
      <c r="K49">
        <f t="shared" si="6"/>
        <v>19.149999999999999</v>
      </c>
      <c r="L49">
        <f t="shared" si="7"/>
        <v>1069</v>
      </c>
      <c r="O49">
        <v>546</v>
      </c>
      <c r="P49">
        <v>10.842000000000001</v>
      </c>
      <c r="Q49">
        <v>41.331000000000003</v>
      </c>
      <c r="R49">
        <v>19.149999999999999</v>
      </c>
      <c r="S49">
        <f t="shared" si="8"/>
        <v>74.73</v>
      </c>
      <c r="T49">
        <f t="shared" si="9"/>
        <v>41.331000000000003</v>
      </c>
      <c r="U49">
        <f t="shared" si="10"/>
        <v>19.149999999999999</v>
      </c>
      <c r="V49">
        <f t="shared" si="11"/>
        <v>1545</v>
      </c>
      <c r="X49">
        <v>1046</v>
      </c>
      <c r="Y49">
        <v>73.349999999999994</v>
      </c>
      <c r="Z49">
        <v>0</v>
      </c>
      <c r="AA49">
        <v>19.149999999999999</v>
      </c>
      <c r="AC49">
        <v>1546</v>
      </c>
      <c r="AD49">
        <v>84.19</v>
      </c>
      <c r="AE49">
        <v>41.331000000000003</v>
      </c>
      <c r="AF49">
        <v>19.149999999999999</v>
      </c>
    </row>
    <row r="50" spans="1:32" x14ac:dyDescent="0.35">
      <c r="A50">
        <v>47</v>
      </c>
      <c r="B50">
        <v>0</v>
      </c>
      <c r="C50">
        <v>0</v>
      </c>
      <c r="D50">
        <v>19.149999999999999</v>
      </c>
      <c r="E50">
        <f t="shared" si="0"/>
        <v>0</v>
      </c>
      <c r="F50">
        <f t="shared" si="1"/>
        <v>52.64</v>
      </c>
      <c r="G50">
        <f t="shared" si="2"/>
        <v>19.149999999999999</v>
      </c>
      <c r="H50">
        <f t="shared" si="3"/>
        <v>591</v>
      </c>
      <c r="I50">
        <f t="shared" si="4"/>
        <v>85.57</v>
      </c>
      <c r="J50">
        <f t="shared" si="5"/>
        <v>0</v>
      </c>
      <c r="K50">
        <f t="shared" si="6"/>
        <v>19.149999999999999</v>
      </c>
      <c r="L50">
        <f t="shared" si="7"/>
        <v>1068</v>
      </c>
      <c r="O50">
        <v>547</v>
      </c>
      <c r="P50">
        <v>-1.4</v>
      </c>
      <c r="Q50">
        <v>41.673999999999999</v>
      </c>
      <c r="R50">
        <v>19.149999999999999</v>
      </c>
      <c r="S50">
        <f t="shared" si="8"/>
        <v>86.97</v>
      </c>
      <c r="T50">
        <f t="shared" si="9"/>
        <v>41.673999999999999</v>
      </c>
      <c r="U50">
        <f t="shared" si="10"/>
        <v>19.149999999999999</v>
      </c>
      <c r="V50">
        <f t="shared" si="11"/>
        <v>1548</v>
      </c>
      <c r="X50">
        <v>1047</v>
      </c>
      <c r="Y50">
        <v>74.349999999999994</v>
      </c>
      <c r="Z50">
        <v>0</v>
      </c>
      <c r="AA50">
        <v>19.149999999999999</v>
      </c>
      <c r="AC50">
        <v>1547</v>
      </c>
      <c r="AD50">
        <v>85.57</v>
      </c>
      <c r="AE50">
        <v>41.673999999999999</v>
      </c>
      <c r="AF50">
        <v>19.149999999999999</v>
      </c>
    </row>
    <row r="51" spans="1:32" x14ac:dyDescent="0.35">
      <c r="A51">
        <v>48</v>
      </c>
      <c r="B51">
        <v>1.024</v>
      </c>
      <c r="C51">
        <v>0</v>
      </c>
      <c r="D51">
        <v>19.149999999999999</v>
      </c>
      <c r="E51">
        <f t="shared" si="0"/>
        <v>1.024</v>
      </c>
      <c r="F51">
        <f t="shared" si="1"/>
        <v>52.64</v>
      </c>
      <c r="G51">
        <f t="shared" si="2"/>
        <v>19.149999999999999</v>
      </c>
      <c r="H51">
        <f t="shared" si="3"/>
        <v>592</v>
      </c>
      <c r="I51">
        <f t="shared" si="4"/>
        <v>84.55</v>
      </c>
      <c r="J51">
        <f t="shared" si="5"/>
        <v>0</v>
      </c>
      <c r="K51">
        <f t="shared" si="6"/>
        <v>19.149999999999999</v>
      </c>
      <c r="L51">
        <f t="shared" si="7"/>
        <v>1067</v>
      </c>
      <c r="O51">
        <v>548</v>
      </c>
      <c r="P51">
        <v>0</v>
      </c>
      <c r="Q51">
        <v>41.673999999999999</v>
      </c>
      <c r="R51">
        <v>19.149999999999999</v>
      </c>
      <c r="S51">
        <f t="shared" si="8"/>
        <v>85.57</v>
      </c>
      <c r="T51">
        <f t="shared" si="9"/>
        <v>41.673999999999999</v>
      </c>
      <c r="U51">
        <f t="shared" si="10"/>
        <v>19.149999999999999</v>
      </c>
      <c r="V51">
        <f t="shared" si="11"/>
        <v>1547</v>
      </c>
      <c r="X51">
        <v>1048</v>
      </c>
      <c r="Y51">
        <v>74.97</v>
      </c>
      <c r="Z51">
        <v>0</v>
      </c>
      <c r="AA51">
        <v>19.149999999999999</v>
      </c>
      <c r="AC51">
        <v>1548</v>
      </c>
      <c r="AD51">
        <v>86.97</v>
      </c>
      <c r="AE51">
        <v>41.673999999999999</v>
      </c>
      <c r="AF51">
        <v>19.149999999999999</v>
      </c>
    </row>
    <row r="52" spans="1:32" x14ac:dyDescent="0.35">
      <c r="A52">
        <v>49</v>
      </c>
      <c r="B52">
        <v>1.621</v>
      </c>
      <c r="C52">
        <v>0</v>
      </c>
      <c r="D52">
        <v>19.149999999999999</v>
      </c>
      <c r="E52">
        <f t="shared" si="0"/>
        <v>1.621</v>
      </c>
      <c r="F52">
        <f t="shared" si="1"/>
        <v>52.64</v>
      </c>
      <c r="G52">
        <f t="shared" si="2"/>
        <v>19.149999999999999</v>
      </c>
      <c r="H52">
        <f t="shared" si="3"/>
        <v>593</v>
      </c>
      <c r="I52">
        <f t="shared" si="4"/>
        <v>83.95</v>
      </c>
      <c r="J52">
        <f t="shared" si="5"/>
        <v>0</v>
      </c>
      <c r="K52">
        <f t="shared" si="6"/>
        <v>19.149999999999999</v>
      </c>
      <c r="L52">
        <f t="shared" si="7"/>
        <v>1066</v>
      </c>
      <c r="O52">
        <v>549</v>
      </c>
      <c r="P52">
        <v>2.1890000000000001</v>
      </c>
      <c r="Q52">
        <v>42.137</v>
      </c>
      <c r="R52">
        <v>19.149999999999999</v>
      </c>
      <c r="S52">
        <f t="shared" si="8"/>
        <v>83.38</v>
      </c>
      <c r="T52">
        <f t="shared" si="9"/>
        <v>42.137</v>
      </c>
      <c r="U52">
        <f t="shared" si="10"/>
        <v>19.149999999999999</v>
      </c>
      <c r="V52">
        <f t="shared" si="11"/>
        <v>1550</v>
      </c>
      <c r="X52">
        <v>1049</v>
      </c>
      <c r="Y52">
        <v>75.38</v>
      </c>
      <c r="Z52">
        <v>0</v>
      </c>
      <c r="AA52">
        <v>19.149999999999999</v>
      </c>
      <c r="AC52">
        <v>1549</v>
      </c>
      <c r="AD52">
        <v>75.53</v>
      </c>
      <c r="AE52">
        <v>42.137</v>
      </c>
      <c r="AF52">
        <v>19.149999999999999</v>
      </c>
    </row>
    <row r="53" spans="1:32" x14ac:dyDescent="0.35">
      <c r="A53">
        <v>50</v>
      </c>
      <c r="B53">
        <v>2.048</v>
      </c>
      <c r="C53">
        <v>0</v>
      </c>
      <c r="D53">
        <v>19.149999999999999</v>
      </c>
      <c r="E53">
        <f t="shared" si="0"/>
        <v>2.048</v>
      </c>
      <c r="F53">
        <f t="shared" si="1"/>
        <v>52.64</v>
      </c>
      <c r="G53">
        <f t="shared" si="2"/>
        <v>19.149999999999999</v>
      </c>
      <c r="H53">
        <f t="shared" si="3"/>
        <v>594</v>
      </c>
      <c r="I53">
        <f t="shared" si="4"/>
        <v>83.52</v>
      </c>
      <c r="J53">
        <f t="shared" si="5"/>
        <v>0</v>
      </c>
      <c r="K53">
        <f t="shared" si="6"/>
        <v>19.149999999999999</v>
      </c>
      <c r="L53">
        <f t="shared" si="7"/>
        <v>1065</v>
      </c>
      <c r="O53">
        <v>550</v>
      </c>
      <c r="P53">
        <v>10.036</v>
      </c>
      <c r="Q53">
        <v>42.137</v>
      </c>
      <c r="R53">
        <v>19.149999999999999</v>
      </c>
      <c r="S53">
        <f t="shared" si="8"/>
        <v>75.53</v>
      </c>
      <c r="T53">
        <f t="shared" si="9"/>
        <v>42.137</v>
      </c>
      <c r="U53">
        <f t="shared" si="10"/>
        <v>19.149999999999999</v>
      </c>
      <c r="V53">
        <f t="shared" si="11"/>
        <v>1549</v>
      </c>
      <c r="X53">
        <v>1050</v>
      </c>
      <c r="Y53">
        <v>76.400000000000006</v>
      </c>
      <c r="Z53">
        <v>0</v>
      </c>
      <c r="AA53">
        <v>19.149999999999999</v>
      </c>
      <c r="AC53">
        <v>1550</v>
      </c>
      <c r="AD53">
        <v>83.38</v>
      </c>
      <c r="AE53">
        <v>42.137</v>
      </c>
      <c r="AF53">
        <v>19.149999999999999</v>
      </c>
    </row>
    <row r="54" spans="1:32" x14ac:dyDescent="0.35">
      <c r="A54">
        <v>51</v>
      </c>
      <c r="B54">
        <v>3.056</v>
      </c>
      <c r="C54">
        <v>0</v>
      </c>
      <c r="D54">
        <v>19.149999999999999</v>
      </c>
      <c r="E54">
        <f t="shared" si="0"/>
        <v>3.056</v>
      </c>
      <c r="F54">
        <f t="shared" si="1"/>
        <v>52.64</v>
      </c>
      <c r="G54">
        <f t="shared" si="2"/>
        <v>19.149999999999999</v>
      </c>
      <c r="H54">
        <f t="shared" si="3"/>
        <v>595</v>
      </c>
      <c r="I54">
        <f t="shared" si="4"/>
        <v>82.51</v>
      </c>
      <c r="J54">
        <f t="shared" si="5"/>
        <v>0</v>
      </c>
      <c r="K54">
        <f t="shared" si="6"/>
        <v>19.149999999999999</v>
      </c>
      <c r="L54">
        <f t="shared" si="7"/>
        <v>1064</v>
      </c>
      <c r="O54">
        <v>551</v>
      </c>
      <c r="P54">
        <v>2.4129999999999998</v>
      </c>
      <c r="Q54">
        <v>42.359000000000002</v>
      </c>
      <c r="R54">
        <v>19.149999999999999</v>
      </c>
      <c r="S54">
        <f t="shared" si="8"/>
        <v>83.16</v>
      </c>
      <c r="T54">
        <f t="shared" si="9"/>
        <v>42.359000000000002</v>
      </c>
      <c r="U54">
        <f t="shared" si="10"/>
        <v>19.149999999999999</v>
      </c>
      <c r="V54">
        <f t="shared" si="11"/>
        <v>1552</v>
      </c>
      <c r="X54">
        <v>1051</v>
      </c>
      <c r="Y54">
        <v>76.58</v>
      </c>
      <c r="Z54">
        <v>0</v>
      </c>
      <c r="AA54">
        <v>19.149999999999999</v>
      </c>
      <c r="AC54">
        <v>1551</v>
      </c>
      <c r="AD54">
        <v>75.760000000000005</v>
      </c>
      <c r="AE54">
        <v>42.359000000000002</v>
      </c>
      <c r="AF54">
        <v>19.149999999999999</v>
      </c>
    </row>
    <row r="55" spans="1:32" x14ac:dyDescent="0.35">
      <c r="A55">
        <v>52</v>
      </c>
      <c r="B55">
        <v>3.234</v>
      </c>
      <c r="C55">
        <v>0</v>
      </c>
      <c r="D55">
        <v>19.149999999999999</v>
      </c>
      <c r="E55">
        <f t="shared" si="0"/>
        <v>3.234</v>
      </c>
      <c r="F55">
        <f t="shared" si="1"/>
        <v>52.64</v>
      </c>
      <c r="G55">
        <f t="shared" si="2"/>
        <v>19.149999999999999</v>
      </c>
      <c r="H55">
        <f t="shared" si="3"/>
        <v>596</v>
      </c>
      <c r="I55">
        <f t="shared" si="4"/>
        <v>82.34</v>
      </c>
      <c r="J55">
        <f t="shared" si="5"/>
        <v>0</v>
      </c>
      <c r="K55">
        <f t="shared" si="6"/>
        <v>19.149999999999999</v>
      </c>
      <c r="L55">
        <f t="shared" si="7"/>
        <v>1063</v>
      </c>
      <c r="O55">
        <v>552</v>
      </c>
      <c r="P55">
        <v>9.8130000000000006</v>
      </c>
      <c r="Q55">
        <v>42.359000000000002</v>
      </c>
      <c r="R55">
        <v>19.149999999999999</v>
      </c>
      <c r="S55">
        <f t="shared" si="8"/>
        <v>75.760000000000005</v>
      </c>
      <c r="T55">
        <f t="shared" si="9"/>
        <v>42.359000000000002</v>
      </c>
      <c r="U55">
        <f t="shared" si="10"/>
        <v>19.149999999999999</v>
      </c>
      <c r="V55">
        <f t="shared" si="11"/>
        <v>1551</v>
      </c>
      <c r="X55">
        <v>1052</v>
      </c>
      <c r="Y55">
        <v>77.22</v>
      </c>
      <c r="Z55">
        <v>0</v>
      </c>
      <c r="AA55">
        <v>19.149999999999999</v>
      </c>
      <c r="AC55">
        <v>1552</v>
      </c>
      <c r="AD55">
        <v>83.16</v>
      </c>
      <c r="AE55">
        <v>42.359000000000002</v>
      </c>
      <c r="AF55">
        <v>19.149999999999999</v>
      </c>
    </row>
    <row r="56" spans="1:32" x14ac:dyDescent="0.35">
      <c r="A56">
        <v>53</v>
      </c>
      <c r="B56">
        <v>3.8690000000000002</v>
      </c>
      <c r="C56">
        <v>0</v>
      </c>
      <c r="D56">
        <v>19.149999999999999</v>
      </c>
      <c r="E56">
        <f t="shared" si="0"/>
        <v>3.8690000000000002</v>
      </c>
      <c r="F56">
        <f t="shared" si="1"/>
        <v>52.64</v>
      </c>
      <c r="G56">
        <f t="shared" si="2"/>
        <v>19.149999999999999</v>
      </c>
      <c r="H56">
        <f t="shared" si="3"/>
        <v>597</v>
      </c>
      <c r="I56">
        <f t="shared" si="4"/>
        <v>81.7</v>
      </c>
      <c r="J56">
        <f t="shared" si="5"/>
        <v>0</v>
      </c>
      <c r="K56">
        <f t="shared" si="6"/>
        <v>19.149999999999999</v>
      </c>
      <c r="L56">
        <f t="shared" si="7"/>
        <v>1062</v>
      </c>
      <c r="O56">
        <v>553</v>
      </c>
      <c r="P56">
        <v>0</v>
      </c>
      <c r="Q56">
        <v>42.713999999999999</v>
      </c>
      <c r="R56">
        <v>19.149999999999999</v>
      </c>
      <c r="S56">
        <f t="shared" si="8"/>
        <v>85.57</v>
      </c>
      <c r="T56">
        <f t="shared" si="9"/>
        <v>42.713999999999999</v>
      </c>
      <c r="U56">
        <f t="shared" si="10"/>
        <v>19.149999999999999</v>
      </c>
      <c r="V56">
        <f t="shared" si="11"/>
        <v>1554</v>
      </c>
      <c r="X56">
        <v>1053</v>
      </c>
      <c r="Y56">
        <v>78.03</v>
      </c>
      <c r="Z56">
        <v>0</v>
      </c>
      <c r="AA56">
        <v>19.149999999999999</v>
      </c>
      <c r="AC56">
        <v>1553</v>
      </c>
      <c r="AD56">
        <v>73.349999999999994</v>
      </c>
      <c r="AE56">
        <v>42.713999999999999</v>
      </c>
      <c r="AF56">
        <v>19.149999999999999</v>
      </c>
    </row>
    <row r="57" spans="1:32" x14ac:dyDescent="0.35">
      <c r="A57">
        <v>54</v>
      </c>
      <c r="B57">
        <v>4.6820000000000004</v>
      </c>
      <c r="C57">
        <v>0</v>
      </c>
      <c r="D57">
        <v>19.149999999999999</v>
      </c>
      <c r="E57">
        <f t="shared" si="0"/>
        <v>4.6820000000000004</v>
      </c>
      <c r="F57">
        <f t="shared" si="1"/>
        <v>52.64</v>
      </c>
      <c r="G57">
        <f t="shared" si="2"/>
        <v>19.149999999999999</v>
      </c>
      <c r="H57">
        <f t="shared" si="3"/>
        <v>598</v>
      </c>
      <c r="I57">
        <f t="shared" si="4"/>
        <v>80.89</v>
      </c>
      <c r="J57">
        <f t="shared" si="5"/>
        <v>0</v>
      </c>
      <c r="K57">
        <f t="shared" si="6"/>
        <v>19.149999999999999</v>
      </c>
      <c r="L57">
        <f t="shared" si="7"/>
        <v>1061</v>
      </c>
      <c r="O57">
        <v>554</v>
      </c>
      <c r="P57">
        <v>12.225</v>
      </c>
      <c r="Q57">
        <v>42.713999999999999</v>
      </c>
      <c r="R57">
        <v>19.149999999999999</v>
      </c>
      <c r="S57">
        <f t="shared" si="8"/>
        <v>73.349999999999994</v>
      </c>
      <c r="T57">
        <f t="shared" si="9"/>
        <v>42.713999999999999</v>
      </c>
      <c r="U57">
        <f t="shared" si="10"/>
        <v>19.149999999999999</v>
      </c>
      <c r="V57">
        <f t="shared" si="11"/>
        <v>1553</v>
      </c>
      <c r="X57">
        <v>1054</v>
      </c>
      <c r="Y57">
        <v>78.19</v>
      </c>
      <c r="Z57">
        <v>0</v>
      </c>
      <c r="AA57">
        <v>19.149999999999999</v>
      </c>
      <c r="AC57">
        <v>1554</v>
      </c>
      <c r="AD57">
        <v>85.57</v>
      </c>
      <c r="AE57">
        <v>42.713999999999999</v>
      </c>
      <c r="AF57">
        <v>19.149999999999999</v>
      </c>
    </row>
    <row r="58" spans="1:32" x14ac:dyDescent="0.35">
      <c r="A58">
        <v>55</v>
      </c>
      <c r="B58">
        <v>4.8460000000000001</v>
      </c>
      <c r="C58">
        <v>0</v>
      </c>
      <c r="D58">
        <v>19.149999999999999</v>
      </c>
      <c r="E58">
        <f t="shared" si="0"/>
        <v>4.8460000000000001</v>
      </c>
      <c r="F58">
        <f t="shared" si="1"/>
        <v>52.64</v>
      </c>
      <c r="G58">
        <f t="shared" si="2"/>
        <v>19.149999999999999</v>
      </c>
      <c r="H58">
        <f t="shared" si="3"/>
        <v>599</v>
      </c>
      <c r="I58">
        <f t="shared" si="4"/>
        <v>80.72</v>
      </c>
      <c r="J58">
        <f t="shared" si="5"/>
        <v>0</v>
      </c>
      <c r="K58">
        <f t="shared" si="6"/>
        <v>19.149999999999999</v>
      </c>
      <c r="L58">
        <f t="shared" si="7"/>
        <v>1060</v>
      </c>
      <c r="O58">
        <v>555</v>
      </c>
      <c r="P58">
        <v>0.56399999999999995</v>
      </c>
      <c r="Q58">
        <v>43.762</v>
      </c>
      <c r="R58">
        <v>19.149999999999999</v>
      </c>
      <c r="S58">
        <f t="shared" si="8"/>
        <v>85.01</v>
      </c>
      <c r="T58">
        <f t="shared" si="9"/>
        <v>43.762</v>
      </c>
      <c r="U58">
        <f t="shared" si="10"/>
        <v>19.149999999999999</v>
      </c>
      <c r="V58">
        <f t="shared" si="11"/>
        <v>1556</v>
      </c>
      <c r="X58">
        <v>1055</v>
      </c>
      <c r="Y58">
        <v>78.61</v>
      </c>
      <c r="Z58">
        <v>0</v>
      </c>
      <c r="AA58">
        <v>19.149999999999999</v>
      </c>
      <c r="AC58">
        <v>1555</v>
      </c>
      <c r="AD58">
        <v>73.91</v>
      </c>
      <c r="AE58">
        <v>43.762</v>
      </c>
      <c r="AF58">
        <v>19.149999999999999</v>
      </c>
    </row>
    <row r="59" spans="1:32" x14ac:dyDescent="0.35">
      <c r="A59">
        <v>56</v>
      </c>
      <c r="B59">
        <v>5.2619999999999996</v>
      </c>
      <c r="C59">
        <v>0</v>
      </c>
      <c r="D59">
        <v>19.149999999999999</v>
      </c>
      <c r="E59">
        <f t="shared" si="0"/>
        <v>5.2619999999999996</v>
      </c>
      <c r="F59">
        <f t="shared" si="1"/>
        <v>52.64</v>
      </c>
      <c r="G59">
        <f t="shared" si="2"/>
        <v>19.149999999999999</v>
      </c>
      <c r="H59">
        <f t="shared" si="3"/>
        <v>600</v>
      </c>
      <c r="I59">
        <f t="shared" si="4"/>
        <v>80.31</v>
      </c>
      <c r="J59">
        <f t="shared" si="5"/>
        <v>0</v>
      </c>
      <c r="K59">
        <f t="shared" si="6"/>
        <v>19.149999999999999</v>
      </c>
      <c r="L59">
        <f t="shared" si="7"/>
        <v>1059</v>
      </c>
      <c r="O59">
        <v>556</v>
      </c>
      <c r="P59">
        <v>11.661</v>
      </c>
      <c r="Q59">
        <v>43.762</v>
      </c>
      <c r="R59">
        <v>19.149999999999999</v>
      </c>
      <c r="S59">
        <f t="shared" si="8"/>
        <v>73.91</v>
      </c>
      <c r="T59">
        <f t="shared" si="9"/>
        <v>43.762</v>
      </c>
      <c r="U59">
        <f t="shared" si="10"/>
        <v>19.149999999999999</v>
      </c>
      <c r="V59">
        <f t="shared" si="11"/>
        <v>1555</v>
      </c>
      <c r="X59">
        <v>1056</v>
      </c>
      <c r="Y59">
        <v>78.84</v>
      </c>
      <c r="Z59">
        <v>0</v>
      </c>
      <c r="AA59">
        <v>19.149999999999999</v>
      </c>
      <c r="AC59">
        <v>1556</v>
      </c>
      <c r="AD59">
        <v>85.01</v>
      </c>
      <c r="AE59">
        <v>43.762</v>
      </c>
      <c r="AF59">
        <v>19.149999999999999</v>
      </c>
    </row>
    <row r="60" spans="1:32" x14ac:dyDescent="0.35">
      <c r="A60">
        <v>57</v>
      </c>
      <c r="B60">
        <v>5.4969999999999999</v>
      </c>
      <c r="C60">
        <v>0</v>
      </c>
      <c r="D60">
        <v>19.149999999999999</v>
      </c>
      <c r="E60">
        <f t="shared" si="0"/>
        <v>5.4969999999999999</v>
      </c>
      <c r="F60">
        <f t="shared" si="1"/>
        <v>52.64</v>
      </c>
      <c r="G60">
        <f t="shared" si="2"/>
        <v>19.149999999999999</v>
      </c>
      <c r="H60">
        <f t="shared" si="3"/>
        <v>601</v>
      </c>
      <c r="I60">
        <f t="shared" si="4"/>
        <v>80.069999999999993</v>
      </c>
      <c r="J60">
        <f t="shared" si="5"/>
        <v>0</v>
      </c>
      <c r="K60">
        <f t="shared" si="6"/>
        <v>19.149999999999999</v>
      </c>
      <c r="L60">
        <f t="shared" si="7"/>
        <v>1058</v>
      </c>
      <c r="O60">
        <v>557</v>
      </c>
      <c r="P60">
        <v>-1.4</v>
      </c>
      <c r="Q60">
        <v>43.866999999999997</v>
      </c>
      <c r="R60">
        <v>19.149999999999999</v>
      </c>
      <c r="S60">
        <f t="shared" si="8"/>
        <v>86.97</v>
      </c>
      <c r="T60">
        <f t="shared" si="9"/>
        <v>43.866999999999997</v>
      </c>
      <c r="U60">
        <f t="shared" si="10"/>
        <v>19.149999999999999</v>
      </c>
      <c r="V60">
        <f t="shared" si="11"/>
        <v>1558</v>
      </c>
      <c r="X60">
        <v>1057</v>
      </c>
      <c r="Y60">
        <v>79.459999999999994</v>
      </c>
      <c r="Z60">
        <v>0</v>
      </c>
      <c r="AA60">
        <v>19.149999999999999</v>
      </c>
      <c r="AC60">
        <v>1557</v>
      </c>
      <c r="AD60">
        <v>85.57</v>
      </c>
      <c r="AE60">
        <v>43.866999999999997</v>
      </c>
      <c r="AF60">
        <v>19.149999999999999</v>
      </c>
    </row>
    <row r="61" spans="1:32" x14ac:dyDescent="0.35">
      <c r="A61">
        <v>58</v>
      </c>
      <c r="B61">
        <v>6.1120000000000001</v>
      </c>
      <c r="C61">
        <v>0</v>
      </c>
      <c r="D61">
        <v>19.149999999999999</v>
      </c>
      <c r="E61">
        <f t="shared" si="0"/>
        <v>6.1120000000000001</v>
      </c>
      <c r="F61">
        <f t="shared" si="1"/>
        <v>52.64</v>
      </c>
      <c r="G61">
        <f t="shared" si="2"/>
        <v>19.149999999999999</v>
      </c>
      <c r="H61">
        <f t="shared" si="3"/>
        <v>602</v>
      </c>
      <c r="I61">
        <f t="shared" si="4"/>
        <v>79.459999999999994</v>
      </c>
      <c r="J61">
        <f t="shared" si="5"/>
        <v>0</v>
      </c>
      <c r="K61">
        <f t="shared" si="6"/>
        <v>19.149999999999999</v>
      </c>
      <c r="L61">
        <f t="shared" si="7"/>
        <v>1057</v>
      </c>
      <c r="O61">
        <v>558</v>
      </c>
      <c r="P61">
        <v>0</v>
      </c>
      <c r="Q61">
        <v>43.866999999999997</v>
      </c>
      <c r="R61">
        <v>19.149999999999999</v>
      </c>
      <c r="S61">
        <f t="shared" si="8"/>
        <v>85.57</v>
      </c>
      <c r="T61">
        <f t="shared" si="9"/>
        <v>43.866999999999997</v>
      </c>
      <c r="U61">
        <f t="shared" si="10"/>
        <v>19.149999999999999</v>
      </c>
      <c r="V61">
        <f t="shared" si="11"/>
        <v>1557</v>
      </c>
      <c r="X61">
        <v>1058</v>
      </c>
      <c r="Y61">
        <v>80.069999999999993</v>
      </c>
      <c r="Z61">
        <v>0</v>
      </c>
      <c r="AA61">
        <v>19.149999999999999</v>
      </c>
      <c r="AC61">
        <v>1558</v>
      </c>
      <c r="AD61">
        <v>86.97</v>
      </c>
      <c r="AE61">
        <v>43.866999999999997</v>
      </c>
      <c r="AF61">
        <v>19.149999999999999</v>
      </c>
    </row>
    <row r="62" spans="1:32" x14ac:dyDescent="0.35">
      <c r="A62">
        <v>59</v>
      </c>
      <c r="B62">
        <v>6.7270000000000003</v>
      </c>
      <c r="C62">
        <v>0</v>
      </c>
      <c r="D62">
        <v>19.149999999999999</v>
      </c>
      <c r="E62">
        <f t="shared" si="0"/>
        <v>6.7270000000000003</v>
      </c>
      <c r="F62">
        <f t="shared" si="1"/>
        <v>52.64</v>
      </c>
      <c r="G62">
        <f t="shared" si="2"/>
        <v>19.149999999999999</v>
      </c>
      <c r="H62">
        <f t="shared" si="3"/>
        <v>603</v>
      </c>
      <c r="I62">
        <f t="shared" si="4"/>
        <v>78.84</v>
      </c>
      <c r="J62">
        <f t="shared" si="5"/>
        <v>0</v>
      </c>
      <c r="K62">
        <f t="shared" si="6"/>
        <v>19.149999999999999</v>
      </c>
      <c r="L62">
        <f t="shared" si="7"/>
        <v>1056</v>
      </c>
      <c r="O62">
        <v>559</v>
      </c>
      <c r="P62">
        <v>0</v>
      </c>
      <c r="Q62">
        <v>44.326000000000001</v>
      </c>
      <c r="R62">
        <v>19.149999999999999</v>
      </c>
      <c r="S62">
        <f t="shared" si="8"/>
        <v>85.57</v>
      </c>
      <c r="T62">
        <f t="shared" si="9"/>
        <v>44.326000000000001</v>
      </c>
      <c r="U62">
        <f t="shared" si="10"/>
        <v>19.149999999999999</v>
      </c>
      <c r="V62">
        <f t="shared" si="11"/>
        <v>1560</v>
      </c>
      <c r="X62">
        <v>1059</v>
      </c>
      <c r="Y62">
        <v>80.31</v>
      </c>
      <c r="Z62">
        <v>0</v>
      </c>
      <c r="AA62">
        <v>19.149999999999999</v>
      </c>
      <c r="AC62">
        <v>1559</v>
      </c>
      <c r="AD62">
        <v>73.349999999999994</v>
      </c>
      <c r="AE62">
        <v>44.326000000000001</v>
      </c>
      <c r="AF62">
        <v>19.149999999999999</v>
      </c>
    </row>
    <row r="63" spans="1:32" x14ac:dyDescent="0.35">
      <c r="A63">
        <v>60</v>
      </c>
      <c r="B63">
        <v>6.9619999999999997</v>
      </c>
      <c r="C63">
        <v>0</v>
      </c>
      <c r="D63">
        <v>19.149999999999999</v>
      </c>
      <c r="E63">
        <f t="shared" si="0"/>
        <v>6.9619999999999997</v>
      </c>
      <c r="F63">
        <f t="shared" si="1"/>
        <v>52.64</v>
      </c>
      <c r="G63">
        <f t="shared" si="2"/>
        <v>19.149999999999999</v>
      </c>
      <c r="H63">
        <f t="shared" si="3"/>
        <v>604</v>
      </c>
      <c r="I63">
        <f t="shared" si="4"/>
        <v>78.61</v>
      </c>
      <c r="J63">
        <f t="shared" si="5"/>
        <v>0</v>
      </c>
      <c r="K63">
        <f t="shared" si="6"/>
        <v>19.149999999999999</v>
      </c>
      <c r="L63">
        <f t="shared" si="7"/>
        <v>1055</v>
      </c>
      <c r="O63">
        <v>560</v>
      </c>
      <c r="P63">
        <v>12.225</v>
      </c>
      <c r="Q63">
        <v>44.326000000000001</v>
      </c>
      <c r="R63">
        <v>19.149999999999999</v>
      </c>
      <c r="S63">
        <f t="shared" si="8"/>
        <v>73.349999999999994</v>
      </c>
      <c r="T63">
        <f t="shared" si="9"/>
        <v>44.326000000000001</v>
      </c>
      <c r="U63">
        <f t="shared" si="10"/>
        <v>19.149999999999999</v>
      </c>
      <c r="V63">
        <f t="shared" si="11"/>
        <v>1559</v>
      </c>
      <c r="X63">
        <v>1060</v>
      </c>
      <c r="Y63">
        <v>80.72</v>
      </c>
      <c r="Z63">
        <v>0</v>
      </c>
      <c r="AA63">
        <v>19.149999999999999</v>
      </c>
      <c r="AC63">
        <v>1560</v>
      </c>
      <c r="AD63">
        <v>85.57</v>
      </c>
      <c r="AE63">
        <v>44.326000000000001</v>
      </c>
      <c r="AF63">
        <v>19.149999999999999</v>
      </c>
    </row>
    <row r="64" spans="1:32" x14ac:dyDescent="0.35">
      <c r="A64">
        <v>61</v>
      </c>
      <c r="B64">
        <v>7.3789999999999996</v>
      </c>
      <c r="C64">
        <v>0</v>
      </c>
      <c r="D64">
        <v>19.149999999999999</v>
      </c>
      <c r="E64">
        <f t="shared" si="0"/>
        <v>7.3789999999999996</v>
      </c>
      <c r="F64">
        <f t="shared" si="1"/>
        <v>52.64</v>
      </c>
      <c r="G64">
        <f t="shared" si="2"/>
        <v>19.149999999999999</v>
      </c>
      <c r="H64">
        <f t="shared" si="3"/>
        <v>605</v>
      </c>
      <c r="I64">
        <f t="shared" si="4"/>
        <v>78.19</v>
      </c>
      <c r="J64">
        <f t="shared" si="5"/>
        <v>0</v>
      </c>
      <c r="K64">
        <f t="shared" si="6"/>
        <v>19.149999999999999</v>
      </c>
      <c r="L64">
        <f t="shared" si="7"/>
        <v>1054</v>
      </c>
      <c r="O64">
        <v>561</v>
      </c>
      <c r="P64">
        <v>-1.4</v>
      </c>
      <c r="Q64">
        <v>46.06</v>
      </c>
      <c r="R64">
        <v>19.149999999999999</v>
      </c>
      <c r="S64">
        <f t="shared" si="8"/>
        <v>86.97</v>
      </c>
      <c r="T64">
        <f t="shared" si="9"/>
        <v>46.06</v>
      </c>
      <c r="U64">
        <f t="shared" si="10"/>
        <v>19.149999999999999</v>
      </c>
      <c r="V64">
        <f t="shared" si="11"/>
        <v>1567</v>
      </c>
      <c r="X64">
        <v>1061</v>
      </c>
      <c r="Y64">
        <v>80.89</v>
      </c>
      <c r="Z64">
        <v>0</v>
      </c>
      <c r="AA64">
        <v>19.149999999999999</v>
      </c>
      <c r="AC64">
        <v>1561</v>
      </c>
      <c r="AD64">
        <v>73.349999999999994</v>
      </c>
      <c r="AE64">
        <v>46.06</v>
      </c>
      <c r="AF64">
        <v>19.149999999999999</v>
      </c>
    </row>
    <row r="65" spans="1:32" x14ac:dyDescent="0.35">
      <c r="A65">
        <v>62</v>
      </c>
      <c r="B65">
        <v>7.54</v>
      </c>
      <c r="C65">
        <v>0</v>
      </c>
      <c r="D65">
        <v>19.149999999999999</v>
      </c>
      <c r="E65">
        <f t="shared" si="0"/>
        <v>7.54</v>
      </c>
      <c r="F65">
        <f t="shared" si="1"/>
        <v>52.64</v>
      </c>
      <c r="G65">
        <f t="shared" si="2"/>
        <v>19.149999999999999</v>
      </c>
      <c r="H65">
        <f t="shared" si="3"/>
        <v>606</v>
      </c>
      <c r="I65">
        <f t="shared" si="4"/>
        <v>78.03</v>
      </c>
      <c r="J65">
        <f t="shared" si="5"/>
        <v>0</v>
      </c>
      <c r="K65">
        <f t="shared" si="6"/>
        <v>19.149999999999999</v>
      </c>
      <c r="L65">
        <f t="shared" si="7"/>
        <v>1053</v>
      </c>
      <c r="O65">
        <v>562</v>
      </c>
      <c r="P65">
        <v>0</v>
      </c>
      <c r="Q65">
        <v>46.06</v>
      </c>
      <c r="R65">
        <v>19.149999999999999</v>
      </c>
      <c r="S65">
        <f t="shared" si="8"/>
        <v>85.57</v>
      </c>
      <c r="T65">
        <f t="shared" si="9"/>
        <v>46.06</v>
      </c>
      <c r="U65">
        <f t="shared" si="10"/>
        <v>19.149999999999999</v>
      </c>
      <c r="V65">
        <f t="shared" si="11"/>
        <v>1566</v>
      </c>
      <c r="X65">
        <v>1062</v>
      </c>
      <c r="Y65">
        <v>81.7</v>
      </c>
      <c r="Z65">
        <v>0</v>
      </c>
      <c r="AA65">
        <v>19.149999999999999</v>
      </c>
      <c r="AC65">
        <v>1562</v>
      </c>
      <c r="AD65">
        <v>73.91</v>
      </c>
      <c r="AE65">
        <v>46.06</v>
      </c>
      <c r="AF65">
        <v>19.149999999999999</v>
      </c>
    </row>
    <row r="66" spans="1:32" x14ac:dyDescent="0.35">
      <c r="A66">
        <v>63</v>
      </c>
      <c r="B66">
        <v>8.3529999999999998</v>
      </c>
      <c r="C66">
        <v>0</v>
      </c>
      <c r="D66">
        <v>19.149999999999999</v>
      </c>
      <c r="E66">
        <f t="shared" si="0"/>
        <v>8.3529999999999998</v>
      </c>
      <c r="F66">
        <f t="shared" si="1"/>
        <v>52.64</v>
      </c>
      <c r="G66">
        <f t="shared" si="2"/>
        <v>19.149999999999999</v>
      </c>
      <c r="H66">
        <f t="shared" si="3"/>
        <v>607</v>
      </c>
      <c r="I66">
        <f t="shared" si="4"/>
        <v>77.22</v>
      </c>
      <c r="J66">
        <f t="shared" si="5"/>
        <v>0</v>
      </c>
      <c r="K66">
        <f t="shared" si="6"/>
        <v>19.149999999999999</v>
      </c>
      <c r="L66">
        <f t="shared" si="7"/>
        <v>1052</v>
      </c>
      <c r="O66">
        <v>563</v>
      </c>
      <c r="P66">
        <v>0.56399999999999995</v>
      </c>
      <c r="Q66">
        <v>46.06</v>
      </c>
      <c r="R66">
        <v>19.149999999999999</v>
      </c>
      <c r="S66">
        <f t="shared" si="8"/>
        <v>85.01</v>
      </c>
      <c r="T66">
        <f t="shared" si="9"/>
        <v>46.06</v>
      </c>
      <c r="U66">
        <f t="shared" si="10"/>
        <v>19.149999999999999</v>
      </c>
      <c r="V66">
        <f t="shared" si="11"/>
        <v>1565</v>
      </c>
      <c r="X66">
        <v>1063</v>
      </c>
      <c r="Y66">
        <v>82.34</v>
      </c>
      <c r="Z66">
        <v>0</v>
      </c>
      <c r="AA66">
        <v>19.149999999999999</v>
      </c>
      <c r="AC66">
        <v>1563</v>
      </c>
      <c r="AD66">
        <v>74.22</v>
      </c>
      <c r="AE66">
        <v>46.06</v>
      </c>
      <c r="AF66">
        <v>19.149999999999999</v>
      </c>
    </row>
    <row r="67" spans="1:32" x14ac:dyDescent="0.35">
      <c r="A67">
        <v>64</v>
      </c>
      <c r="B67">
        <v>8.9909999999999997</v>
      </c>
      <c r="C67">
        <v>0</v>
      </c>
      <c r="D67">
        <v>19.149999999999999</v>
      </c>
      <c r="E67">
        <f t="shared" si="0"/>
        <v>8.9909999999999997</v>
      </c>
      <c r="F67">
        <f t="shared" si="1"/>
        <v>52.64</v>
      </c>
      <c r="G67">
        <f t="shared" si="2"/>
        <v>19.149999999999999</v>
      </c>
      <c r="H67">
        <f t="shared" si="3"/>
        <v>608</v>
      </c>
      <c r="I67">
        <f t="shared" si="4"/>
        <v>76.58</v>
      </c>
      <c r="J67">
        <f t="shared" si="5"/>
        <v>0</v>
      </c>
      <c r="K67">
        <f t="shared" si="6"/>
        <v>19.149999999999999</v>
      </c>
      <c r="L67">
        <f t="shared" si="7"/>
        <v>1051</v>
      </c>
      <c r="O67">
        <v>564</v>
      </c>
      <c r="P67">
        <v>0.879</v>
      </c>
      <c r="Q67">
        <v>46.06</v>
      </c>
      <c r="R67">
        <v>19.149999999999999</v>
      </c>
      <c r="S67">
        <f t="shared" si="8"/>
        <v>84.69</v>
      </c>
      <c r="T67">
        <f t="shared" si="9"/>
        <v>46.06</v>
      </c>
      <c r="U67">
        <f t="shared" si="10"/>
        <v>19.149999999999999</v>
      </c>
      <c r="V67">
        <f t="shared" si="11"/>
        <v>1564</v>
      </c>
      <c r="X67">
        <v>1064</v>
      </c>
      <c r="Y67">
        <v>82.51</v>
      </c>
      <c r="Z67">
        <v>0</v>
      </c>
      <c r="AA67">
        <v>19.149999999999999</v>
      </c>
      <c r="AC67">
        <v>1564</v>
      </c>
      <c r="AD67">
        <v>84.69</v>
      </c>
      <c r="AE67">
        <v>46.06</v>
      </c>
      <c r="AF67">
        <v>19.149999999999999</v>
      </c>
    </row>
    <row r="68" spans="1:32" x14ac:dyDescent="0.35">
      <c r="A68">
        <v>65</v>
      </c>
      <c r="B68">
        <v>9.1690000000000005</v>
      </c>
      <c r="C68">
        <v>0</v>
      </c>
      <c r="D68">
        <v>19.149999999999999</v>
      </c>
      <c r="E68">
        <f t="shared" si="0"/>
        <v>9.1690000000000005</v>
      </c>
      <c r="F68">
        <f t="shared" si="1"/>
        <v>52.64</v>
      </c>
      <c r="G68">
        <f t="shared" si="2"/>
        <v>19.149999999999999</v>
      </c>
      <c r="H68">
        <f t="shared" si="3"/>
        <v>609</v>
      </c>
      <c r="I68">
        <f t="shared" si="4"/>
        <v>76.400000000000006</v>
      </c>
      <c r="J68">
        <f t="shared" si="5"/>
        <v>0</v>
      </c>
      <c r="K68">
        <f t="shared" si="6"/>
        <v>19.149999999999999</v>
      </c>
      <c r="L68">
        <f t="shared" si="7"/>
        <v>1050</v>
      </c>
      <c r="O68">
        <v>565</v>
      </c>
      <c r="P68">
        <v>11.346</v>
      </c>
      <c r="Q68">
        <v>46.06</v>
      </c>
      <c r="R68">
        <v>19.149999999999999</v>
      </c>
      <c r="S68">
        <f t="shared" si="8"/>
        <v>74.22</v>
      </c>
      <c r="T68">
        <f t="shared" si="9"/>
        <v>46.06</v>
      </c>
      <c r="U68">
        <f t="shared" si="10"/>
        <v>19.149999999999999</v>
      </c>
      <c r="V68">
        <f t="shared" si="11"/>
        <v>1563</v>
      </c>
      <c r="X68">
        <v>1065</v>
      </c>
      <c r="Y68">
        <v>83.52</v>
      </c>
      <c r="Z68">
        <v>0</v>
      </c>
      <c r="AA68">
        <v>19.149999999999999</v>
      </c>
      <c r="AC68">
        <v>1565</v>
      </c>
      <c r="AD68">
        <v>85.01</v>
      </c>
      <c r="AE68">
        <v>46.06</v>
      </c>
      <c r="AF68">
        <v>19.149999999999999</v>
      </c>
    </row>
    <row r="69" spans="1:32" x14ac:dyDescent="0.35">
      <c r="A69">
        <v>66</v>
      </c>
      <c r="B69">
        <v>10.193</v>
      </c>
      <c r="C69">
        <v>0</v>
      </c>
      <c r="D69">
        <v>19.149999999999999</v>
      </c>
      <c r="E69">
        <f t="shared" ref="E69:E132" si="12">B69</f>
        <v>10.193</v>
      </c>
      <c r="F69">
        <f t="shared" ref="F69:F132" si="13">2*$P$1-C69</f>
        <v>52.64</v>
      </c>
      <c r="G69">
        <f t="shared" ref="G69:G132" si="14">D69</f>
        <v>19.149999999999999</v>
      </c>
      <c r="H69">
        <f t="shared" ref="H69:H132" si="15">SUMIFS($O:$O,$P:$P,E69,$Q:$Q,F69,$R:$R,G69)</f>
        <v>610</v>
      </c>
      <c r="I69">
        <f t="shared" ref="I69:I132" si="16">TRUNC(2*$Z$1-B69,2)</f>
        <v>75.38</v>
      </c>
      <c r="J69">
        <f t="shared" ref="J69:J132" si="17">C69</f>
        <v>0</v>
      </c>
      <c r="K69">
        <f t="shared" ref="K69:K132" si="18">D69</f>
        <v>19.149999999999999</v>
      </c>
      <c r="L69">
        <f t="shared" ref="L69:L132" si="19">SUMIFS($X:$X,$Y:$Y,I69,$Z:$Z,J69,$AA:$AA,K69)</f>
        <v>1049</v>
      </c>
      <c r="O69">
        <v>566</v>
      </c>
      <c r="P69">
        <v>11.661</v>
      </c>
      <c r="Q69">
        <v>46.06</v>
      </c>
      <c r="R69">
        <v>19.149999999999999</v>
      </c>
      <c r="S69">
        <f t="shared" ref="S69:S132" si="20">TRUNC(2*$Z$1-P69,2)</f>
        <v>73.91</v>
      </c>
      <c r="T69">
        <f t="shared" ref="T69:T132" si="21">Q69</f>
        <v>46.06</v>
      </c>
      <c r="U69">
        <f t="shared" ref="U69:U132" si="22">R69</f>
        <v>19.149999999999999</v>
      </c>
      <c r="V69">
        <f t="shared" ref="V69:V132" si="23">SUMIFS($AC:$AC,$AD:$AD,S69,$AE:$AE,T69,$AF:$AF,U69)</f>
        <v>1562</v>
      </c>
      <c r="X69">
        <v>1066</v>
      </c>
      <c r="Y69">
        <v>83.95</v>
      </c>
      <c r="Z69">
        <v>0</v>
      </c>
      <c r="AA69">
        <v>19.149999999999999</v>
      </c>
      <c r="AC69">
        <v>1566</v>
      </c>
      <c r="AD69">
        <v>85.57</v>
      </c>
      <c r="AE69">
        <v>46.06</v>
      </c>
      <c r="AF69">
        <v>19.149999999999999</v>
      </c>
    </row>
    <row r="70" spans="1:32" x14ac:dyDescent="0.35">
      <c r="A70">
        <v>67</v>
      </c>
      <c r="B70">
        <v>10.603999999999999</v>
      </c>
      <c r="C70">
        <v>0</v>
      </c>
      <c r="D70">
        <v>19.149999999999999</v>
      </c>
      <c r="E70">
        <f t="shared" si="12"/>
        <v>10.603999999999999</v>
      </c>
      <c r="F70">
        <f t="shared" si="13"/>
        <v>52.64</v>
      </c>
      <c r="G70">
        <f t="shared" si="14"/>
        <v>19.149999999999999</v>
      </c>
      <c r="H70">
        <f t="shared" si="15"/>
        <v>611</v>
      </c>
      <c r="I70">
        <f t="shared" si="16"/>
        <v>74.97</v>
      </c>
      <c r="J70">
        <f t="shared" si="17"/>
        <v>0</v>
      </c>
      <c r="K70">
        <f t="shared" si="18"/>
        <v>19.149999999999999</v>
      </c>
      <c r="L70">
        <f t="shared" si="19"/>
        <v>1048</v>
      </c>
      <c r="O70">
        <v>567</v>
      </c>
      <c r="P70">
        <v>12.225</v>
      </c>
      <c r="Q70">
        <v>46.06</v>
      </c>
      <c r="R70">
        <v>19.149999999999999</v>
      </c>
      <c r="S70">
        <f t="shared" si="20"/>
        <v>73.349999999999994</v>
      </c>
      <c r="T70">
        <f t="shared" si="21"/>
        <v>46.06</v>
      </c>
      <c r="U70">
        <f t="shared" si="22"/>
        <v>19.149999999999999</v>
      </c>
      <c r="V70">
        <f t="shared" si="23"/>
        <v>1561</v>
      </c>
      <c r="X70">
        <v>1067</v>
      </c>
      <c r="Y70">
        <v>84.55</v>
      </c>
      <c r="Z70">
        <v>0</v>
      </c>
      <c r="AA70">
        <v>19.149999999999999</v>
      </c>
      <c r="AC70">
        <v>1567</v>
      </c>
      <c r="AD70">
        <v>86.97</v>
      </c>
      <c r="AE70">
        <v>46.06</v>
      </c>
      <c r="AF70">
        <v>19.149999999999999</v>
      </c>
    </row>
    <row r="71" spans="1:32" x14ac:dyDescent="0.35">
      <c r="A71">
        <v>68</v>
      </c>
      <c r="B71">
        <v>11.217000000000001</v>
      </c>
      <c r="C71">
        <v>0</v>
      </c>
      <c r="D71">
        <v>19.149999999999999</v>
      </c>
      <c r="E71">
        <f t="shared" si="12"/>
        <v>11.217000000000001</v>
      </c>
      <c r="F71">
        <f t="shared" si="13"/>
        <v>52.64</v>
      </c>
      <c r="G71">
        <f t="shared" si="14"/>
        <v>19.149999999999999</v>
      </c>
      <c r="H71">
        <f t="shared" si="15"/>
        <v>612</v>
      </c>
      <c r="I71">
        <f t="shared" si="16"/>
        <v>74.349999999999994</v>
      </c>
      <c r="J71">
        <f t="shared" si="17"/>
        <v>0</v>
      </c>
      <c r="K71">
        <f t="shared" si="18"/>
        <v>19.149999999999999</v>
      </c>
      <c r="L71">
        <f t="shared" si="19"/>
        <v>1047</v>
      </c>
      <c r="O71">
        <v>568</v>
      </c>
      <c r="P71">
        <v>0</v>
      </c>
      <c r="Q71">
        <v>47.793999999999997</v>
      </c>
      <c r="R71">
        <v>19.149999999999999</v>
      </c>
      <c r="S71">
        <f t="shared" si="20"/>
        <v>85.57</v>
      </c>
      <c r="T71">
        <f t="shared" si="21"/>
        <v>47.793999999999997</v>
      </c>
      <c r="U71">
        <f t="shared" si="22"/>
        <v>19.149999999999999</v>
      </c>
      <c r="V71">
        <f t="shared" si="23"/>
        <v>1569</v>
      </c>
      <c r="X71">
        <v>1068</v>
      </c>
      <c r="Y71">
        <v>85.57</v>
      </c>
      <c r="Z71">
        <v>0</v>
      </c>
      <c r="AA71">
        <v>19.149999999999999</v>
      </c>
      <c r="AC71">
        <v>1568</v>
      </c>
      <c r="AD71">
        <v>73.349999999999994</v>
      </c>
      <c r="AE71">
        <v>47.793999999999997</v>
      </c>
      <c r="AF71">
        <v>19.149999999999999</v>
      </c>
    </row>
    <row r="72" spans="1:32" x14ac:dyDescent="0.35">
      <c r="A72">
        <v>69</v>
      </c>
      <c r="B72">
        <v>12.225</v>
      </c>
      <c r="C72">
        <v>0</v>
      </c>
      <c r="D72">
        <v>19.149999999999999</v>
      </c>
      <c r="E72">
        <f t="shared" si="12"/>
        <v>12.225</v>
      </c>
      <c r="F72">
        <f t="shared" si="13"/>
        <v>52.64</v>
      </c>
      <c r="G72">
        <f t="shared" si="14"/>
        <v>19.149999999999999</v>
      </c>
      <c r="H72">
        <f t="shared" si="15"/>
        <v>613</v>
      </c>
      <c r="I72">
        <f t="shared" si="16"/>
        <v>73.349999999999994</v>
      </c>
      <c r="J72">
        <f t="shared" si="17"/>
        <v>0</v>
      </c>
      <c r="K72">
        <f t="shared" si="18"/>
        <v>19.149999999999999</v>
      </c>
      <c r="L72">
        <f t="shared" si="19"/>
        <v>1046</v>
      </c>
      <c r="O72">
        <v>569</v>
      </c>
      <c r="P72">
        <v>12.225</v>
      </c>
      <c r="Q72">
        <v>47.793999999999997</v>
      </c>
      <c r="R72">
        <v>19.149999999999999</v>
      </c>
      <c r="S72">
        <f t="shared" si="20"/>
        <v>73.349999999999994</v>
      </c>
      <c r="T72">
        <f t="shared" si="21"/>
        <v>47.793999999999997</v>
      </c>
      <c r="U72">
        <f t="shared" si="22"/>
        <v>19.149999999999999</v>
      </c>
      <c r="V72">
        <f t="shared" si="23"/>
        <v>1568</v>
      </c>
      <c r="X72">
        <v>1069</v>
      </c>
      <c r="Y72">
        <v>86.97</v>
      </c>
      <c r="Z72">
        <v>0</v>
      </c>
      <c r="AA72">
        <v>19.149999999999999</v>
      </c>
      <c r="AC72">
        <v>1569</v>
      </c>
      <c r="AD72">
        <v>85.57</v>
      </c>
      <c r="AE72">
        <v>47.793999999999997</v>
      </c>
      <c r="AF72">
        <v>19.149999999999999</v>
      </c>
    </row>
    <row r="73" spans="1:32" x14ac:dyDescent="0.35">
      <c r="A73">
        <v>70</v>
      </c>
      <c r="B73">
        <v>3.8140000000000001</v>
      </c>
      <c r="C73">
        <v>1.0309999999999999</v>
      </c>
      <c r="D73">
        <v>19.149999999999999</v>
      </c>
      <c r="E73">
        <f t="shared" si="12"/>
        <v>3.8140000000000001</v>
      </c>
      <c r="F73">
        <f t="shared" si="13"/>
        <v>51.609000000000002</v>
      </c>
      <c r="G73">
        <f t="shared" si="14"/>
        <v>19.149999999999999</v>
      </c>
      <c r="H73">
        <f t="shared" si="15"/>
        <v>587</v>
      </c>
      <c r="I73">
        <f t="shared" si="16"/>
        <v>81.760000000000005</v>
      </c>
      <c r="J73">
        <f t="shared" si="17"/>
        <v>1.0309999999999999</v>
      </c>
      <c r="K73">
        <f t="shared" si="18"/>
        <v>19.149999999999999</v>
      </c>
      <c r="L73">
        <f t="shared" si="19"/>
        <v>1072</v>
      </c>
      <c r="O73">
        <v>570</v>
      </c>
      <c r="P73">
        <v>-1.4</v>
      </c>
      <c r="Q73">
        <v>48.253</v>
      </c>
      <c r="R73">
        <v>19.149999999999999</v>
      </c>
      <c r="S73">
        <f t="shared" si="20"/>
        <v>86.97</v>
      </c>
      <c r="T73">
        <f t="shared" si="21"/>
        <v>48.253</v>
      </c>
      <c r="U73">
        <f t="shared" si="22"/>
        <v>19.149999999999999</v>
      </c>
      <c r="V73">
        <f t="shared" si="23"/>
        <v>1571</v>
      </c>
      <c r="X73">
        <v>1070</v>
      </c>
      <c r="Y73">
        <v>77.16</v>
      </c>
      <c r="Z73">
        <v>1.0309999999999999</v>
      </c>
      <c r="AA73">
        <v>19.149999999999999</v>
      </c>
      <c r="AC73">
        <v>1570</v>
      </c>
      <c r="AD73">
        <v>85.57</v>
      </c>
      <c r="AE73">
        <v>48.253</v>
      </c>
      <c r="AF73">
        <v>19.149999999999999</v>
      </c>
    </row>
    <row r="74" spans="1:32" x14ac:dyDescent="0.35">
      <c r="A74">
        <v>71</v>
      </c>
      <c r="B74">
        <v>6.1120000000000001</v>
      </c>
      <c r="C74">
        <v>1.0309999999999999</v>
      </c>
      <c r="D74">
        <v>19.149999999999999</v>
      </c>
      <c r="E74">
        <f t="shared" si="12"/>
        <v>6.1120000000000001</v>
      </c>
      <c r="F74">
        <f t="shared" si="13"/>
        <v>51.609000000000002</v>
      </c>
      <c r="G74">
        <f t="shared" si="14"/>
        <v>19.149999999999999</v>
      </c>
      <c r="H74">
        <f t="shared" si="15"/>
        <v>588</v>
      </c>
      <c r="I74">
        <f t="shared" si="16"/>
        <v>79.459999999999994</v>
      </c>
      <c r="J74">
        <f t="shared" si="17"/>
        <v>1.0309999999999999</v>
      </c>
      <c r="K74">
        <f t="shared" si="18"/>
        <v>19.149999999999999</v>
      </c>
      <c r="L74">
        <f t="shared" si="19"/>
        <v>1071</v>
      </c>
      <c r="O74">
        <v>571</v>
      </c>
      <c r="P74">
        <v>0</v>
      </c>
      <c r="Q74">
        <v>48.253</v>
      </c>
      <c r="R74">
        <v>19.149999999999999</v>
      </c>
      <c r="S74">
        <f t="shared" si="20"/>
        <v>85.57</v>
      </c>
      <c r="T74">
        <f t="shared" si="21"/>
        <v>48.253</v>
      </c>
      <c r="U74">
        <f t="shared" si="22"/>
        <v>19.149999999999999</v>
      </c>
      <c r="V74">
        <f t="shared" si="23"/>
        <v>1570</v>
      </c>
      <c r="X74">
        <v>1071</v>
      </c>
      <c r="Y74">
        <v>79.459999999999994</v>
      </c>
      <c r="Z74">
        <v>1.0309999999999999</v>
      </c>
      <c r="AA74">
        <v>19.149999999999999</v>
      </c>
      <c r="AC74">
        <v>1571</v>
      </c>
      <c r="AD74">
        <v>86.97</v>
      </c>
      <c r="AE74">
        <v>48.253</v>
      </c>
      <c r="AF74">
        <v>19.149999999999999</v>
      </c>
    </row>
    <row r="75" spans="1:32" x14ac:dyDescent="0.35">
      <c r="A75">
        <v>72</v>
      </c>
      <c r="B75">
        <v>8.4109999999999996</v>
      </c>
      <c r="C75">
        <v>1.0309999999999999</v>
      </c>
      <c r="D75">
        <v>19.149999999999999</v>
      </c>
      <c r="E75">
        <f t="shared" si="12"/>
        <v>8.4109999999999996</v>
      </c>
      <c r="F75">
        <f t="shared" si="13"/>
        <v>51.609000000000002</v>
      </c>
      <c r="G75">
        <f t="shared" si="14"/>
        <v>19.149999999999999</v>
      </c>
      <c r="H75">
        <f t="shared" si="15"/>
        <v>589</v>
      </c>
      <c r="I75">
        <f t="shared" si="16"/>
        <v>77.16</v>
      </c>
      <c r="J75">
        <f t="shared" si="17"/>
        <v>1.0309999999999999</v>
      </c>
      <c r="K75">
        <f t="shared" si="18"/>
        <v>19.149999999999999</v>
      </c>
      <c r="L75">
        <f t="shared" si="19"/>
        <v>1070</v>
      </c>
      <c r="O75">
        <v>572</v>
      </c>
      <c r="P75">
        <v>0.56399999999999995</v>
      </c>
      <c r="Q75">
        <v>48.357999999999997</v>
      </c>
      <c r="R75">
        <v>19.149999999999999</v>
      </c>
      <c r="S75">
        <f t="shared" si="20"/>
        <v>85.01</v>
      </c>
      <c r="T75">
        <f t="shared" si="21"/>
        <v>48.357999999999997</v>
      </c>
      <c r="U75">
        <f t="shared" si="22"/>
        <v>19.149999999999999</v>
      </c>
      <c r="V75">
        <f t="shared" si="23"/>
        <v>1573</v>
      </c>
      <c r="X75">
        <v>1072</v>
      </c>
      <c r="Y75">
        <v>81.760000000000005</v>
      </c>
      <c r="Z75">
        <v>1.0309999999999999</v>
      </c>
      <c r="AA75">
        <v>19.149999999999999</v>
      </c>
      <c r="AC75">
        <v>1572</v>
      </c>
      <c r="AD75">
        <v>73.91</v>
      </c>
      <c r="AE75">
        <v>48.357999999999997</v>
      </c>
      <c r="AF75">
        <v>19.149999999999999</v>
      </c>
    </row>
    <row r="76" spans="1:32" x14ac:dyDescent="0.35">
      <c r="A76">
        <v>73</v>
      </c>
      <c r="B76">
        <v>6.1120000000000001</v>
      </c>
      <c r="C76">
        <v>1.3460000000000001</v>
      </c>
      <c r="D76">
        <v>19.149999999999999</v>
      </c>
      <c r="E76">
        <f t="shared" si="12"/>
        <v>6.1120000000000001</v>
      </c>
      <c r="F76">
        <f t="shared" si="13"/>
        <v>51.293999999999997</v>
      </c>
      <c r="G76">
        <f t="shared" si="14"/>
        <v>19.149999999999999</v>
      </c>
      <c r="H76">
        <f t="shared" si="15"/>
        <v>586</v>
      </c>
      <c r="I76">
        <f t="shared" si="16"/>
        <v>79.459999999999994</v>
      </c>
      <c r="J76">
        <f t="shared" si="17"/>
        <v>1.3460000000000001</v>
      </c>
      <c r="K76">
        <f t="shared" si="18"/>
        <v>19.149999999999999</v>
      </c>
      <c r="L76">
        <f t="shared" si="19"/>
        <v>1073</v>
      </c>
      <c r="O76">
        <v>573</v>
      </c>
      <c r="P76">
        <v>11.661</v>
      </c>
      <c r="Q76">
        <v>48.357999999999997</v>
      </c>
      <c r="R76">
        <v>19.149999999999999</v>
      </c>
      <c r="S76">
        <f t="shared" si="20"/>
        <v>73.91</v>
      </c>
      <c r="T76">
        <f t="shared" si="21"/>
        <v>48.357999999999997</v>
      </c>
      <c r="U76">
        <f t="shared" si="22"/>
        <v>19.149999999999999</v>
      </c>
      <c r="V76">
        <f t="shared" si="23"/>
        <v>1572</v>
      </c>
      <c r="X76">
        <v>1073</v>
      </c>
      <c r="Y76">
        <v>79.459999999999994</v>
      </c>
      <c r="Z76">
        <v>1.3460000000000001</v>
      </c>
      <c r="AA76">
        <v>19.149999999999999</v>
      </c>
      <c r="AC76">
        <v>1573</v>
      </c>
      <c r="AD76">
        <v>85.01</v>
      </c>
      <c r="AE76">
        <v>48.357999999999997</v>
      </c>
      <c r="AF76">
        <v>19.149999999999999</v>
      </c>
    </row>
    <row r="77" spans="1:32" x14ac:dyDescent="0.35">
      <c r="A77">
        <v>74</v>
      </c>
      <c r="B77">
        <v>0</v>
      </c>
      <c r="C77">
        <v>1.621</v>
      </c>
      <c r="D77">
        <v>19.149999999999999</v>
      </c>
      <c r="E77">
        <f t="shared" si="12"/>
        <v>0</v>
      </c>
      <c r="F77">
        <f t="shared" si="13"/>
        <v>51.018999999999998</v>
      </c>
      <c r="G77">
        <f t="shared" si="14"/>
        <v>19.149999999999999</v>
      </c>
      <c r="H77">
        <f t="shared" si="15"/>
        <v>584</v>
      </c>
      <c r="I77">
        <f t="shared" si="16"/>
        <v>85.57</v>
      </c>
      <c r="J77">
        <f t="shared" si="17"/>
        <v>1.621</v>
      </c>
      <c r="K77">
        <f t="shared" si="18"/>
        <v>19.149999999999999</v>
      </c>
      <c r="L77">
        <f t="shared" si="19"/>
        <v>1075</v>
      </c>
      <c r="O77">
        <v>574</v>
      </c>
      <c r="P77">
        <v>0</v>
      </c>
      <c r="Q77">
        <v>49.405999999999999</v>
      </c>
      <c r="R77">
        <v>19.149999999999999</v>
      </c>
      <c r="S77">
        <f t="shared" si="20"/>
        <v>85.57</v>
      </c>
      <c r="T77">
        <f t="shared" si="21"/>
        <v>49.405999999999999</v>
      </c>
      <c r="U77">
        <f t="shared" si="22"/>
        <v>19.149999999999999</v>
      </c>
      <c r="V77">
        <f t="shared" si="23"/>
        <v>1575</v>
      </c>
      <c r="X77">
        <v>1074</v>
      </c>
      <c r="Y77">
        <v>73.349999999999994</v>
      </c>
      <c r="Z77">
        <v>1.621</v>
      </c>
      <c r="AA77">
        <v>19.149999999999999</v>
      </c>
      <c r="AC77">
        <v>1574</v>
      </c>
      <c r="AD77">
        <v>73.349999999999994</v>
      </c>
      <c r="AE77">
        <v>49.405999999999999</v>
      </c>
      <c r="AF77">
        <v>19.149999999999999</v>
      </c>
    </row>
    <row r="78" spans="1:32" x14ac:dyDescent="0.35">
      <c r="A78">
        <v>75</v>
      </c>
      <c r="B78">
        <v>12.225</v>
      </c>
      <c r="C78">
        <v>1.621</v>
      </c>
      <c r="D78">
        <v>19.149999999999999</v>
      </c>
      <c r="E78">
        <f t="shared" si="12"/>
        <v>12.225</v>
      </c>
      <c r="F78">
        <f t="shared" si="13"/>
        <v>51.018999999999998</v>
      </c>
      <c r="G78">
        <f t="shared" si="14"/>
        <v>19.149999999999999</v>
      </c>
      <c r="H78">
        <f t="shared" si="15"/>
        <v>585</v>
      </c>
      <c r="I78">
        <f t="shared" si="16"/>
        <v>73.349999999999994</v>
      </c>
      <c r="J78">
        <f t="shared" si="17"/>
        <v>1.621</v>
      </c>
      <c r="K78">
        <f t="shared" si="18"/>
        <v>19.149999999999999</v>
      </c>
      <c r="L78">
        <f t="shared" si="19"/>
        <v>1074</v>
      </c>
      <c r="O78">
        <v>575</v>
      </c>
      <c r="P78">
        <v>12.225</v>
      </c>
      <c r="Q78">
        <v>49.405999999999999</v>
      </c>
      <c r="R78">
        <v>19.149999999999999</v>
      </c>
      <c r="S78">
        <f t="shared" si="20"/>
        <v>73.349999999999994</v>
      </c>
      <c r="T78">
        <f t="shared" si="21"/>
        <v>49.405999999999999</v>
      </c>
      <c r="U78">
        <f t="shared" si="22"/>
        <v>19.149999999999999</v>
      </c>
      <c r="V78">
        <f t="shared" si="23"/>
        <v>1574</v>
      </c>
      <c r="X78">
        <v>1075</v>
      </c>
      <c r="Y78">
        <v>85.57</v>
      </c>
      <c r="Z78">
        <v>1.621</v>
      </c>
      <c r="AA78">
        <v>19.149999999999999</v>
      </c>
      <c r="AC78">
        <v>1575</v>
      </c>
      <c r="AD78">
        <v>85.57</v>
      </c>
      <c r="AE78">
        <v>49.405999999999999</v>
      </c>
      <c r="AF78">
        <v>19.149999999999999</v>
      </c>
    </row>
    <row r="79" spans="1:32" x14ac:dyDescent="0.35">
      <c r="A79">
        <v>76</v>
      </c>
      <c r="B79">
        <v>1.383</v>
      </c>
      <c r="C79">
        <v>1.851</v>
      </c>
      <c r="D79">
        <v>19.149999999999999</v>
      </c>
      <c r="E79">
        <f t="shared" si="12"/>
        <v>1.383</v>
      </c>
      <c r="F79">
        <f t="shared" si="13"/>
        <v>50.789000000000001</v>
      </c>
      <c r="G79">
        <f t="shared" si="14"/>
        <v>19.149999999999999</v>
      </c>
      <c r="H79">
        <f t="shared" si="15"/>
        <v>582</v>
      </c>
      <c r="I79">
        <f t="shared" si="16"/>
        <v>84.19</v>
      </c>
      <c r="J79">
        <f t="shared" si="17"/>
        <v>1.851</v>
      </c>
      <c r="K79">
        <f t="shared" si="18"/>
        <v>19.149999999999999</v>
      </c>
      <c r="L79">
        <f t="shared" si="19"/>
        <v>1077</v>
      </c>
      <c r="O79">
        <v>576</v>
      </c>
      <c r="P79">
        <v>2.4129999999999998</v>
      </c>
      <c r="Q79">
        <v>49.761000000000003</v>
      </c>
      <c r="R79">
        <v>19.149999999999999</v>
      </c>
      <c r="S79">
        <f t="shared" si="20"/>
        <v>83.16</v>
      </c>
      <c r="T79">
        <f t="shared" si="21"/>
        <v>49.761000000000003</v>
      </c>
      <c r="U79">
        <f t="shared" si="22"/>
        <v>19.149999999999999</v>
      </c>
      <c r="V79">
        <f t="shared" si="23"/>
        <v>1577</v>
      </c>
      <c r="X79">
        <v>1076</v>
      </c>
      <c r="Y79">
        <v>74.73</v>
      </c>
      <c r="Z79">
        <v>1.851</v>
      </c>
      <c r="AA79">
        <v>19.149999999999999</v>
      </c>
      <c r="AC79">
        <v>1576</v>
      </c>
      <c r="AD79">
        <v>75.760000000000005</v>
      </c>
      <c r="AE79">
        <v>49.761000000000003</v>
      </c>
      <c r="AF79">
        <v>19.149999999999999</v>
      </c>
    </row>
    <row r="80" spans="1:32" x14ac:dyDescent="0.35">
      <c r="A80">
        <v>77</v>
      </c>
      <c r="B80">
        <v>10.842000000000001</v>
      </c>
      <c r="C80">
        <v>1.851</v>
      </c>
      <c r="D80">
        <v>19.149999999999999</v>
      </c>
      <c r="E80">
        <f t="shared" si="12"/>
        <v>10.842000000000001</v>
      </c>
      <c r="F80">
        <f t="shared" si="13"/>
        <v>50.789000000000001</v>
      </c>
      <c r="G80">
        <f t="shared" si="14"/>
        <v>19.149999999999999</v>
      </c>
      <c r="H80">
        <f t="shared" si="15"/>
        <v>583</v>
      </c>
      <c r="I80">
        <f t="shared" si="16"/>
        <v>74.73</v>
      </c>
      <c r="J80">
        <f t="shared" si="17"/>
        <v>1.851</v>
      </c>
      <c r="K80">
        <f t="shared" si="18"/>
        <v>19.149999999999999</v>
      </c>
      <c r="L80">
        <f t="shared" si="19"/>
        <v>1076</v>
      </c>
      <c r="O80">
        <v>577</v>
      </c>
      <c r="P80">
        <v>9.8130000000000006</v>
      </c>
      <c r="Q80">
        <v>49.761000000000003</v>
      </c>
      <c r="R80">
        <v>19.149999999999999</v>
      </c>
      <c r="S80">
        <f t="shared" si="20"/>
        <v>75.760000000000005</v>
      </c>
      <c r="T80">
        <f t="shared" si="21"/>
        <v>49.761000000000003</v>
      </c>
      <c r="U80">
        <f t="shared" si="22"/>
        <v>19.149999999999999</v>
      </c>
      <c r="V80">
        <f t="shared" si="23"/>
        <v>1576</v>
      </c>
      <c r="X80">
        <v>1077</v>
      </c>
      <c r="Y80">
        <v>84.19</v>
      </c>
      <c r="Z80">
        <v>1.851</v>
      </c>
      <c r="AA80">
        <v>19.149999999999999</v>
      </c>
      <c r="AC80">
        <v>1577</v>
      </c>
      <c r="AD80">
        <v>83.16</v>
      </c>
      <c r="AE80">
        <v>49.761000000000003</v>
      </c>
      <c r="AF80">
        <v>19.149999999999999</v>
      </c>
    </row>
    <row r="81" spans="1:32" x14ac:dyDescent="0.35">
      <c r="A81">
        <v>78</v>
      </c>
      <c r="B81">
        <v>-1.4</v>
      </c>
      <c r="C81">
        <v>2.194</v>
      </c>
      <c r="D81">
        <v>19.149999999999999</v>
      </c>
      <c r="E81">
        <f t="shared" si="12"/>
        <v>-1.4</v>
      </c>
      <c r="F81">
        <f t="shared" si="13"/>
        <v>50.445999999999998</v>
      </c>
      <c r="G81">
        <f t="shared" si="14"/>
        <v>19.149999999999999</v>
      </c>
      <c r="H81">
        <f t="shared" si="15"/>
        <v>580</v>
      </c>
      <c r="I81">
        <f t="shared" si="16"/>
        <v>86.97</v>
      </c>
      <c r="J81">
        <f t="shared" si="17"/>
        <v>2.194</v>
      </c>
      <c r="K81">
        <f t="shared" si="18"/>
        <v>19.149999999999999</v>
      </c>
      <c r="L81">
        <f t="shared" si="19"/>
        <v>1079</v>
      </c>
      <c r="O81">
        <v>578</v>
      </c>
      <c r="P81">
        <v>2.1890000000000001</v>
      </c>
      <c r="Q81">
        <v>49.982999999999997</v>
      </c>
      <c r="R81">
        <v>19.149999999999999</v>
      </c>
      <c r="S81">
        <f t="shared" si="20"/>
        <v>83.38</v>
      </c>
      <c r="T81">
        <f t="shared" si="21"/>
        <v>49.982999999999997</v>
      </c>
      <c r="U81">
        <f t="shared" si="22"/>
        <v>19.149999999999999</v>
      </c>
      <c r="V81">
        <f t="shared" si="23"/>
        <v>1579</v>
      </c>
      <c r="X81">
        <v>1078</v>
      </c>
      <c r="Y81">
        <v>85.57</v>
      </c>
      <c r="Z81">
        <v>2.194</v>
      </c>
      <c r="AA81">
        <v>19.149999999999999</v>
      </c>
      <c r="AC81">
        <v>1578</v>
      </c>
      <c r="AD81">
        <v>75.53</v>
      </c>
      <c r="AE81">
        <v>49.982999999999997</v>
      </c>
      <c r="AF81">
        <v>19.149999999999999</v>
      </c>
    </row>
    <row r="82" spans="1:32" x14ac:dyDescent="0.35">
      <c r="A82">
        <v>79</v>
      </c>
      <c r="B82">
        <v>0</v>
      </c>
      <c r="C82">
        <v>2.194</v>
      </c>
      <c r="D82">
        <v>19.149999999999999</v>
      </c>
      <c r="E82">
        <f t="shared" si="12"/>
        <v>0</v>
      </c>
      <c r="F82">
        <f t="shared" si="13"/>
        <v>50.445999999999998</v>
      </c>
      <c r="G82">
        <f t="shared" si="14"/>
        <v>19.149999999999999</v>
      </c>
      <c r="H82">
        <f t="shared" si="15"/>
        <v>581</v>
      </c>
      <c r="I82">
        <f t="shared" si="16"/>
        <v>85.57</v>
      </c>
      <c r="J82">
        <f t="shared" si="17"/>
        <v>2.194</v>
      </c>
      <c r="K82">
        <f t="shared" si="18"/>
        <v>19.149999999999999</v>
      </c>
      <c r="L82">
        <f t="shared" si="19"/>
        <v>1078</v>
      </c>
      <c r="O82">
        <v>579</v>
      </c>
      <c r="P82">
        <v>10.036</v>
      </c>
      <c r="Q82">
        <v>49.982999999999997</v>
      </c>
      <c r="R82">
        <v>19.149999999999999</v>
      </c>
      <c r="S82">
        <f t="shared" si="20"/>
        <v>75.53</v>
      </c>
      <c r="T82">
        <f t="shared" si="21"/>
        <v>49.982999999999997</v>
      </c>
      <c r="U82">
        <f t="shared" si="22"/>
        <v>19.149999999999999</v>
      </c>
      <c r="V82">
        <f t="shared" si="23"/>
        <v>1578</v>
      </c>
      <c r="X82">
        <v>1079</v>
      </c>
      <c r="Y82">
        <v>86.97</v>
      </c>
      <c r="Z82">
        <v>2.194</v>
      </c>
      <c r="AA82">
        <v>19.149999999999999</v>
      </c>
      <c r="AC82">
        <v>1579</v>
      </c>
      <c r="AD82">
        <v>83.38</v>
      </c>
      <c r="AE82">
        <v>49.982999999999997</v>
      </c>
      <c r="AF82">
        <v>19.149999999999999</v>
      </c>
    </row>
    <row r="83" spans="1:32" x14ac:dyDescent="0.35">
      <c r="A83">
        <v>80</v>
      </c>
      <c r="B83">
        <v>2.1890000000000001</v>
      </c>
      <c r="C83">
        <v>2.657</v>
      </c>
      <c r="D83">
        <v>19.149999999999999</v>
      </c>
      <c r="E83">
        <f t="shared" si="12"/>
        <v>2.1890000000000001</v>
      </c>
      <c r="F83">
        <f t="shared" si="13"/>
        <v>49.983000000000004</v>
      </c>
      <c r="G83">
        <f t="shared" si="14"/>
        <v>19.149999999999999</v>
      </c>
      <c r="H83">
        <f t="shared" si="15"/>
        <v>578</v>
      </c>
      <c r="I83">
        <f t="shared" si="16"/>
        <v>83.38</v>
      </c>
      <c r="J83">
        <f t="shared" si="17"/>
        <v>2.657</v>
      </c>
      <c r="K83">
        <f t="shared" si="18"/>
        <v>19.149999999999999</v>
      </c>
      <c r="L83">
        <f t="shared" si="19"/>
        <v>1081</v>
      </c>
      <c r="O83">
        <v>580</v>
      </c>
      <c r="P83">
        <v>-1.4</v>
      </c>
      <c r="Q83">
        <v>50.445999999999998</v>
      </c>
      <c r="R83">
        <v>19.149999999999999</v>
      </c>
      <c r="S83">
        <f t="shared" si="20"/>
        <v>86.97</v>
      </c>
      <c r="T83">
        <f t="shared" si="21"/>
        <v>50.445999999999998</v>
      </c>
      <c r="U83">
        <f t="shared" si="22"/>
        <v>19.149999999999999</v>
      </c>
      <c r="V83">
        <f t="shared" si="23"/>
        <v>1581</v>
      </c>
      <c r="X83">
        <v>1080</v>
      </c>
      <c r="Y83">
        <v>75.53</v>
      </c>
      <c r="Z83">
        <v>2.657</v>
      </c>
      <c r="AA83">
        <v>19.149999999999999</v>
      </c>
      <c r="AC83">
        <v>1580</v>
      </c>
      <c r="AD83">
        <v>85.57</v>
      </c>
      <c r="AE83">
        <v>50.445999999999998</v>
      </c>
      <c r="AF83">
        <v>19.149999999999999</v>
      </c>
    </row>
    <row r="84" spans="1:32" x14ac:dyDescent="0.35">
      <c r="A84">
        <v>81</v>
      </c>
      <c r="B84">
        <v>10.036</v>
      </c>
      <c r="C84">
        <v>2.657</v>
      </c>
      <c r="D84">
        <v>19.149999999999999</v>
      </c>
      <c r="E84">
        <f t="shared" si="12"/>
        <v>10.036</v>
      </c>
      <c r="F84">
        <f t="shared" si="13"/>
        <v>49.983000000000004</v>
      </c>
      <c r="G84">
        <f t="shared" si="14"/>
        <v>19.149999999999999</v>
      </c>
      <c r="H84">
        <f t="shared" si="15"/>
        <v>579</v>
      </c>
      <c r="I84">
        <f t="shared" si="16"/>
        <v>75.53</v>
      </c>
      <c r="J84">
        <f t="shared" si="17"/>
        <v>2.657</v>
      </c>
      <c r="K84">
        <f t="shared" si="18"/>
        <v>19.149999999999999</v>
      </c>
      <c r="L84">
        <f t="shared" si="19"/>
        <v>1080</v>
      </c>
      <c r="O84">
        <v>581</v>
      </c>
      <c r="P84">
        <v>0</v>
      </c>
      <c r="Q84">
        <v>50.445999999999998</v>
      </c>
      <c r="R84">
        <v>19.149999999999999</v>
      </c>
      <c r="S84">
        <f t="shared" si="20"/>
        <v>85.57</v>
      </c>
      <c r="T84">
        <f t="shared" si="21"/>
        <v>50.445999999999998</v>
      </c>
      <c r="U84">
        <f t="shared" si="22"/>
        <v>19.149999999999999</v>
      </c>
      <c r="V84">
        <f t="shared" si="23"/>
        <v>1580</v>
      </c>
      <c r="X84">
        <v>1081</v>
      </c>
      <c r="Y84">
        <v>83.38</v>
      </c>
      <c r="Z84">
        <v>2.657</v>
      </c>
      <c r="AA84">
        <v>19.149999999999999</v>
      </c>
      <c r="AC84">
        <v>1581</v>
      </c>
      <c r="AD84">
        <v>86.97</v>
      </c>
      <c r="AE84">
        <v>50.445999999999998</v>
      </c>
      <c r="AF84">
        <v>19.149999999999999</v>
      </c>
    </row>
    <row r="85" spans="1:32" x14ac:dyDescent="0.35">
      <c r="A85">
        <v>82</v>
      </c>
      <c r="B85">
        <v>2.4129999999999998</v>
      </c>
      <c r="C85">
        <v>2.879</v>
      </c>
      <c r="D85">
        <v>19.149999999999999</v>
      </c>
      <c r="E85">
        <f t="shared" si="12"/>
        <v>2.4129999999999998</v>
      </c>
      <c r="F85">
        <f t="shared" si="13"/>
        <v>49.761000000000003</v>
      </c>
      <c r="G85">
        <f t="shared" si="14"/>
        <v>19.149999999999999</v>
      </c>
      <c r="H85">
        <f t="shared" si="15"/>
        <v>576</v>
      </c>
      <c r="I85">
        <f t="shared" si="16"/>
        <v>83.16</v>
      </c>
      <c r="J85">
        <f t="shared" si="17"/>
        <v>2.879</v>
      </c>
      <c r="K85">
        <f t="shared" si="18"/>
        <v>19.149999999999999</v>
      </c>
      <c r="L85">
        <f t="shared" si="19"/>
        <v>1083</v>
      </c>
      <c r="O85">
        <v>582</v>
      </c>
      <c r="P85">
        <v>1.383</v>
      </c>
      <c r="Q85">
        <v>50.789000000000001</v>
      </c>
      <c r="R85">
        <v>19.149999999999999</v>
      </c>
      <c r="S85">
        <f t="shared" si="20"/>
        <v>84.19</v>
      </c>
      <c r="T85">
        <f t="shared" si="21"/>
        <v>50.789000000000001</v>
      </c>
      <c r="U85">
        <f t="shared" si="22"/>
        <v>19.149999999999999</v>
      </c>
      <c r="V85">
        <f t="shared" si="23"/>
        <v>1583</v>
      </c>
      <c r="X85">
        <v>1082</v>
      </c>
      <c r="Y85">
        <v>75.760000000000005</v>
      </c>
      <c r="Z85">
        <v>2.879</v>
      </c>
      <c r="AA85">
        <v>19.149999999999999</v>
      </c>
      <c r="AC85">
        <v>1582</v>
      </c>
      <c r="AD85">
        <v>74.73</v>
      </c>
      <c r="AE85">
        <v>50.789000000000001</v>
      </c>
      <c r="AF85">
        <v>19.149999999999999</v>
      </c>
    </row>
    <row r="86" spans="1:32" x14ac:dyDescent="0.35">
      <c r="A86">
        <v>83</v>
      </c>
      <c r="B86">
        <v>9.8130000000000006</v>
      </c>
      <c r="C86">
        <v>2.879</v>
      </c>
      <c r="D86">
        <v>19.149999999999999</v>
      </c>
      <c r="E86">
        <f t="shared" si="12"/>
        <v>9.8130000000000006</v>
      </c>
      <c r="F86">
        <f t="shared" si="13"/>
        <v>49.761000000000003</v>
      </c>
      <c r="G86">
        <f t="shared" si="14"/>
        <v>19.149999999999999</v>
      </c>
      <c r="H86">
        <f t="shared" si="15"/>
        <v>577</v>
      </c>
      <c r="I86">
        <f t="shared" si="16"/>
        <v>75.760000000000005</v>
      </c>
      <c r="J86">
        <f t="shared" si="17"/>
        <v>2.879</v>
      </c>
      <c r="K86">
        <f t="shared" si="18"/>
        <v>19.149999999999999</v>
      </c>
      <c r="L86">
        <f t="shared" si="19"/>
        <v>1082</v>
      </c>
      <c r="O86">
        <v>583</v>
      </c>
      <c r="P86">
        <v>10.842000000000001</v>
      </c>
      <c r="Q86">
        <v>50.789000000000001</v>
      </c>
      <c r="R86">
        <v>19.149999999999999</v>
      </c>
      <c r="S86">
        <f t="shared" si="20"/>
        <v>74.73</v>
      </c>
      <c r="T86">
        <f t="shared" si="21"/>
        <v>50.789000000000001</v>
      </c>
      <c r="U86">
        <f t="shared" si="22"/>
        <v>19.149999999999999</v>
      </c>
      <c r="V86">
        <f t="shared" si="23"/>
        <v>1582</v>
      </c>
      <c r="X86">
        <v>1083</v>
      </c>
      <c r="Y86">
        <v>83.16</v>
      </c>
      <c r="Z86">
        <v>2.879</v>
      </c>
      <c r="AA86">
        <v>19.149999999999999</v>
      </c>
      <c r="AC86">
        <v>1583</v>
      </c>
      <c r="AD86">
        <v>84.19</v>
      </c>
      <c r="AE86">
        <v>50.789000000000001</v>
      </c>
      <c r="AF86">
        <v>19.149999999999999</v>
      </c>
    </row>
    <row r="87" spans="1:32" x14ac:dyDescent="0.35">
      <c r="A87">
        <v>84</v>
      </c>
      <c r="B87">
        <v>0</v>
      </c>
      <c r="C87">
        <v>3.234</v>
      </c>
      <c r="D87">
        <v>19.149999999999999</v>
      </c>
      <c r="E87">
        <f t="shared" si="12"/>
        <v>0</v>
      </c>
      <c r="F87">
        <f t="shared" si="13"/>
        <v>49.405999999999999</v>
      </c>
      <c r="G87">
        <f t="shared" si="14"/>
        <v>19.149999999999999</v>
      </c>
      <c r="H87">
        <f t="shared" si="15"/>
        <v>574</v>
      </c>
      <c r="I87">
        <f t="shared" si="16"/>
        <v>85.57</v>
      </c>
      <c r="J87">
        <f t="shared" si="17"/>
        <v>3.234</v>
      </c>
      <c r="K87">
        <f t="shared" si="18"/>
        <v>19.149999999999999</v>
      </c>
      <c r="L87">
        <f t="shared" si="19"/>
        <v>1085</v>
      </c>
      <c r="O87">
        <v>584</v>
      </c>
      <c r="P87">
        <v>0</v>
      </c>
      <c r="Q87">
        <v>51.018999999999998</v>
      </c>
      <c r="R87">
        <v>19.149999999999999</v>
      </c>
      <c r="S87">
        <f t="shared" si="20"/>
        <v>85.57</v>
      </c>
      <c r="T87">
        <f t="shared" si="21"/>
        <v>51.018999999999998</v>
      </c>
      <c r="U87">
        <f t="shared" si="22"/>
        <v>19.149999999999999</v>
      </c>
      <c r="V87">
        <f t="shared" si="23"/>
        <v>1585</v>
      </c>
      <c r="X87">
        <v>1084</v>
      </c>
      <c r="Y87">
        <v>73.349999999999994</v>
      </c>
      <c r="Z87">
        <v>3.234</v>
      </c>
      <c r="AA87">
        <v>19.149999999999999</v>
      </c>
      <c r="AC87">
        <v>1584</v>
      </c>
      <c r="AD87">
        <v>73.349999999999994</v>
      </c>
      <c r="AE87">
        <v>51.018999999999998</v>
      </c>
      <c r="AF87">
        <v>19.149999999999999</v>
      </c>
    </row>
    <row r="88" spans="1:32" x14ac:dyDescent="0.35">
      <c r="A88">
        <v>85</v>
      </c>
      <c r="B88">
        <v>12.225</v>
      </c>
      <c r="C88">
        <v>3.234</v>
      </c>
      <c r="D88">
        <v>19.149999999999999</v>
      </c>
      <c r="E88">
        <f t="shared" si="12"/>
        <v>12.225</v>
      </c>
      <c r="F88">
        <f t="shared" si="13"/>
        <v>49.405999999999999</v>
      </c>
      <c r="G88">
        <f t="shared" si="14"/>
        <v>19.149999999999999</v>
      </c>
      <c r="H88">
        <f t="shared" si="15"/>
        <v>575</v>
      </c>
      <c r="I88">
        <f t="shared" si="16"/>
        <v>73.349999999999994</v>
      </c>
      <c r="J88">
        <f t="shared" si="17"/>
        <v>3.234</v>
      </c>
      <c r="K88">
        <f t="shared" si="18"/>
        <v>19.149999999999999</v>
      </c>
      <c r="L88">
        <f t="shared" si="19"/>
        <v>1084</v>
      </c>
      <c r="O88">
        <v>585</v>
      </c>
      <c r="P88">
        <v>12.225</v>
      </c>
      <c r="Q88">
        <v>51.018999999999998</v>
      </c>
      <c r="R88">
        <v>19.149999999999999</v>
      </c>
      <c r="S88">
        <f t="shared" si="20"/>
        <v>73.349999999999994</v>
      </c>
      <c r="T88">
        <f t="shared" si="21"/>
        <v>51.018999999999998</v>
      </c>
      <c r="U88">
        <f t="shared" si="22"/>
        <v>19.149999999999999</v>
      </c>
      <c r="V88">
        <f t="shared" si="23"/>
        <v>1584</v>
      </c>
      <c r="X88">
        <v>1085</v>
      </c>
      <c r="Y88">
        <v>85.57</v>
      </c>
      <c r="Z88">
        <v>3.234</v>
      </c>
      <c r="AA88">
        <v>19.149999999999999</v>
      </c>
      <c r="AC88">
        <v>1585</v>
      </c>
      <c r="AD88">
        <v>85.57</v>
      </c>
      <c r="AE88">
        <v>51.018999999999998</v>
      </c>
      <c r="AF88">
        <v>19.149999999999999</v>
      </c>
    </row>
    <row r="89" spans="1:32" x14ac:dyDescent="0.35">
      <c r="A89">
        <v>86</v>
      </c>
      <c r="B89">
        <v>0.56399999999999995</v>
      </c>
      <c r="C89">
        <v>4.282</v>
      </c>
      <c r="D89">
        <v>19.149999999999999</v>
      </c>
      <c r="E89">
        <f t="shared" si="12"/>
        <v>0.56399999999999995</v>
      </c>
      <c r="F89">
        <f t="shared" si="13"/>
        <v>48.358000000000004</v>
      </c>
      <c r="G89">
        <f t="shared" si="14"/>
        <v>19.149999999999999</v>
      </c>
      <c r="H89">
        <f t="shared" si="15"/>
        <v>572</v>
      </c>
      <c r="I89">
        <f t="shared" si="16"/>
        <v>85.01</v>
      </c>
      <c r="J89">
        <f t="shared" si="17"/>
        <v>4.282</v>
      </c>
      <c r="K89">
        <f t="shared" si="18"/>
        <v>19.149999999999999</v>
      </c>
      <c r="L89">
        <f t="shared" si="19"/>
        <v>1087</v>
      </c>
      <c r="O89">
        <v>586</v>
      </c>
      <c r="P89">
        <v>6.1120000000000001</v>
      </c>
      <c r="Q89">
        <v>51.293999999999997</v>
      </c>
      <c r="R89">
        <v>19.149999999999999</v>
      </c>
      <c r="S89">
        <f t="shared" si="20"/>
        <v>79.459999999999994</v>
      </c>
      <c r="T89">
        <f t="shared" si="21"/>
        <v>51.293999999999997</v>
      </c>
      <c r="U89">
        <f t="shared" si="22"/>
        <v>19.149999999999999</v>
      </c>
      <c r="V89">
        <f t="shared" si="23"/>
        <v>1586</v>
      </c>
      <c r="X89">
        <v>1086</v>
      </c>
      <c r="Y89">
        <v>73.91</v>
      </c>
      <c r="Z89">
        <v>4.282</v>
      </c>
      <c r="AA89">
        <v>19.149999999999999</v>
      </c>
      <c r="AC89">
        <v>1586</v>
      </c>
      <c r="AD89">
        <v>79.459999999999994</v>
      </c>
      <c r="AE89">
        <v>51.293999999999997</v>
      </c>
      <c r="AF89">
        <v>19.149999999999999</v>
      </c>
    </row>
    <row r="90" spans="1:32" x14ac:dyDescent="0.35">
      <c r="A90">
        <v>87</v>
      </c>
      <c r="B90">
        <v>11.661</v>
      </c>
      <c r="C90">
        <v>4.282</v>
      </c>
      <c r="D90">
        <v>19.149999999999999</v>
      </c>
      <c r="E90">
        <f t="shared" si="12"/>
        <v>11.661</v>
      </c>
      <c r="F90">
        <f t="shared" si="13"/>
        <v>48.358000000000004</v>
      </c>
      <c r="G90">
        <f t="shared" si="14"/>
        <v>19.149999999999999</v>
      </c>
      <c r="H90">
        <f t="shared" si="15"/>
        <v>573</v>
      </c>
      <c r="I90">
        <f t="shared" si="16"/>
        <v>73.91</v>
      </c>
      <c r="J90">
        <f t="shared" si="17"/>
        <v>4.282</v>
      </c>
      <c r="K90">
        <f t="shared" si="18"/>
        <v>19.149999999999999</v>
      </c>
      <c r="L90">
        <f t="shared" si="19"/>
        <v>1086</v>
      </c>
      <c r="O90">
        <v>587</v>
      </c>
      <c r="P90">
        <v>3.8140000000000001</v>
      </c>
      <c r="Q90">
        <v>51.609000000000002</v>
      </c>
      <c r="R90">
        <v>19.149999999999999</v>
      </c>
      <c r="S90">
        <f t="shared" si="20"/>
        <v>81.760000000000005</v>
      </c>
      <c r="T90">
        <f t="shared" si="21"/>
        <v>51.609000000000002</v>
      </c>
      <c r="U90">
        <f t="shared" si="22"/>
        <v>19.149999999999999</v>
      </c>
      <c r="V90">
        <f t="shared" si="23"/>
        <v>1589</v>
      </c>
      <c r="X90">
        <v>1087</v>
      </c>
      <c r="Y90">
        <v>85.01</v>
      </c>
      <c r="Z90">
        <v>4.282</v>
      </c>
      <c r="AA90">
        <v>19.149999999999999</v>
      </c>
      <c r="AC90">
        <v>1587</v>
      </c>
      <c r="AD90">
        <v>77.16</v>
      </c>
      <c r="AE90">
        <v>51.609000000000002</v>
      </c>
      <c r="AF90">
        <v>19.149999999999999</v>
      </c>
    </row>
    <row r="91" spans="1:32" x14ac:dyDescent="0.35">
      <c r="A91">
        <v>88</v>
      </c>
      <c r="B91">
        <v>-1.4</v>
      </c>
      <c r="C91">
        <v>4.3869999999999996</v>
      </c>
      <c r="D91">
        <v>19.149999999999999</v>
      </c>
      <c r="E91">
        <f t="shared" si="12"/>
        <v>-1.4</v>
      </c>
      <c r="F91">
        <f t="shared" si="13"/>
        <v>48.253</v>
      </c>
      <c r="G91">
        <f t="shared" si="14"/>
        <v>19.149999999999999</v>
      </c>
      <c r="H91">
        <f t="shared" si="15"/>
        <v>570</v>
      </c>
      <c r="I91">
        <f t="shared" si="16"/>
        <v>86.97</v>
      </c>
      <c r="J91">
        <f t="shared" si="17"/>
        <v>4.3869999999999996</v>
      </c>
      <c r="K91">
        <f t="shared" si="18"/>
        <v>19.149999999999999</v>
      </c>
      <c r="L91">
        <f t="shared" si="19"/>
        <v>1089</v>
      </c>
      <c r="O91">
        <v>588</v>
      </c>
      <c r="P91">
        <v>6.1120000000000001</v>
      </c>
      <c r="Q91">
        <v>51.609000000000002</v>
      </c>
      <c r="R91">
        <v>19.149999999999999</v>
      </c>
      <c r="S91">
        <f t="shared" si="20"/>
        <v>79.459999999999994</v>
      </c>
      <c r="T91">
        <f t="shared" si="21"/>
        <v>51.609000000000002</v>
      </c>
      <c r="U91">
        <f t="shared" si="22"/>
        <v>19.149999999999999</v>
      </c>
      <c r="V91">
        <f t="shared" si="23"/>
        <v>1588</v>
      </c>
      <c r="X91">
        <v>1088</v>
      </c>
      <c r="Y91">
        <v>85.57</v>
      </c>
      <c r="Z91">
        <v>4.3869999999999996</v>
      </c>
      <c r="AA91">
        <v>19.149999999999999</v>
      </c>
      <c r="AC91">
        <v>1588</v>
      </c>
      <c r="AD91">
        <v>79.459999999999994</v>
      </c>
      <c r="AE91">
        <v>51.609000000000002</v>
      </c>
      <c r="AF91">
        <v>19.149999999999999</v>
      </c>
    </row>
    <row r="92" spans="1:32" x14ac:dyDescent="0.35">
      <c r="A92">
        <v>89</v>
      </c>
      <c r="B92">
        <v>0</v>
      </c>
      <c r="C92">
        <v>4.3869999999999996</v>
      </c>
      <c r="D92">
        <v>19.149999999999999</v>
      </c>
      <c r="E92">
        <f t="shared" si="12"/>
        <v>0</v>
      </c>
      <c r="F92">
        <f t="shared" si="13"/>
        <v>48.253</v>
      </c>
      <c r="G92">
        <f t="shared" si="14"/>
        <v>19.149999999999999</v>
      </c>
      <c r="H92">
        <f t="shared" si="15"/>
        <v>571</v>
      </c>
      <c r="I92">
        <f t="shared" si="16"/>
        <v>85.57</v>
      </c>
      <c r="J92">
        <f t="shared" si="17"/>
        <v>4.3869999999999996</v>
      </c>
      <c r="K92">
        <f t="shared" si="18"/>
        <v>19.149999999999999</v>
      </c>
      <c r="L92">
        <f t="shared" si="19"/>
        <v>1088</v>
      </c>
      <c r="O92">
        <v>589</v>
      </c>
      <c r="P92">
        <v>8.4109999999999996</v>
      </c>
      <c r="Q92">
        <v>51.609000000000002</v>
      </c>
      <c r="R92">
        <v>19.149999999999999</v>
      </c>
      <c r="S92">
        <f t="shared" si="20"/>
        <v>77.16</v>
      </c>
      <c r="T92">
        <f t="shared" si="21"/>
        <v>51.609000000000002</v>
      </c>
      <c r="U92">
        <f t="shared" si="22"/>
        <v>19.149999999999999</v>
      </c>
      <c r="V92">
        <f t="shared" si="23"/>
        <v>1587</v>
      </c>
      <c r="X92">
        <v>1089</v>
      </c>
      <c r="Y92">
        <v>86.97</v>
      </c>
      <c r="Z92">
        <v>4.3869999999999996</v>
      </c>
      <c r="AA92">
        <v>19.149999999999999</v>
      </c>
      <c r="AC92">
        <v>1589</v>
      </c>
      <c r="AD92">
        <v>81.760000000000005</v>
      </c>
      <c r="AE92">
        <v>51.609000000000002</v>
      </c>
      <c r="AF92">
        <v>19.149999999999999</v>
      </c>
    </row>
    <row r="93" spans="1:32" x14ac:dyDescent="0.35">
      <c r="A93">
        <v>90</v>
      </c>
      <c r="B93">
        <v>0</v>
      </c>
      <c r="C93">
        <v>4.8460000000000001</v>
      </c>
      <c r="D93">
        <v>19.149999999999999</v>
      </c>
      <c r="E93">
        <f t="shared" si="12"/>
        <v>0</v>
      </c>
      <c r="F93">
        <f t="shared" si="13"/>
        <v>47.793999999999997</v>
      </c>
      <c r="G93">
        <f t="shared" si="14"/>
        <v>19.149999999999999</v>
      </c>
      <c r="H93">
        <f t="shared" si="15"/>
        <v>568</v>
      </c>
      <c r="I93">
        <f t="shared" si="16"/>
        <v>85.57</v>
      </c>
      <c r="J93">
        <f t="shared" si="17"/>
        <v>4.8460000000000001</v>
      </c>
      <c r="K93">
        <f t="shared" si="18"/>
        <v>19.149999999999999</v>
      </c>
      <c r="L93">
        <f t="shared" si="19"/>
        <v>1091</v>
      </c>
      <c r="O93">
        <v>590</v>
      </c>
      <c r="P93">
        <v>-1.4</v>
      </c>
      <c r="Q93">
        <v>52.64</v>
      </c>
      <c r="R93">
        <v>19.149999999999999</v>
      </c>
      <c r="S93">
        <f t="shared" si="20"/>
        <v>86.97</v>
      </c>
      <c r="T93">
        <f t="shared" si="21"/>
        <v>52.64</v>
      </c>
      <c r="U93">
        <f t="shared" si="22"/>
        <v>19.149999999999999</v>
      </c>
      <c r="V93">
        <f t="shared" si="23"/>
        <v>1613</v>
      </c>
      <c r="X93">
        <v>1090</v>
      </c>
      <c r="Y93">
        <v>73.349999999999994</v>
      </c>
      <c r="Z93">
        <v>4.8460000000000001</v>
      </c>
      <c r="AA93">
        <v>19.149999999999999</v>
      </c>
      <c r="AC93">
        <v>1590</v>
      </c>
      <c r="AD93">
        <v>73.349999999999994</v>
      </c>
      <c r="AE93">
        <v>52.64</v>
      </c>
      <c r="AF93">
        <v>19.149999999999999</v>
      </c>
    </row>
    <row r="94" spans="1:32" x14ac:dyDescent="0.35">
      <c r="A94">
        <v>91</v>
      </c>
      <c r="B94">
        <v>12.225</v>
      </c>
      <c r="C94">
        <v>4.8460000000000001</v>
      </c>
      <c r="D94">
        <v>19.149999999999999</v>
      </c>
      <c r="E94">
        <f t="shared" si="12"/>
        <v>12.225</v>
      </c>
      <c r="F94">
        <f t="shared" si="13"/>
        <v>47.793999999999997</v>
      </c>
      <c r="G94">
        <f t="shared" si="14"/>
        <v>19.149999999999999</v>
      </c>
      <c r="H94">
        <f t="shared" si="15"/>
        <v>569</v>
      </c>
      <c r="I94">
        <f t="shared" si="16"/>
        <v>73.349999999999994</v>
      </c>
      <c r="J94">
        <f t="shared" si="17"/>
        <v>4.8460000000000001</v>
      </c>
      <c r="K94">
        <f t="shared" si="18"/>
        <v>19.149999999999999</v>
      </c>
      <c r="L94">
        <f t="shared" si="19"/>
        <v>1090</v>
      </c>
      <c r="O94">
        <v>591</v>
      </c>
      <c r="P94">
        <v>0</v>
      </c>
      <c r="Q94">
        <v>52.64</v>
      </c>
      <c r="R94">
        <v>19.149999999999999</v>
      </c>
      <c r="S94">
        <f t="shared" si="20"/>
        <v>85.57</v>
      </c>
      <c r="T94">
        <f t="shared" si="21"/>
        <v>52.64</v>
      </c>
      <c r="U94">
        <f t="shared" si="22"/>
        <v>19.149999999999999</v>
      </c>
      <c r="V94">
        <f t="shared" si="23"/>
        <v>1612</v>
      </c>
      <c r="X94">
        <v>1091</v>
      </c>
      <c r="Y94">
        <v>85.57</v>
      </c>
      <c r="Z94">
        <v>4.8460000000000001</v>
      </c>
      <c r="AA94">
        <v>19.149999999999999</v>
      </c>
      <c r="AC94">
        <v>1591</v>
      </c>
      <c r="AD94">
        <v>74.349999999999994</v>
      </c>
      <c r="AE94">
        <v>52.64</v>
      </c>
      <c r="AF94">
        <v>19.149999999999999</v>
      </c>
    </row>
    <row r="95" spans="1:32" x14ac:dyDescent="0.35">
      <c r="A95">
        <v>92</v>
      </c>
      <c r="B95">
        <v>-1.4</v>
      </c>
      <c r="C95">
        <v>6.58</v>
      </c>
      <c r="D95">
        <v>19.149999999999999</v>
      </c>
      <c r="E95">
        <f t="shared" si="12"/>
        <v>-1.4</v>
      </c>
      <c r="F95">
        <f t="shared" si="13"/>
        <v>46.06</v>
      </c>
      <c r="G95">
        <f t="shared" si="14"/>
        <v>19.149999999999999</v>
      </c>
      <c r="H95">
        <f t="shared" si="15"/>
        <v>561</v>
      </c>
      <c r="I95">
        <f t="shared" si="16"/>
        <v>86.97</v>
      </c>
      <c r="J95">
        <f t="shared" si="17"/>
        <v>6.58</v>
      </c>
      <c r="K95">
        <f t="shared" si="18"/>
        <v>19.149999999999999</v>
      </c>
      <c r="L95">
        <f t="shared" si="19"/>
        <v>1098</v>
      </c>
      <c r="O95">
        <v>592</v>
      </c>
      <c r="P95">
        <v>1.024</v>
      </c>
      <c r="Q95">
        <v>52.64</v>
      </c>
      <c r="R95">
        <v>19.149999999999999</v>
      </c>
      <c r="S95">
        <f t="shared" si="20"/>
        <v>84.55</v>
      </c>
      <c r="T95">
        <f t="shared" si="21"/>
        <v>52.64</v>
      </c>
      <c r="U95">
        <f t="shared" si="22"/>
        <v>19.149999999999999</v>
      </c>
      <c r="V95">
        <f t="shared" si="23"/>
        <v>1611</v>
      </c>
      <c r="X95">
        <v>1092</v>
      </c>
      <c r="Y95">
        <v>73.349999999999994</v>
      </c>
      <c r="Z95">
        <v>6.58</v>
      </c>
      <c r="AA95">
        <v>19.149999999999999</v>
      </c>
      <c r="AC95">
        <v>1592</v>
      </c>
      <c r="AD95">
        <v>74.97</v>
      </c>
      <c r="AE95">
        <v>52.64</v>
      </c>
      <c r="AF95">
        <v>19.149999999999999</v>
      </c>
    </row>
    <row r="96" spans="1:32" x14ac:dyDescent="0.35">
      <c r="A96">
        <v>93</v>
      </c>
      <c r="B96">
        <v>0</v>
      </c>
      <c r="C96">
        <v>6.58</v>
      </c>
      <c r="D96">
        <v>19.149999999999999</v>
      </c>
      <c r="E96">
        <f t="shared" si="12"/>
        <v>0</v>
      </c>
      <c r="F96">
        <f t="shared" si="13"/>
        <v>46.06</v>
      </c>
      <c r="G96">
        <f t="shared" si="14"/>
        <v>19.149999999999999</v>
      </c>
      <c r="H96">
        <f t="shared" si="15"/>
        <v>562</v>
      </c>
      <c r="I96">
        <f t="shared" si="16"/>
        <v>85.57</v>
      </c>
      <c r="J96">
        <f t="shared" si="17"/>
        <v>6.58</v>
      </c>
      <c r="K96">
        <f t="shared" si="18"/>
        <v>19.149999999999999</v>
      </c>
      <c r="L96">
        <f t="shared" si="19"/>
        <v>1097</v>
      </c>
      <c r="O96">
        <v>593</v>
      </c>
      <c r="P96">
        <v>1.621</v>
      </c>
      <c r="Q96">
        <v>52.64</v>
      </c>
      <c r="R96">
        <v>19.149999999999999</v>
      </c>
      <c r="S96">
        <f t="shared" si="20"/>
        <v>83.95</v>
      </c>
      <c r="T96">
        <f t="shared" si="21"/>
        <v>52.64</v>
      </c>
      <c r="U96">
        <f t="shared" si="22"/>
        <v>19.149999999999999</v>
      </c>
      <c r="V96">
        <f t="shared" si="23"/>
        <v>1610</v>
      </c>
      <c r="X96">
        <v>1093</v>
      </c>
      <c r="Y96">
        <v>73.91</v>
      </c>
      <c r="Z96">
        <v>6.58</v>
      </c>
      <c r="AA96">
        <v>19.149999999999999</v>
      </c>
      <c r="AC96">
        <v>1593</v>
      </c>
      <c r="AD96">
        <v>75.38</v>
      </c>
      <c r="AE96">
        <v>52.64</v>
      </c>
      <c r="AF96">
        <v>19.149999999999999</v>
      </c>
    </row>
    <row r="97" spans="1:32" x14ac:dyDescent="0.35">
      <c r="A97">
        <v>94</v>
      </c>
      <c r="B97">
        <v>0.56399999999999995</v>
      </c>
      <c r="C97">
        <v>6.58</v>
      </c>
      <c r="D97">
        <v>19.149999999999999</v>
      </c>
      <c r="E97">
        <f t="shared" si="12"/>
        <v>0.56399999999999995</v>
      </c>
      <c r="F97">
        <f t="shared" si="13"/>
        <v>46.06</v>
      </c>
      <c r="G97">
        <f t="shared" si="14"/>
        <v>19.149999999999999</v>
      </c>
      <c r="H97">
        <f t="shared" si="15"/>
        <v>563</v>
      </c>
      <c r="I97">
        <f t="shared" si="16"/>
        <v>85.01</v>
      </c>
      <c r="J97">
        <f t="shared" si="17"/>
        <v>6.58</v>
      </c>
      <c r="K97">
        <f t="shared" si="18"/>
        <v>19.149999999999999</v>
      </c>
      <c r="L97">
        <f t="shared" si="19"/>
        <v>1096</v>
      </c>
      <c r="O97">
        <v>594</v>
      </c>
      <c r="P97">
        <v>2.048</v>
      </c>
      <c r="Q97">
        <v>52.64</v>
      </c>
      <c r="R97">
        <v>19.149999999999999</v>
      </c>
      <c r="S97">
        <f t="shared" si="20"/>
        <v>83.52</v>
      </c>
      <c r="T97">
        <f t="shared" si="21"/>
        <v>52.64</v>
      </c>
      <c r="U97">
        <f t="shared" si="22"/>
        <v>19.149999999999999</v>
      </c>
      <c r="V97">
        <f t="shared" si="23"/>
        <v>1609</v>
      </c>
      <c r="X97">
        <v>1094</v>
      </c>
      <c r="Y97">
        <v>74.22</v>
      </c>
      <c r="Z97">
        <v>6.58</v>
      </c>
      <c r="AA97">
        <v>19.149999999999999</v>
      </c>
      <c r="AC97">
        <v>1594</v>
      </c>
      <c r="AD97">
        <v>76.400000000000006</v>
      </c>
      <c r="AE97">
        <v>52.64</v>
      </c>
      <c r="AF97">
        <v>19.149999999999999</v>
      </c>
    </row>
    <row r="98" spans="1:32" x14ac:dyDescent="0.35">
      <c r="A98">
        <v>95</v>
      </c>
      <c r="B98">
        <v>0.879</v>
      </c>
      <c r="C98">
        <v>6.58</v>
      </c>
      <c r="D98">
        <v>19.149999999999999</v>
      </c>
      <c r="E98">
        <f t="shared" si="12"/>
        <v>0.879</v>
      </c>
      <c r="F98">
        <f t="shared" si="13"/>
        <v>46.06</v>
      </c>
      <c r="G98">
        <f t="shared" si="14"/>
        <v>19.149999999999999</v>
      </c>
      <c r="H98">
        <f t="shared" si="15"/>
        <v>564</v>
      </c>
      <c r="I98">
        <f t="shared" si="16"/>
        <v>84.69</v>
      </c>
      <c r="J98">
        <f t="shared" si="17"/>
        <v>6.58</v>
      </c>
      <c r="K98">
        <f t="shared" si="18"/>
        <v>19.149999999999999</v>
      </c>
      <c r="L98">
        <f t="shared" si="19"/>
        <v>1095</v>
      </c>
      <c r="O98">
        <v>595</v>
      </c>
      <c r="P98">
        <v>3.056</v>
      </c>
      <c r="Q98">
        <v>52.64</v>
      </c>
      <c r="R98">
        <v>19.149999999999999</v>
      </c>
      <c r="S98">
        <f t="shared" si="20"/>
        <v>82.51</v>
      </c>
      <c r="T98">
        <f t="shared" si="21"/>
        <v>52.64</v>
      </c>
      <c r="U98">
        <f t="shared" si="22"/>
        <v>19.149999999999999</v>
      </c>
      <c r="V98">
        <f t="shared" si="23"/>
        <v>1608</v>
      </c>
      <c r="X98">
        <v>1095</v>
      </c>
      <c r="Y98">
        <v>84.69</v>
      </c>
      <c r="Z98">
        <v>6.58</v>
      </c>
      <c r="AA98">
        <v>19.149999999999999</v>
      </c>
      <c r="AC98">
        <v>1595</v>
      </c>
      <c r="AD98">
        <v>76.58</v>
      </c>
      <c r="AE98">
        <v>52.64</v>
      </c>
      <c r="AF98">
        <v>19.149999999999999</v>
      </c>
    </row>
    <row r="99" spans="1:32" x14ac:dyDescent="0.35">
      <c r="A99">
        <v>96</v>
      </c>
      <c r="B99">
        <v>11.346</v>
      </c>
      <c r="C99">
        <v>6.58</v>
      </c>
      <c r="D99">
        <v>19.149999999999999</v>
      </c>
      <c r="E99">
        <f t="shared" si="12"/>
        <v>11.346</v>
      </c>
      <c r="F99">
        <f t="shared" si="13"/>
        <v>46.06</v>
      </c>
      <c r="G99">
        <f t="shared" si="14"/>
        <v>19.149999999999999</v>
      </c>
      <c r="H99">
        <f t="shared" si="15"/>
        <v>565</v>
      </c>
      <c r="I99">
        <f t="shared" si="16"/>
        <v>74.22</v>
      </c>
      <c r="J99">
        <f t="shared" si="17"/>
        <v>6.58</v>
      </c>
      <c r="K99">
        <f t="shared" si="18"/>
        <v>19.149999999999999</v>
      </c>
      <c r="L99">
        <f t="shared" si="19"/>
        <v>1094</v>
      </c>
      <c r="O99">
        <v>596</v>
      </c>
      <c r="P99">
        <v>3.234</v>
      </c>
      <c r="Q99">
        <v>52.64</v>
      </c>
      <c r="R99">
        <v>19.149999999999999</v>
      </c>
      <c r="S99">
        <f t="shared" si="20"/>
        <v>82.34</v>
      </c>
      <c r="T99">
        <f t="shared" si="21"/>
        <v>52.64</v>
      </c>
      <c r="U99">
        <f t="shared" si="22"/>
        <v>19.149999999999999</v>
      </c>
      <c r="V99">
        <f t="shared" si="23"/>
        <v>1607</v>
      </c>
      <c r="X99">
        <v>1096</v>
      </c>
      <c r="Y99">
        <v>85.01</v>
      </c>
      <c r="Z99">
        <v>6.58</v>
      </c>
      <c r="AA99">
        <v>19.149999999999999</v>
      </c>
      <c r="AC99">
        <v>1596</v>
      </c>
      <c r="AD99">
        <v>77.22</v>
      </c>
      <c r="AE99">
        <v>52.64</v>
      </c>
      <c r="AF99">
        <v>19.149999999999999</v>
      </c>
    </row>
    <row r="100" spans="1:32" x14ac:dyDescent="0.35">
      <c r="A100">
        <v>97</v>
      </c>
      <c r="B100">
        <v>11.661</v>
      </c>
      <c r="C100">
        <v>6.58</v>
      </c>
      <c r="D100">
        <v>19.149999999999999</v>
      </c>
      <c r="E100">
        <f t="shared" si="12"/>
        <v>11.661</v>
      </c>
      <c r="F100">
        <f t="shared" si="13"/>
        <v>46.06</v>
      </c>
      <c r="G100">
        <f t="shared" si="14"/>
        <v>19.149999999999999</v>
      </c>
      <c r="H100">
        <f t="shared" si="15"/>
        <v>566</v>
      </c>
      <c r="I100">
        <f t="shared" si="16"/>
        <v>73.91</v>
      </c>
      <c r="J100">
        <f t="shared" si="17"/>
        <v>6.58</v>
      </c>
      <c r="K100">
        <f t="shared" si="18"/>
        <v>19.149999999999999</v>
      </c>
      <c r="L100">
        <f t="shared" si="19"/>
        <v>1093</v>
      </c>
      <c r="O100">
        <v>597</v>
      </c>
      <c r="P100">
        <v>3.8690000000000002</v>
      </c>
      <c r="Q100">
        <v>52.64</v>
      </c>
      <c r="R100">
        <v>19.149999999999999</v>
      </c>
      <c r="S100">
        <f t="shared" si="20"/>
        <v>81.7</v>
      </c>
      <c r="T100">
        <f t="shared" si="21"/>
        <v>52.64</v>
      </c>
      <c r="U100">
        <f t="shared" si="22"/>
        <v>19.149999999999999</v>
      </c>
      <c r="V100">
        <f t="shared" si="23"/>
        <v>1606</v>
      </c>
      <c r="X100">
        <v>1097</v>
      </c>
      <c r="Y100">
        <v>85.57</v>
      </c>
      <c r="Z100">
        <v>6.58</v>
      </c>
      <c r="AA100">
        <v>19.149999999999999</v>
      </c>
      <c r="AC100">
        <v>1597</v>
      </c>
      <c r="AD100">
        <v>78.03</v>
      </c>
      <c r="AE100">
        <v>52.64</v>
      </c>
      <c r="AF100">
        <v>19.149999999999999</v>
      </c>
    </row>
    <row r="101" spans="1:32" x14ac:dyDescent="0.35">
      <c r="A101">
        <v>98</v>
      </c>
      <c r="B101">
        <v>12.225</v>
      </c>
      <c r="C101">
        <v>6.58</v>
      </c>
      <c r="D101">
        <v>19.149999999999999</v>
      </c>
      <c r="E101">
        <f t="shared" si="12"/>
        <v>12.225</v>
      </c>
      <c r="F101">
        <f t="shared" si="13"/>
        <v>46.06</v>
      </c>
      <c r="G101">
        <f t="shared" si="14"/>
        <v>19.149999999999999</v>
      </c>
      <c r="H101">
        <f t="shared" si="15"/>
        <v>567</v>
      </c>
      <c r="I101">
        <f t="shared" si="16"/>
        <v>73.349999999999994</v>
      </c>
      <c r="J101">
        <f t="shared" si="17"/>
        <v>6.58</v>
      </c>
      <c r="K101">
        <f t="shared" si="18"/>
        <v>19.149999999999999</v>
      </c>
      <c r="L101">
        <f t="shared" si="19"/>
        <v>1092</v>
      </c>
      <c r="O101">
        <v>598</v>
      </c>
      <c r="P101">
        <v>4.6820000000000004</v>
      </c>
      <c r="Q101">
        <v>52.64</v>
      </c>
      <c r="R101">
        <v>19.149999999999999</v>
      </c>
      <c r="S101">
        <f t="shared" si="20"/>
        <v>80.89</v>
      </c>
      <c r="T101">
        <f t="shared" si="21"/>
        <v>52.64</v>
      </c>
      <c r="U101">
        <f t="shared" si="22"/>
        <v>19.149999999999999</v>
      </c>
      <c r="V101">
        <f t="shared" si="23"/>
        <v>1605</v>
      </c>
      <c r="X101">
        <v>1098</v>
      </c>
      <c r="Y101">
        <v>86.97</v>
      </c>
      <c r="Z101">
        <v>6.58</v>
      </c>
      <c r="AA101">
        <v>19.149999999999999</v>
      </c>
      <c r="AC101">
        <v>1598</v>
      </c>
      <c r="AD101">
        <v>78.19</v>
      </c>
      <c r="AE101">
        <v>52.64</v>
      </c>
      <c r="AF101">
        <v>19.149999999999999</v>
      </c>
    </row>
    <row r="102" spans="1:32" x14ac:dyDescent="0.35">
      <c r="A102">
        <v>99</v>
      </c>
      <c r="B102">
        <v>0</v>
      </c>
      <c r="C102">
        <v>8.3140000000000001</v>
      </c>
      <c r="D102">
        <v>19.149999999999999</v>
      </c>
      <c r="E102">
        <f t="shared" si="12"/>
        <v>0</v>
      </c>
      <c r="F102">
        <f t="shared" si="13"/>
        <v>44.326000000000001</v>
      </c>
      <c r="G102">
        <f t="shared" si="14"/>
        <v>19.149999999999999</v>
      </c>
      <c r="H102">
        <f t="shared" si="15"/>
        <v>559</v>
      </c>
      <c r="I102">
        <f t="shared" si="16"/>
        <v>85.57</v>
      </c>
      <c r="J102">
        <f t="shared" si="17"/>
        <v>8.3140000000000001</v>
      </c>
      <c r="K102">
        <f t="shared" si="18"/>
        <v>19.149999999999999</v>
      </c>
      <c r="L102">
        <f t="shared" si="19"/>
        <v>1100</v>
      </c>
      <c r="O102">
        <v>599</v>
      </c>
      <c r="P102">
        <v>4.8460000000000001</v>
      </c>
      <c r="Q102">
        <v>52.64</v>
      </c>
      <c r="R102">
        <v>19.149999999999999</v>
      </c>
      <c r="S102">
        <f t="shared" si="20"/>
        <v>80.72</v>
      </c>
      <c r="T102">
        <f t="shared" si="21"/>
        <v>52.64</v>
      </c>
      <c r="U102">
        <f t="shared" si="22"/>
        <v>19.149999999999999</v>
      </c>
      <c r="V102">
        <f t="shared" si="23"/>
        <v>1604</v>
      </c>
      <c r="X102">
        <v>1099</v>
      </c>
      <c r="Y102">
        <v>73.349999999999994</v>
      </c>
      <c r="Z102">
        <v>8.3140000000000001</v>
      </c>
      <c r="AA102">
        <v>19.149999999999999</v>
      </c>
      <c r="AC102">
        <v>1599</v>
      </c>
      <c r="AD102">
        <v>78.61</v>
      </c>
      <c r="AE102">
        <v>52.64</v>
      </c>
      <c r="AF102">
        <v>19.149999999999999</v>
      </c>
    </row>
    <row r="103" spans="1:32" x14ac:dyDescent="0.35">
      <c r="A103">
        <v>100</v>
      </c>
      <c r="B103">
        <v>12.225</v>
      </c>
      <c r="C103">
        <v>8.3140000000000001</v>
      </c>
      <c r="D103">
        <v>19.149999999999999</v>
      </c>
      <c r="E103">
        <f t="shared" si="12"/>
        <v>12.225</v>
      </c>
      <c r="F103">
        <f t="shared" si="13"/>
        <v>44.326000000000001</v>
      </c>
      <c r="G103">
        <f t="shared" si="14"/>
        <v>19.149999999999999</v>
      </c>
      <c r="H103">
        <f t="shared" si="15"/>
        <v>560</v>
      </c>
      <c r="I103">
        <f t="shared" si="16"/>
        <v>73.349999999999994</v>
      </c>
      <c r="J103">
        <f t="shared" si="17"/>
        <v>8.3140000000000001</v>
      </c>
      <c r="K103">
        <f t="shared" si="18"/>
        <v>19.149999999999999</v>
      </c>
      <c r="L103">
        <f t="shared" si="19"/>
        <v>1099</v>
      </c>
      <c r="O103">
        <v>600</v>
      </c>
      <c r="P103">
        <v>5.2619999999999996</v>
      </c>
      <c r="Q103">
        <v>52.64</v>
      </c>
      <c r="R103">
        <v>19.149999999999999</v>
      </c>
      <c r="S103">
        <f t="shared" si="20"/>
        <v>80.31</v>
      </c>
      <c r="T103">
        <f t="shared" si="21"/>
        <v>52.64</v>
      </c>
      <c r="U103">
        <f t="shared" si="22"/>
        <v>19.149999999999999</v>
      </c>
      <c r="V103">
        <f t="shared" si="23"/>
        <v>1603</v>
      </c>
      <c r="X103">
        <v>1100</v>
      </c>
      <c r="Y103">
        <v>85.57</v>
      </c>
      <c r="Z103">
        <v>8.3140000000000001</v>
      </c>
      <c r="AA103">
        <v>19.149999999999999</v>
      </c>
      <c r="AC103">
        <v>1600</v>
      </c>
      <c r="AD103">
        <v>78.84</v>
      </c>
      <c r="AE103">
        <v>52.64</v>
      </c>
      <c r="AF103">
        <v>19.149999999999999</v>
      </c>
    </row>
    <row r="104" spans="1:32" x14ac:dyDescent="0.35">
      <c r="A104">
        <v>101</v>
      </c>
      <c r="B104">
        <v>-1.4</v>
      </c>
      <c r="C104">
        <v>8.7729999999999997</v>
      </c>
      <c r="D104">
        <v>19.149999999999999</v>
      </c>
      <c r="E104">
        <f t="shared" si="12"/>
        <v>-1.4</v>
      </c>
      <c r="F104">
        <f t="shared" si="13"/>
        <v>43.867000000000004</v>
      </c>
      <c r="G104">
        <f t="shared" si="14"/>
        <v>19.149999999999999</v>
      </c>
      <c r="H104">
        <f t="shared" si="15"/>
        <v>557</v>
      </c>
      <c r="I104">
        <f t="shared" si="16"/>
        <v>86.97</v>
      </c>
      <c r="J104">
        <f t="shared" si="17"/>
        <v>8.7729999999999997</v>
      </c>
      <c r="K104">
        <f t="shared" si="18"/>
        <v>19.149999999999999</v>
      </c>
      <c r="L104">
        <f t="shared" si="19"/>
        <v>1102</v>
      </c>
      <c r="O104">
        <v>601</v>
      </c>
      <c r="P104">
        <v>5.4969999999999999</v>
      </c>
      <c r="Q104">
        <v>52.64</v>
      </c>
      <c r="R104">
        <v>19.149999999999999</v>
      </c>
      <c r="S104">
        <f t="shared" si="20"/>
        <v>80.069999999999993</v>
      </c>
      <c r="T104">
        <f t="shared" si="21"/>
        <v>52.64</v>
      </c>
      <c r="U104">
        <f t="shared" si="22"/>
        <v>19.149999999999999</v>
      </c>
      <c r="V104">
        <f t="shared" si="23"/>
        <v>1602</v>
      </c>
      <c r="X104">
        <v>1101</v>
      </c>
      <c r="Y104">
        <v>85.57</v>
      </c>
      <c r="Z104">
        <v>8.7729999999999997</v>
      </c>
      <c r="AA104">
        <v>19.149999999999999</v>
      </c>
      <c r="AC104">
        <v>1601</v>
      </c>
      <c r="AD104">
        <v>79.459999999999994</v>
      </c>
      <c r="AE104">
        <v>52.64</v>
      </c>
      <c r="AF104">
        <v>19.149999999999999</v>
      </c>
    </row>
    <row r="105" spans="1:32" x14ac:dyDescent="0.35">
      <c r="A105">
        <v>102</v>
      </c>
      <c r="B105">
        <v>0</v>
      </c>
      <c r="C105">
        <v>8.7729999999999997</v>
      </c>
      <c r="D105">
        <v>19.149999999999999</v>
      </c>
      <c r="E105">
        <f t="shared" si="12"/>
        <v>0</v>
      </c>
      <c r="F105">
        <f t="shared" si="13"/>
        <v>43.867000000000004</v>
      </c>
      <c r="G105">
        <f t="shared" si="14"/>
        <v>19.149999999999999</v>
      </c>
      <c r="H105">
        <f t="shared" si="15"/>
        <v>558</v>
      </c>
      <c r="I105">
        <f t="shared" si="16"/>
        <v>85.57</v>
      </c>
      <c r="J105">
        <f t="shared" si="17"/>
        <v>8.7729999999999997</v>
      </c>
      <c r="K105">
        <f t="shared" si="18"/>
        <v>19.149999999999999</v>
      </c>
      <c r="L105">
        <f t="shared" si="19"/>
        <v>1101</v>
      </c>
      <c r="O105">
        <v>602</v>
      </c>
      <c r="P105">
        <v>6.1120000000000001</v>
      </c>
      <c r="Q105">
        <v>52.64</v>
      </c>
      <c r="R105">
        <v>19.149999999999999</v>
      </c>
      <c r="S105">
        <f t="shared" si="20"/>
        <v>79.459999999999994</v>
      </c>
      <c r="T105">
        <f t="shared" si="21"/>
        <v>52.64</v>
      </c>
      <c r="U105">
        <f t="shared" si="22"/>
        <v>19.149999999999999</v>
      </c>
      <c r="V105">
        <f t="shared" si="23"/>
        <v>1601</v>
      </c>
      <c r="X105">
        <v>1102</v>
      </c>
      <c r="Y105">
        <v>86.97</v>
      </c>
      <c r="Z105">
        <v>8.7729999999999997</v>
      </c>
      <c r="AA105">
        <v>19.149999999999999</v>
      </c>
      <c r="AC105">
        <v>1602</v>
      </c>
      <c r="AD105">
        <v>80.069999999999993</v>
      </c>
      <c r="AE105">
        <v>52.64</v>
      </c>
      <c r="AF105">
        <v>19.149999999999999</v>
      </c>
    </row>
    <row r="106" spans="1:32" x14ac:dyDescent="0.35">
      <c r="A106">
        <v>103</v>
      </c>
      <c r="B106">
        <v>0.56399999999999995</v>
      </c>
      <c r="C106">
        <v>8.8780000000000001</v>
      </c>
      <c r="D106">
        <v>19.149999999999999</v>
      </c>
      <c r="E106">
        <f t="shared" si="12"/>
        <v>0.56399999999999995</v>
      </c>
      <c r="F106">
        <f t="shared" si="13"/>
        <v>43.762</v>
      </c>
      <c r="G106">
        <f t="shared" si="14"/>
        <v>19.149999999999999</v>
      </c>
      <c r="H106">
        <f t="shared" si="15"/>
        <v>555</v>
      </c>
      <c r="I106">
        <f t="shared" si="16"/>
        <v>85.01</v>
      </c>
      <c r="J106">
        <f t="shared" si="17"/>
        <v>8.8780000000000001</v>
      </c>
      <c r="K106">
        <f t="shared" si="18"/>
        <v>19.149999999999999</v>
      </c>
      <c r="L106">
        <f t="shared" si="19"/>
        <v>1104</v>
      </c>
      <c r="O106">
        <v>603</v>
      </c>
      <c r="P106">
        <v>6.7270000000000003</v>
      </c>
      <c r="Q106">
        <v>52.64</v>
      </c>
      <c r="R106">
        <v>19.149999999999999</v>
      </c>
      <c r="S106">
        <f t="shared" si="20"/>
        <v>78.84</v>
      </c>
      <c r="T106">
        <f t="shared" si="21"/>
        <v>52.64</v>
      </c>
      <c r="U106">
        <f t="shared" si="22"/>
        <v>19.149999999999999</v>
      </c>
      <c r="V106">
        <f t="shared" si="23"/>
        <v>1600</v>
      </c>
      <c r="X106">
        <v>1103</v>
      </c>
      <c r="Y106">
        <v>73.91</v>
      </c>
      <c r="Z106">
        <v>8.8780000000000001</v>
      </c>
      <c r="AA106">
        <v>19.149999999999999</v>
      </c>
      <c r="AC106">
        <v>1603</v>
      </c>
      <c r="AD106">
        <v>80.31</v>
      </c>
      <c r="AE106">
        <v>52.64</v>
      </c>
      <c r="AF106">
        <v>19.149999999999999</v>
      </c>
    </row>
    <row r="107" spans="1:32" x14ac:dyDescent="0.35">
      <c r="A107">
        <v>104</v>
      </c>
      <c r="B107">
        <v>11.661</v>
      </c>
      <c r="C107">
        <v>8.8780000000000001</v>
      </c>
      <c r="D107">
        <v>19.149999999999999</v>
      </c>
      <c r="E107">
        <f t="shared" si="12"/>
        <v>11.661</v>
      </c>
      <c r="F107">
        <f t="shared" si="13"/>
        <v>43.762</v>
      </c>
      <c r="G107">
        <f t="shared" si="14"/>
        <v>19.149999999999999</v>
      </c>
      <c r="H107">
        <f t="shared" si="15"/>
        <v>556</v>
      </c>
      <c r="I107">
        <f t="shared" si="16"/>
        <v>73.91</v>
      </c>
      <c r="J107">
        <f t="shared" si="17"/>
        <v>8.8780000000000001</v>
      </c>
      <c r="K107">
        <f t="shared" si="18"/>
        <v>19.149999999999999</v>
      </c>
      <c r="L107">
        <f t="shared" si="19"/>
        <v>1103</v>
      </c>
      <c r="O107">
        <v>604</v>
      </c>
      <c r="P107">
        <v>6.9619999999999997</v>
      </c>
      <c r="Q107">
        <v>52.64</v>
      </c>
      <c r="R107">
        <v>19.149999999999999</v>
      </c>
      <c r="S107">
        <f t="shared" si="20"/>
        <v>78.61</v>
      </c>
      <c r="T107">
        <f t="shared" si="21"/>
        <v>52.64</v>
      </c>
      <c r="U107">
        <f t="shared" si="22"/>
        <v>19.149999999999999</v>
      </c>
      <c r="V107">
        <f t="shared" si="23"/>
        <v>1599</v>
      </c>
      <c r="X107">
        <v>1104</v>
      </c>
      <c r="Y107">
        <v>85.01</v>
      </c>
      <c r="Z107">
        <v>8.8780000000000001</v>
      </c>
      <c r="AA107">
        <v>19.149999999999999</v>
      </c>
      <c r="AC107">
        <v>1604</v>
      </c>
      <c r="AD107">
        <v>80.72</v>
      </c>
      <c r="AE107">
        <v>52.64</v>
      </c>
      <c r="AF107">
        <v>19.149999999999999</v>
      </c>
    </row>
    <row r="108" spans="1:32" x14ac:dyDescent="0.35">
      <c r="A108">
        <v>105</v>
      </c>
      <c r="B108">
        <v>0</v>
      </c>
      <c r="C108">
        <v>9.9260000000000002</v>
      </c>
      <c r="D108">
        <v>19.149999999999999</v>
      </c>
      <c r="E108">
        <f t="shared" si="12"/>
        <v>0</v>
      </c>
      <c r="F108">
        <f t="shared" si="13"/>
        <v>42.713999999999999</v>
      </c>
      <c r="G108">
        <f t="shared" si="14"/>
        <v>19.149999999999999</v>
      </c>
      <c r="H108">
        <f t="shared" si="15"/>
        <v>553</v>
      </c>
      <c r="I108">
        <f t="shared" si="16"/>
        <v>85.57</v>
      </c>
      <c r="J108">
        <f t="shared" si="17"/>
        <v>9.9260000000000002</v>
      </c>
      <c r="K108">
        <f t="shared" si="18"/>
        <v>19.149999999999999</v>
      </c>
      <c r="L108">
        <f t="shared" si="19"/>
        <v>1106</v>
      </c>
      <c r="O108">
        <v>605</v>
      </c>
      <c r="P108">
        <v>7.3789999999999996</v>
      </c>
      <c r="Q108">
        <v>52.64</v>
      </c>
      <c r="R108">
        <v>19.149999999999999</v>
      </c>
      <c r="S108">
        <f t="shared" si="20"/>
        <v>78.19</v>
      </c>
      <c r="T108">
        <f t="shared" si="21"/>
        <v>52.64</v>
      </c>
      <c r="U108">
        <f t="shared" si="22"/>
        <v>19.149999999999999</v>
      </c>
      <c r="V108">
        <f t="shared" si="23"/>
        <v>1598</v>
      </c>
      <c r="X108">
        <v>1105</v>
      </c>
      <c r="Y108">
        <v>73.349999999999994</v>
      </c>
      <c r="Z108">
        <v>9.9260000000000002</v>
      </c>
      <c r="AA108">
        <v>19.149999999999999</v>
      </c>
      <c r="AC108">
        <v>1605</v>
      </c>
      <c r="AD108">
        <v>80.89</v>
      </c>
      <c r="AE108">
        <v>52.64</v>
      </c>
      <c r="AF108">
        <v>19.149999999999999</v>
      </c>
    </row>
    <row r="109" spans="1:32" x14ac:dyDescent="0.35">
      <c r="A109">
        <v>106</v>
      </c>
      <c r="B109">
        <v>12.225</v>
      </c>
      <c r="C109">
        <v>9.9260000000000002</v>
      </c>
      <c r="D109">
        <v>19.149999999999999</v>
      </c>
      <c r="E109">
        <f t="shared" si="12"/>
        <v>12.225</v>
      </c>
      <c r="F109">
        <f t="shared" si="13"/>
        <v>42.713999999999999</v>
      </c>
      <c r="G109">
        <f t="shared" si="14"/>
        <v>19.149999999999999</v>
      </c>
      <c r="H109">
        <f t="shared" si="15"/>
        <v>554</v>
      </c>
      <c r="I109">
        <f t="shared" si="16"/>
        <v>73.349999999999994</v>
      </c>
      <c r="J109">
        <f t="shared" si="17"/>
        <v>9.9260000000000002</v>
      </c>
      <c r="K109">
        <f t="shared" si="18"/>
        <v>19.149999999999999</v>
      </c>
      <c r="L109">
        <f t="shared" si="19"/>
        <v>1105</v>
      </c>
      <c r="O109">
        <v>606</v>
      </c>
      <c r="P109">
        <v>7.54</v>
      </c>
      <c r="Q109">
        <v>52.64</v>
      </c>
      <c r="R109">
        <v>19.149999999999999</v>
      </c>
      <c r="S109">
        <f t="shared" si="20"/>
        <v>78.03</v>
      </c>
      <c r="T109">
        <f t="shared" si="21"/>
        <v>52.64</v>
      </c>
      <c r="U109">
        <f t="shared" si="22"/>
        <v>19.149999999999999</v>
      </c>
      <c r="V109">
        <f t="shared" si="23"/>
        <v>1597</v>
      </c>
      <c r="X109">
        <v>1106</v>
      </c>
      <c r="Y109">
        <v>85.57</v>
      </c>
      <c r="Z109">
        <v>9.9260000000000002</v>
      </c>
      <c r="AA109">
        <v>19.149999999999999</v>
      </c>
      <c r="AC109">
        <v>1606</v>
      </c>
      <c r="AD109">
        <v>81.7</v>
      </c>
      <c r="AE109">
        <v>52.64</v>
      </c>
      <c r="AF109">
        <v>19.149999999999999</v>
      </c>
    </row>
    <row r="110" spans="1:32" x14ac:dyDescent="0.35">
      <c r="A110">
        <v>107</v>
      </c>
      <c r="B110">
        <v>2.4129999999999998</v>
      </c>
      <c r="C110">
        <v>10.281000000000001</v>
      </c>
      <c r="D110">
        <v>19.149999999999999</v>
      </c>
      <c r="E110">
        <f t="shared" si="12"/>
        <v>2.4129999999999998</v>
      </c>
      <c r="F110">
        <f t="shared" si="13"/>
        <v>42.359000000000002</v>
      </c>
      <c r="G110">
        <f t="shared" si="14"/>
        <v>19.149999999999999</v>
      </c>
      <c r="H110">
        <f t="shared" si="15"/>
        <v>551</v>
      </c>
      <c r="I110">
        <f t="shared" si="16"/>
        <v>83.16</v>
      </c>
      <c r="J110">
        <f t="shared" si="17"/>
        <v>10.281000000000001</v>
      </c>
      <c r="K110">
        <f t="shared" si="18"/>
        <v>19.149999999999999</v>
      </c>
      <c r="L110">
        <f t="shared" si="19"/>
        <v>1108</v>
      </c>
      <c r="O110">
        <v>607</v>
      </c>
      <c r="P110">
        <v>8.3529999999999998</v>
      </c>
      <c r="Q110">
        <v>52.64</v>
      </c>
      <c r="R110">
        <v>19.149999999999999</v>
      </c>
      <c r="S110">
        <f t="shared" si="20"/>
        <v>77.22</v>
      </c>
      <c r="T110">
        <f t="shared" si="21"/>
        <v>52.64</v>
      </c>
      <c r="U110">
        <f t="shared" si="22"/>
        <v>19.149999999999999</v>
      </c>
      <c r="V110">
        <f t="shared" si="23"/>
        <v>1596</v>
      </c>
      <c r="X110">
        <v>1107</v>
      </c>
      <c r="Y110">
        <v>75.760000000000005</v>
      </c>
      <c r="Z110">
        <v>10.281000000000001</v>
      </c>
      <c r="AA110">
        <v>19.149999999999999</v>
      </c>
      <c r="AC110">
        <v>1607</v>
      </c>
      <c r="AD110">
        <v>82.34</v>
      </c>
      <c r="AE110">
        <v>52.64</v>
      </c>
      <c r="AF110">
        <v>19.149999999999999</v>
      </c>
    </row>
    <row r="111" spans="1:32" x14ac:dyDescent="0.35">
      <c r="A111">
        <v>108</v>
      </c>
      <c r="B111">
        <v>9.8130000000000006</v>
      </c>
      <c r="C111">
        <v>10.281000000000001</v>
      </c>
      <c r="D111">
        <v>19.149999999999999</v>
      </c>
      <c r="E111">
        <f t="shared" si="12"/>
        <v>9.8130000000000006</v>
      </c>
      <c r="F111">
        <f t="shared" si="13"/>
        <v>42.359000000000002</v>
      </c>
      <c r="G111">
        <f t="shared" si="14"/>
        <v>19.149999999999999</v>
      </c>
      <c r="H111">
        <f t="shared" si="15"/>
        <v>552</v>
      </c>
      <c r="I111">
        <f t="shared" si="16"/>
        <v>75.760000000000005</v>
      </c>
      <c r="J111">
        <f t="shared" si="17"/>
        <v>10.281000000000001</v>
      </c>
      <c r="K111">
        <f t="shared" si="18"/>
        <v>19.149999999999999</v>
      </c>
      <c r="L111">
        <f t="shared" si="19"/>
        <v>1107</v>
      </c>
      <c r="O111">
        <v>608</v>
      </c>
      <c r="P111">
        <v>8.9909999999999997</v>
      </c>
      <c r="Q111">
        <v>52.64</v>
      </c>
      <c r="R111">
        <v>19.149999999999999</v>
      </c>
      <c r="S111">
        <f t="shared" si="20"/>
        <v>76.58</v>
      </c>
      <c r="T111">
        <f t="shared" si="21"/>
        <v>52.64</v>
      </c>
      <c r="U111">
        <f t="shared" si="22"/>
        <v>19.149999999999999</v>
      </c>
      <c r="V111">
        <f t="shared" si="23"/>
        <v>1595</v>
      </c>
      <c r="X111">
        <v>1108</v>
      </c>
      <c r="Y111">
        <v>83.16</v>
      </c>
      <c r="Z111">
        <v>10.281000000000001</v>
      </c>
      <c r="AA111">
        <v>19.149999999999999</v>
      </c>
      <c r="AC111">
        <v>1608</v>
      </c>
      <c r="AD111">
        <v>82.51</v>
      </c>
      <c r="AE111">
        <v>52.64</v>
      </c>
      <c r="AF111">
        <v>19.149999999999999</v>
      </c>
    </row>
    <row r="112" spans="1:32" x14ac:dyDescent="0.35">
      <c r="A112">
        <v>109</v>
      </c>
      <c r="B112">
        <v>2.1890000000000001</v>
      </c>
      <c r="C112">
        <v>10.503</v>
      </c>
      <c r="D112">
        <v>19.149999999999999</v>
      </c>
      <c r="E112">
        <f t="shared" si="12"/>
        <v>2.1890000000000001</v>
      </c>
      <c r="F112">
        <f t="shared" si="13"/>
        <v>42.137</v>
      </c>
      <c r="G112">
        <f t="shared" si="14"/>
        <v>19.149999999999999</v>
      </c>
      <c r="H112">
        <f t="shared" si="15"/>
        <v>549</v>
      </c>
      <c r="I112">
        <f t="shared" si="16"/>
        <v>83.38</v>
      </c>
      <c r="J112">
        <f t="shared" si="17"/>
        <v>10.503</v>
      </c>
      <c r="K112">
        <f t="shared" si="18"/>
        <v>19.149999999999999</v>
      </c>
      <c r="L112">
        <f t="shared" si="19"/>
        <v>1110</v>
      </c>
      <c r="O112">
        <v>609</v>
      </c>
      <c r="P112">
        <v>9.1690000000000005</v>
      </c>
      <c r="Q112">
        <v>52.64</v>
      </c>
      <c r="R112">
        <v>19.149999999999999</v>
      </c>
      <c r="S112">
        <f t="shared" si="20"/>
        <v>76.400000000000006</v>
      </c>
      <c r="T112">
        <f t="shared" si="21"/>
        <v>52.64</v>
      </c>
      <c r="U112">
        <f t="shared" si="22"/>
        <v>19.149999999999999</v>
      </c>
      <c r="V112">
        <f t="shared" si="23"/>
        <v>1594</v>
      </c>
      <c r="X112">
        <v>1109</v>
      </c>
      <c r="Y112">
        <v>75.53</v>
      </c>
      <c r="Z112">
        <v>10.503</v>
      </c>
      <c r="AA112">
        <v>19.149999999999999</v>
      </c>
      <c r="AC112">
        <v>1609</v>
      </c>
      <c r="AD112">
        <v>83.52</v>
      </c>
      <c r="AE112">
        <v>52.64</v>
      </c>
      <c r="AF112">
        <v>19.149999999999999</v>
      </c>
    </row>
    <row r="113" spans="1:32" x14ac:dyDescent="0.35">
      <c r="A113">
        <v>110</v>
      </c>
      <c r="B113">
        <v>10.036</v>
      </c>
      <c r="C113">
        <v>10.503</v>
      </c>
      <c r="D113">
        <v>19.149999999999999</v>
      </c>
      <c r="E113">
        <f t="shared" si="12"/>
        <v>10.036</v>
      </c>
      <c r="F113">
        <f t="shared" si="13"/>
        <v>42.137</v>
      </c>
      <c r="G113">
        <f t="shared" si="14"/>
        <v>19.149999999999999</v>
      </c>
      <c r="H113">
        <f t="shared" si="15"/>
        <v>550</v>
      </c>
      <c r="I113">
        <f t="shared" si="16"/>
        <v>75.53</v>
      </c>
      <c r="J113">
        <f t="shared" si="17"/>
        <v>10.503</v>
      </c>
      <c r="K113">
        <f t="shared" si="18"/>
        <v>19.149999999999999</v>
      </c>
      <c r="L113">
        <f t="shared" si="19"/>
        <v>1109</v>
      </c>
      <c r="O113">
        <v>610</v>
      </c>
      <c r="P113">
        <v>10.193</v>
      </c>
      <c r="Q113">
        <v>52.64</v>
      </c>
      <c r="R113">
        <v>19.149999999999999</v>
      </c>
      <c r="S113">
        <f t="shared" si="20"/>
        <v>75.38</v>
      </c>
      <c r="T113">
        <f t="shared" si="21"/>
        <v>52.64</v>
      </c>
      <c r="U113">
        <f t="shared" si="22"/>
        <v>19.149999999999999</v>
      </c>
      <c r="V113">
        <f t="shared" si="23"/>
        <v>1593</v>
      </c>
      <c r="X113">
        <v>1110</v>
      </c>
      <c r="Y113">
        <v>83.38</v>
      </c>
      <c r="Z113">
        <v>10.503</v>
      </c>
      <c r="AA113">
        <v>19.149999999999999</v>
      </c>
      <c r="AC113">
        <v>1610</v>
      </c>
      <c r="AD113">
        <v>83.95</v>
      </c>
      <c r="AE113">
        <v>52.64</v>
      </c>
      <c r="AF113">
        <v>19.149999999999999</v>
      </c>
    </row>
    <row r="114" spans="1:32" x14ac:dyDescent="0.35">
      <c r="A114">
        <v>111</v>
      </c>
      <c r="B114">
        <v>-1.4</v>
      </c>
      <c r="C114">
        <v>10.965999999999999</v>
      </c>
      <c r="D114">
        <v>19.149999999999999</v>
      </c>
      <c r="E114">
        <f t="shared" si="12"/>
        <v>-1.4</v>
      </c>
      <c r="F114">
        <f t="shared" si="13"/>
        <v>41.673999999999999</v>
      </c>
      <c r="G114">
        <f t="shared" si="14"/>
        <v>19.149999999999999</v>
      </c>
      <c r="H114">
        <f t="shared" si="15"/>
        <v>547</v>
      </c>
      <c r="I114">
        <f t="shared" si="16"/>
        <v>86.97</v>
      </c>
      <c r="J114">
        <f t="shared" si="17"/>
        <v>10.965999999999999</v>
      </c>
      <c r="K114">
        <f t="shared" si="18"/>
        <v>19.149999999999999</v>
      </c>
      <c r="L114">
        <f t="shared" si="19"/>
        <v>1112</v>
      </c>
      <c r="O114">
        <v>611</v>
      </c>
      <c r="P114">
        <v>10.603999999999999</v>
      </c>
      <c r="Q114">
        <v>52.64</v>
      </c>
      <c r="R114">
        <v>19.149999999999999</v>
      </c>
      <c r="S114">
        <f t="shared" si="20"/>
        <v>74.97</v>
      </c>
      <c r="T114">
        <f t="shared" si="21"/>
        <v>52.64</v>
      </c>
      <c r="U114">
        <f t="shared" si="22"/>
        <v>19.149999999999999</v>
      </c>
      <c r="V114">
        <f t="shared" si="23"/>
        <v>1592</v>
      </c>
      <c r="X114">
        <v>1111</v>
      </c>
      <c r="Y114">
        <v>85.57</v>
      </c>
      <c r="Z114">
        <v>10.965999999999999</v>
      </c>
      <c r="AA114">
        <v>19.149999999999999</v>
      </c>
      <c r="AC114">
        <v>1611</v>
      </c>
      <c r="AD114">
        <v>84.55</v>
      </c>
      <c r="AE114">
        <v>52.64</v>
      </c>
      <c r="AF114">
        <v>19.149999999999999</v>
      </c>
    </row>
    <row r="115" spans="1:32" x14ac:dyDescent="0.35">
      <c r="A115">
        <v>112</v>
      </c>
      <c r="B115">
        <v>0</v>
      </c>
      <c r="C115">
        <v>10.965999999999999</v>
      </c>
      <c r="D115">
        <v>19.149999999999999</v>
      </c>
      <c r="E115">
        <f t="shared" si="12"/>
        <v>0</v>
      </c>
      <c r="F115">
        <f t="shared" si="13"/>
        <v>41.673999999999999</v>
      </c>
      <c r="G115">
        <f t="shared" si="14"/>
        <v>19.149999999999999</v>
      </c>
      <c r="H115">
        <f t="shared" si="15"/>
        <v>548</v>
      </c>
      <c r="I115">
        <f t="shared" si="16"/>
        <v>85.57</v>
      </c>
      <c r="J115">
        <f t="shared" si="17"/>
        <v>10.965999999999999</v>
      </c>
      <c r="K115">
        <f t="shared" si="18"/>
        <v>19.149999999999999</v>
      </c>
      <c r="L115">
        <f t="shared" si="19"/>
        <v>1111</v>
      </c>
      <c r="O115">
        <v>612</v>
      </c>
      <c r="P115">
        <v>11.217000000000001</v>
      </c>
      <c r="Q115">
        <v>52.64</v>
      </c>
      <c r="R115">
        <v>19.149999999999999</v>
      </c>
      <c r="S115">
        <f t="shared" si="20"/>
        <v>74.349999999999994</v>
      </c>
      <c r="T115">
        <f t="shared" si="21"/>
        <v>52.64</v>
      </c>
      <c r="U115">
        <f t="shared" si="22"/>
        <v>19.149999999999999</v>
      </c>
      <c r="V115">
        <f t="shared" si="23"/>
        <v>1591</v>
      </c>
      <c r="X115">
        <v>1112</v>
      </c>
      <c r="Y115">
        <v>86.97</v>
      </c>
      <c r="Z115">
        <v>10.965999999999999</v>
      </c>
      <c r="AA115">
        <v>19.149999999999999</v>
      </c>
      <c r="AC115">
        <v>1612</v>
      </c>
      <c r="AD115">
        <v>85.57</v>
      </c>
      <c r="AE115">
        <v>52.64</v>
      </c>
      <c r="AF115">
        <v>19.149999999999999</v>
      </c>
    </row>
    <row r="116" spans="1:32" x14ac:dyDescent="0.35">
      <c r="A116">
        <v>113</v>
      </c>
      <c r="B116">
        <v>1.383</v>
      </c>
      <c r="C116">
        <v>11.308999999999999</v>
      </c>
      <c r="D116">
        <v>19.149999999999999</v>
      </c>
      <c r="E116">
        <f t="shared" si="12"/>
        <v>1.383</v>
      </c>
      <c r="F116">
        <f t="shared" si="13"/>
        <v>41.331000000000003</v>
      </c>
      <c r="G116">
        <f t="shared" si="14"/>
        <v>19.149999999999999</v>
      </c>
      <c r="H116">
        <f t="shared" si="15"/>
        <v>545</v>
      </c>
      <c r="I116">
        <f t="shared" si="16"/>
        <v>84.19</v>
      </c>
      <c r="J116">
        <f t="shared" si="17"/>
        <v>11.308999999999999</v>
      </c>
      <c r="K116">
        <f t="shared" si="18"/>
        <v>19.149999999999999</v>
      </c>
      <c r="L116">
        <f t="shared" si="19"/>
        <v>1114</v>
      </c>
      <c r="O116">
        <v>613</v>
      </c>
      <c r="P116">
        <v>12.225</v>
      </c>
      <c r="Q116">
        <v>52.64</v>
      </c>
      <c r="R116">
        <v>19.149999999999999</v>
      </c>
      <c r="S116">
        <f t="shared" si="20"/>
        <v>73.349999999999994</v>
      </c>
      <c r="T116">
        <f t="shared" si="21"/>
        <v>52.64</v>
      </c>
      <c r="U116">
        <f t="shared" si="22"/>
        <v>19.149999999999999</v>
      </c>
      <c r="V116">
        <f t="shared" si="23"/>
        <v>1590</v>
      </c>
      <c r="X116">
        <v>1113</v>
      </c>
      <c r="Y116">
        <v>74.73</v>
      </c>
      <c r="Z116">
        <v>11.308999999999999</v>
      </c>
      <c r="AA116">
        <v>19.149999999999999</v>
      </c>
      <c r="AC116">
        <v>1613</v>
      </c>
      <c r="AD116">
        <v>86.97</v>
      </c>
      <c r="AE116">
        <v>52.64</v>
      </c>
      <c r="AF116">
        <v>19.149999999999999</v>
      </c>
    </row>
    <row r="117" spans="1:32" x14ac:dyDescent="0.35">
      <c r="A117">
        <v>114</v>
      </c>
      <c r="B117">
        <v>10.842000000000001</v>
      </c>
      <c r="C117">
        <v>11.308999999999999</v>
      </c>
      <c r="D117">
        <v>19.149999999999999</v>
      </c>
      <c r="E117">
        <f t="shared" si="12"/>
        <v>10.842000000000001</v>
      </c>
      <c r="F117">
        <f t="shared" si="13"/>
        <v>41.331000000000003</v>
      </c>
      <c r="G117">
        <f t="shared" si="14"/>
        <v>19.149999999999999</v>
      </c>
      <c r="H117">
        <f t="shared" si="15"/>
        <v>546</v>
      </c>
      <c r="I117">
        <f t="shared" si="16"/>
        <v>74.73</v>
      </c>
      <c r="J117">
        <f t="shared" si="17"/>
        <v>11.308999999999999</v>
      </c>
      <c r="K117">
        <f t="shared" si="18"/>
        <v>19.149999999999999</v>
      </c>
      <c r="L117">
        <f t="shared" si="19"/>
        <v>1113</v>
      </c>
      <c r="O117">
        <v>614</v>
      </c>
      <c r="P117">
        <v>-1.4</v>
      </c>
      <c r="Q117">
        <v>52.99</v>
      </c>
      <c r="R117">
        <v>19.149999999999999</v>
      </c>
      <c r="S117">
        <f t="shared" si="20"/>
        <v>86.97</v>
      </c>
      <c r="T117">
        <f t="shared" si="21"/>
        <v>52.99</v>
      </c>
      <c r="U117">
        <f t="shared" si="22"/>
        <v>19.149999999999999</v>
      </c>
      <c r="V117">
        <f t="shared" si="23"/>
        <v>1619</v>
      </c>
      <c r="X117">
        <v>1114</v>
      </c>
      <c r="Y117">
        <v>84.19</v>
      </c>
      <c r="Z117">
        <v>11.308999999999999</v>
      </c>
      <c r="AA117">
        <v>19.149999999999999</v>
      </c>
      <c r="AC117">
        <v>1614</v>
      </c>
      <c r="AD117">
        <v>76.400000000000006</v>
      </c>
      <c r="AE117">
        <v>52.99</v>
      </c>
      <c r="AF117">
        <v>19.149999999999999</v>
      </c>
    </row>
    <row r="118" spans="1:32" x14ac:dyDescent="0.35">
      <c r="A118">
        <v>115</v>
      </c>
      <c r="B118">
        <v>0</v>
      </c>
      <c r="C118">
        <v>11.539</v>
      </c>
      <c r="D118">
        <v>19.149999999999999</v>
      </c>
      <c r="E118">
        <f t="shared" si="12"/>
        <v>0</v>
      </c>
      <c r="F118">
        <f t="shared" si="13"/>
        <v>41.100999999999999</v>
      </c>
      <c r="G118">
        <f t="shared" si="14"/>
        <v>19.149999999999999</v>
      </c>
      <c r="H118">
        <f t="shared" si="15"/>
        <v>543</v>
      </c>
      <c r="I118">
        <f t="shared" si="16"/>
        <v>85.57</v>
      </c>
      <c r="J118">
        <f t="shared" si="17"/>
        <v>11.539</v>
      </c>
      <c r="K118">
        <f t="shared" si="18"/>
        <v>19.149999999999999</v>
      </c>
      <c r="L118">
        <f t="shared" si="19"/>
        <v>1116</v>
      </c>
      <c r="O118">
        <v>615</v>
      </c>
      <c r="P118">
        <v>0</v>
      </c>
      <c r="Q118">
        <v>52.99</v>
      </c>
      <c r="R118">
        <v>19.149999999999999</v>
      </c>
      <c r="S118">
        <f t="shared" si="20"/>
        <v>85.57</v>
      </c>
      <c r="T118">
        <f t="shared" si="21"/>
        <v>52.99</v>
      </c>
      <c r="U118">
        <f t="shared" si="22"/>
        <v>19.149999999999999</v>
      </c>
      <c r="V118">
        <f t="shared" si="23"/>
        <v>1618</v>
      </c>
      <c r="X118">
        <v>1115</v>
      </c>
      <c r="Y118">
        <v>73.349999999999994</v>
      </c>
      <c r="Z118">
        <v>11.539</v>
      </c>
      <c r="AA118">
        <v>19.149999999999999</v>
      </c>
      <c r="AC118">
        <v>1615</v>
      </c>
      <c r="AD118">
        <v>78.84</v>
      </c>
      <c r="AE118">
        <v>52.99</v>
      </c>
      <c r="AF118">
        <v>19.149999999999999</v>
      </c>
    </row>
    <row r="119" spans="1:32" x14ac:dyDescent="0.35">
      <c r="A119">
        <v>116</v>
      </c>
      <c r="B119">
        <v>12.225</v>
      </c>
      <c r="C119">
        <v>11.539</v>
      </c>
      <c r="D119">
        <v>19.149999999999999</v>
      </c>
      <c r="E119">
        <f t="shared" si="12"/>
        <v>12.225</v>
      </c>
      <c r="F119">
        <f t="shared" si="13"/>
        <v>41.100999999999999</v>
      </c>
      <c r="G119">
        <f t="shared" si="14"/>
        <v>19.149999999999999</v>
      </c>
      <c r="H119">
        <f t="shared" si="15"/>
        <v>544</v>
      </c>
      <c r="I119">
        <f t="shared" si="16"/>
        <v>73.349999999999994</v>
      </c>
      <c r="J119">
        <f t="shared" si="17"/>
        <v>11.539</v>
      </c>
      <c r="K119">
        <f t="shared" si="18"/>
        <v>19.149999999999999</v>
      </c>
      <c r="L119">
        <f t="shared" si="19"/>
        <v>1115</v>
      </c>
      <c r="O119">
        <v>616</v>
      </c>
      <c r="P119">
        <v>3.056</v>
      </c>
      <c r="Q119">
        <v>52.99</v>
      </c>
      <c r="R119">
        <v>19.149999999999999</v>
      </c>
      <c r="S119">
        <f t="shared" si="20"/>
        <v>82.51</v>
      </c>
      <c r="T119">
        <f t="shared" si="21"/>
        <v>52.99</v>
      </c>
      <c r="U119">
        <f t="shared" si="22"/>
        <v>19.149999999999999</v>
      </c>
      <c r="V119">
        <f t="shared" si="23"/>
        <v>1617</v>
      </c>
      <c r="X119">
        <v>1116</v>
      </c>
      <c r="Y119">
        <v>85.57</v>
      </c>
      <c r="Z119">
        <v>11.539</v>
      </c>
      <c r="AA119">
        <v>19.149999999999999</v>
      </c>
      <c r="AC119">
        <v>1616</v>
      </c>
      <c r="AD119">
        <v>80.069999999999993</v>
      </c>
      <c r="AE119">
        <v>52.99</v>
      </c>
      <c r="AF119">
        <v>19.149999999999999</v>
      </c>
    </row>
    <row r="120" spans="1:32" x14ac:dyDescent="0.35">
      <c r="A120">
        <v>117</v>
      </c>
      <c r="B120">
        <v>6.1120000000000001</v>
      </c>
      <c r="C120">
        <v>11.814</v>
      </c>
      <c r="D120">
        <v>19.149999999999999</v>
      </c>
      <c r="E120">
        <f t="shared" si="12"/>
        <v>6.1120000000000001</v>
      </c>
      <c r="F120">
        <f t="shared" si="13"/>
        <v>40.826000000000001</v>
      </c>
      <c r="G120">
        <f t="shared" si="14"/>
        <v>19.149999999999999</v>
      </c>
      <c r="H120">
        <f t="shared" si="15"/>
        <v>542</v>
      </c>
      <c r="I120">
        <f t="shared" si="16"/>
        <v>79.459999999999994</v>
      </c>
      <c r="J120">
        <f t="shared" si="17"/>
        <v>11.814</v>
      </c>
      <c r="K120">
        <f t="shared" si="18"/>
        <v>19.149999999999999</v>
      </c>
      <c r="L120">
        <f t="shared" si="19"/>
        <v>1117</v>
      </c>
      <c r="O120">
        <v>617</v>
      </c>
      <c r="P120">
        <v>5.4969999999999999</v>
      </c>
      <c r="Q120">
        <v>52.99</v>
      </c>
      <c r="R120">
        <v>19.149999999999999</v>
      </c>
      <c r="S120">
        <f t="shared" si="20"/>
        <v>80.069999999999993</v>
      </c>
      <c r="T120">
        <f t="shared" si="21"/>
        <v>52.99</v>
      </c>
      <c r="U120">
        <f t="shared" si="22"/>
        <v>19.149999999999999</v>
      </c>
      <c r="V120">
        <f t="shared" si="23"/>
        <v>1616</v>
      </c>
      <c r="X120">
        <v>1117</v>
      </c>
      <c r="Y120">
        <v>79.459999999999994</v>
      </c>
      <c r="Z120">
        <v>11.814</v>
      </c>
      <c r="AA120">
        <v>19.149999999999999</v>
      </c>
      <c r="AC120">
        <v>1617</v>
      </c>
      <c r="AD120">
        <v>82.51</v>
      </c>
      <c r="AE120">
        <v>52.99</v>
      </c>
      <c r="AF120">
        <v>19.149999999999999</v>
      </c>
    </row>
    <row r="121" spans="1:32" x14ac:dyDescent="0.35">
      <c r="A121">
        <v>118</v>
      </c>
      <c r="B121">
        <v>3.8140000000000001</v>
      </c>
      <c r="C121">
        <v>12.129</v>
      </c>
      <c r="D121">
        <v>19.149999999999999</v>
      </c>
      <c r="E121">
        <f t="shared" si="12"/>
        <v>3.8140000000000001</v>
      </c>
      <c r="F121">
        <f t="shared" si="13"/>
        <v>40.511000000000003</v>
      </c>
      <c r="G121">
        <f t="shared" si="14"/>
        <v>19.149999999999999</v>
      </c>
      <c r="H121">
        <f t="shared" si="15"/>
        <v>539</v>
      </c>
      <c r="I121">
        <f t="shared" si="16"/>
        <v>81.760000000000005</v>
      </c>
      <c r="J121">
        <f t="shared" si="17"/>
        <v>12.129</v>
      </c>
      <c r="K121">
        <f t="shared" si="18"/>
        <v>19.149999999999999</v>
      </c>
      <c r="L121">
        <f t="shared" si="19"/>
        <v>1120</v>
      </c>
      <c r="O121">
        <v>618</v>
      </c>
      <c r="P121">
        <v>6.7270000000000003</v>
      </c>
      <c r="Q121">
        <v>52.99</v>
      </c>
      <c r="R121">
        <v>19.149999999999999</v>
      </c>
      <c r="S121">
        <f t="shared" si="20"/>
        <v>78.84</v>
      </c>
      <c r="T121">
        <f t="shared" si="21"/>
        <v>52.99</v>
      </c>
      <c r="U121">
        <f t="shared" si="22"/>
        <v>19.149999999999999</v>
      </c>
      <c r="V121">
        <f t="shared" si="23"/>
        <v>1615</v>
      </c>
      <c r="X121">
        <v>1118</v>
      </c>
      <c r="Y121">
        <v>77.16</v>
      </c>
      <c r="Z121">
        <v>12.129</v>
      </c>
      <c r="AA121">
        <v>19.149999999999999</v>
      </c>
      <c r="AC121">
        <v>1618</v>
      </c>
      <c r="AD121">
        <v>85.57</v>
      </c>
      <c r="AE121">
        <v>52.99</v>
      </c>
      <c r="AF121">
        <v>19.149999999999999</v>
      </c>
    </row>
    <row r="122" spans="1:32" x14ac:dyDescent="0.35">
      <c r="A122">
        <v>119</v>
      </c>
      <c r="B122">
        <v>6.1120000000000001</v>
      </c>
      <c r="C122">
        <v>12.129</v>
      </c>
      <c r="D122">
        <v>19.149999999999999</v>
      </c>
      <c r="E122">
        <f t="shared" si="12"/>
        <v>6.1120000000000001</v>
      </c>
      <c r="F122">
        <f t="shared" si="13"/>
        <v>40.511000000000003</v>
      </c>
      <c r="G122">
        <f t="shared" si="14"/>
        <v>19.149999999999999</v>
      </c>
      <c r="H122">
        <f t="shared" si="15"/>
        <v>540</v>
      </c>
      <c r="I122">
        <f t="shared" si="16"/>
        <v>79.459999999999994</v>
      </c>
      <c r="J122">
        <f t="shared" si="17"/>
        <v>12.129</v>
      </c>
      <c r="K122">
        <f t="shared" si="18"/>
        <v>19.149999999999999</v>
      </c>
      <c r="L122">
        <f t="shared" si="19"/>
        <v>1119</v>
      </c>
      <c r="O122">
        <v>619</v>
      </c>
      <c r="P122">
        <v>9.1690000000000005</v>
      </c>
      <c r="Q122">
        <v>52.99</v>
      </c>
      <c r="R122">
        <v>19.149999999999999</v>
      </c>
      <c r="S122">
        <f t="shared" si="20"/>
        <v>76.400000000000006</v>
      </c>
      <c r="T122">
        <f t="shared" si="21"/>
        <v>52.99</v>
      </c>
      <c r="U122">
        <f t="shared" si="22"/>
        <v>19.149999999999999</v>
      </c>
      <c r="V122">
        <f t="shared" si="23"/>
        <v>1614</v>
      </c>
      <c r="X122">
        <v>1119</v>
      </c>
      <c r="Y122">
        <v>79.459999999999994</v>
      </c>
      <c r="Z122">
        <v>12.129</v>
      </c>
      <c r="AA122">
        <v>19.149999999999999</v>
      </c>
      <c r="AC122">
        <v>1619</v>
      </c>
      <c r="AD122">
        <v>86.97</v>
      </c>
      <c r="AE122">
        <v>52.99</v>
      </c>
      <c r="AF122">
        <v>19.149999999999999</v>
      </c>
    </row>
    <row r="123" spans="1:32" x14ac:dyDescent="0.35">
      <c r="A123">
        <v>120</v>
      </c>
      <c r="B123">
        <v>8.4109999999999996</v>
      </c>
      <c r="C123">
        <v>12.129</v>
      </c>
      <c r="D123">
        <v>19.149999999999999</v>
      </c>
      <c r="E123">
        <f t="shared" si="12"/>
        <v>8.4109999999999996</v>
      </c>
      <c r="F123">
        <f t="shared" si="13"/>
        <v>40.511000000000003</v>
      </c>
      <c r="G123">
        <f t="shared" si="14"/>
        <v>19.149999999999999</v>
      </c>
      <c r="H123">
        <f t="shared" si="15"/>
        <v>541</v>
      </c>
      <c r="I123">
        <f t="shared" si="16"/>
        <v>77.16</v>
      </c>
      <c r="J123">
        <f t="shared" si="17"/>
        <v>12.129</v>
      </c>
      <c r="K123">
        <f t="shared" si="18"/>
        <v>19.149999999999999</v>
      </c>
      <c r="L123">
        <f t="shared" si="19"/>
        <v>1118</v>
      </c>
      <c r="O123">
        <v>620</v>
      </c>
      <c r="P123">
        <v>-1.4</v>
      </c>
      <c r="Q123">
        <v>54.24</v>
      </c>
      <c r="R123">
        <v>19.149999999999999</v>
      </c>
      <c r="S123">
        <f t="shared" si="20"/>
        <v>86.97</v>
      </c>
      <c r="T123">
        <f t="shared" si="21"/>
        <v>54.24</v>
      </c>
      <c r="U123">
        <f t="shared" si="22"/>
        <v>19.149999999999999</v>
      </c>
      <c r="V123">
        <f t="shared" si="23"/>
        <v>1634</v>
      </c>
      <c r="X123">
        <v>1120</v>
      </c>
      <c r="Y123">
        <v>81.760000000000005</v>
      </c>
      <c r="Z123">
        <v>12.129</v>
      </c>
      <c r="AA123">
        <v>19.149999999999999</v>
      </c>
      <c r="AC123">
        <v>1620</v>
      </c>
      <c r="AD123">
        <v>73.349999999999994</v>
      </c>
      <c r="AE123">
        <v>54.24</v>
      </c>
      <c r="AF123">
        <v>19.149999999999999</v>
      </c>
    </row>
    <row r="124" spans="1:32" x14ac:dyDescent="0.35">
      <c r="A124">
        <v>121</v>
      </c>
      <c r="B124">
        <v>-1.4</v>
      </c>
      <c r="C124">
        <v>13.16</v>
      </c>
      <c r="D124">
        <v>19.149999999999999</v>
      </c>
      <c r="E124">
        <f t="shared" si="12"/>
        <v>-1.4</v>
      </c>
      <c r="F124">
        <f t="shared" si="13"/>
        <v>39.480000000000004</v>
      </c>
      <c r="G124">
        <f t="shared" si="14"/>
        <v>19.149999999999999</v>
      </c>
      <c r="H124">
        <f t="shared" si="15"/>
        <v>525</v>
      </c>
      <c r="I124">
        <f t="shared" si="16"/>
        <v>86.97</v>
      </c>
      <c r="J124">
        <f t="shared" si="17"/>
        <v>13.16</v>
      </c>
      <c r="K124">
        <f t="shared" si="18"/>
        <v>19.149999999999999</v>
      </c>
      <c r="L124">
        <f t="shared" si="19"/>
        <v>1134</v>
      </c>
      <c r="O124">
        <v>621</v>
      </c>
      <c r="P124">
        <v>0</v>
      </c>
      <c r="Q124">
        <v>54.24</v>
      </c>
      <c r="R124">
        <v>19.149999999999999</v>
      </c>
      <c r="S124">
        <f t="shared" si="20"/>
        <v>85.57</v>
      </c>
      <c r="T124">
        <f t="shared" si="21"/>
        <v>54.24</v>
      </c>
      <c r="U124">
        <f t="shared" si="22"/>
        <v>19.149999999999999</v>
      </c>
      <c r="V124">
        <f t="shared" si="23"/>
        <v>1633</v>
      </c>
      <c r="X124">
        <v>1121</v>
      </c>
      <c r="Y124">
        <v>73.349999999999994</v>
      </c>
      <c r="Z124">
        <v>13.16</v>
      </c>
      <c r="AA124">
        <v>19.149999999999999</v>
      </c>
      <c r="AC124">
        <v>1621</v>
      </c>
      <c r="AD124">
        <v>74.349999999999994</v>
      </c>
      <c r="AE124">
        <v>54.24</v>
      </c>
      <c r="AF124">
        <v>19.149999999999999</v>
      </c>
    </row>
    <row r="125" spans="1:32" x14ac:dyDescent="0.35">
      <c r="A125">
        <v>122</v>
      </c>
      <c r="B125">
        <v>0</v>
      </c>
      <c r="C125">
        <v>13.16</v>
      </c>
      <c r="D125">
        <v>19.149999999999999</v>
      </c>
      <c r="E125">
        <f t="shared" si="12"/>
        <v>0</v>
      </c>
      <c r="F125">
        <f t="shared" si="13"/>
        <v>39.480000000000004</v>
      </c>
      <c r="G125">
        <f t="shared" si="14"/>
        <v>19.149999999999999</v>
      </c>
      <c r="H125">
        <f t="shared" si="15"/>
        <v>526</v>
      </c>
      <c r="I125">
        <f t="shared" si="16"/>
        <v>85.57</v>
      </c>
      <c r="J125">
        <f t="shared" si="17"/>
        <v>13.16</v>
      </c>
      <c r="K125">
        <f t="shared" si="18"/>
        <v>19.149999999999999</v>
      </c>
      <c r="L125">
        <f t="shared" si="19"/>
        <v>1133</v>
      </c>
      <c r="O125">
        <v>622</v>
      </c>
      <c r="P125">
        <v>1.024</v>
      </c>
      <c r="Q125">
        <v>54.24</v>
      </c>
      <c r="R125">
        <v>19.149999999999999</v>
      </c>
      <c r="S125">
        <f t="shared" si="20"/>
        <v>84.55</v>
      </c>
      <c r="T125">
        <f t="shared" si="21"/>
        <v>54.24</v>
      </c>
      <c r="U125">
        <f t="shared" si="22"/>
        <v>19.149999999999999</v>
      </c>
      <c r="V125">
        <f t="shared" si="23"/>
        <v>1632</v>
      </c>
      <c r="X125">
        <v>1122</v>
      </c>
      <c r="Y125">
        <v>74.97</v>
      </c>
      <c r="Z125">
        <v>13.16</v>
      </c>
      <c r="AA125">
        <v>19.149999999999999</v>
      </c>
      <c r="AC125">
        <v>1622</v>
      </c>
      <c r="AD125">
        <v>75.38</v>
      </c>
      <c r="AE125">
        <v>54.24</v>
      </c>
      <c r="AF125">
        <v>19.149999999999999</v>
      </c>
    </row>
    <row r="126" spans="1:32" x14ac:dyDescent="0.35">
      <c r="A126">
        <v>123</v>
      </c>
      <c r="B126">
        <v>1.621</v>
      </c>
      <c r="C126">
        <v>13.16</v>
      </c>
      <c r="D126">
        <v>19.149999999999999</v>
      </c>
      <c r="E126">
        <f t="shared" si="12"/>
        <v>1.621</v>
      </c>
      <c r="F126">
        <f t="shared" si="13"/>
        <v>39.480000000000004</v>
      </c>
      <c r="G126">
        <f t="shared" si="14"/>
        <v>19.149999999999999</v>
      </c>
      <c r="H126">
        <f t="shared" si="15"/>
        <v>527</v>
      </c>
      <c r="I126">
        <f t="shared" si="16"/>
        <v>83.95</v>
      </c>
      <c r="J126">
        <f t="shared" si="17"/>
        <v>13.16</v>
      </c>
      <c r="K126">
        <f t="shared" si="18"/>
        <v>19.149999999999999</v>
      </c>
      <c r="L126">
        <f t="shared" si="19"/>
        <v>1132</v>
      </c>
      <c r="O126">
        <v>623</v>
      </c>
      <c r="P126">
        <v>2.048</v>
      </c>
      <c r="Q126">
        <v>54.24</v>
      </c>
      <c r="R126">
        <v>19.149999999999999</v>
      </c>
      <c r="S126">
        <f t="shared" si="20"/>
        <v>83.52</v>
      </c>
      <c r="T126">
        <f t="shared" si="21"/>
        <v>54.24</v>
      </c>
      <c r="U126">
        <f t="shared" si="22"/>
        <v>19.149999999999999</v>
      </c>
      <c r="V126">
        <f t="shared" si="23"/>
        <v>1631</v>
      </c>
      <c r="X126">
        <v>1123</v>
      </c>
      <c r="Y126">
        <v>76.58</v>
      </c>
      <c r="Z126">
        <v>13.16</v>
      </c>
      <c r="AA126">
        <v>19.149999999999999</v>
      </c>
      <c r="AC126">
        <v>1623</v>
      </c>
      <c r="AD126">
        <v>76.400000000000006</v>
      </c>
      <c r="AE126">
        <v>54.24</v>
      </c>
      <c r="AF126">
        <v>19.149999999999999</v>
      </c>
    </row>
    <row r="127" spans="1:32" x14ac:dyDescent="0.35">
      <c r="A127">
        <v>124</v>
      </c>
      <c r="B127">
        <v>3.234</v>
      </c>
      <c r="C127">
        <v>13.16</v>
      </c>
      <c r="D127">
        <v>19.149999999999999</v>
      </c>
      <c r="E127">
        <f t="shared" si="12"/>
        <v>3.234</v>
      </c>
      <c r="F127">
        <f t="shared" si="13"/>
        <v>39.480000000000004</v>
      </c>
      <c r="G127">
        <f t="shared" si="14"/>
        <v>19.149999999999999</v>
      </c>
      <c r="H127">
        <f t="shared" si="15"/>
        <v>528</v>
      </c>
      <c r="I127">
        <f t="shared" si="16"/>
        <v>82.34</v>
      </c>
      <c r="J127">
        <f t="shared" si="17"/>
        <v>13.16</v>
      </c>
      <c r="K127">
        <f t="shared" si="18"/>
        <v>19.149999999999999</v>
      </c>
      <c r="L127">
        <f t="shared" si="19"/>
        <v>1131</v>
      </c>
      <c r="O127">
        <v>624</v>
      </c>
      <c r="P127">
        <v>3.056</v>
      </c>
      <c r="Q127">
        <v>54.24</v>
      </c>
      <c r="R127">
        <v>19.149999999999999</v>
      </c>
      <c r="S127">
        <f t="shared" si="20"/>
        <v>82.51</v>
      </c>
      <c r="T127">
        <f t="shared" si="21"/>
        <v>54.24</v>
      </c>
      <c r="U127">
        <f t="shared" si="22"/>
        <v>19.149999999999999</v>
      </c>
      <c r="V127">
        <f t="shared" si="23"/>
        <v>1630</v>
      </c>
      <c r="X127">
        <v>1124</v>
      </c>
      <c r="Y127">
        <v>78.19</v>
      </c>
      <c r="Z127">
        <v>13.16</v>
      </c>
      <c r="AA127">
        <v>19.149999999999999</v>
      </c>
      <c r="AC127">
        <v>1624</v>
      </c>
      <c r="AD127">
        <v>77.22</v>
      </c>
      <c r="AE127">
        <v>54.24</v>
      </c>
      <c r="AF127">
        <v>19.149999999999999</v>
      </c>
    </row>
    <row r="128" spans="1:32" x14ac:dyDescent="0.35">
      <c r="A128">
        <v>125</v>
      </c>
      <c r="B128">
        <v>4.8460000000000001</v>
      </c>
      <c r="C128">
        <v>13.16</v>
      </c>
      <c r="D128">
        <v>19.149999999999999</v>
      </c>
      <c r="E128">
        <f t="shared" si="12"/>
        <v>4.8460000000000001</v>
      </c>
      <c r="F128">
        <f t="shared" si="13"/>
        <v>39.480000000000004</v>
      </c>
      <c r="G128">
        <f t="shared" si="14"/>
        <v>19.149999999999999</v>
      </c>
      <c r="H128">
        <f t="shared" si="15"/>
        <v>529</v>
      </c>
      <c r="I128">
        <f t="shared" si="16"/>
        <v>80.72</v>
      </c>
      <c r="J128">
        <f t="shared" si="17"/>
        <v>13.16</v>
      </c>
      <c r="K128">
        <f t="shared" si="18"/>
        <v>19.149999999999999</v>
      </c>
      <c r="L128">
        <f t="shared" si="19"/>
        <v>1130</v>
      </c>
      <c r="O128">
        <v>625</v>
      </c>
      <c r="P128">
        <v>3.8690000000000002</v>
      </c>
      <c r="Q128">
        <v>54.24</v>
      </c>
      <c r="R128">
        <v>19.149999999999999</v>
      </c>
      <c r="S128">
        <f t="shared" si="20"/>
        <v>81.7</v>
      </c>
      <c r="T128">
        <f t="shared" si="21"/>
        <v>54.24</v>
      </c>
      <c r="U128">
        <f t="shared" si="22"/>
        <v>19.149999999999999</v>
      </c>
      <c r="V128">
        <f t="shared" si="23"/>
        <v>1629</v>
      </c>
      <c r="X128">
        <v>1125</v>
      </c>
      <c r="Y128">
        <v>78.61</v>
      </c>
      <c r="Z128">
        <v>13.16</v>
      </c>
      <c r="AA128">
        <v>19.149999999999999</v>
      </c>
      <c r="AC128">
        <v>1625</v>
      </c>
      <c r="AD128">
        <v>78.03</v>
      </c>
      <c r="AE128">
        <v>54.24</v>
      </c>
      <c r="AF128">
        <v>19.149999999999999</v>
      </c>
    </row>
    <row r="129" spans="1:32" x14ac:dyDescent="0.35">
      <c r="A129">
        <v>126</v>
      </c>
      <c r="B129">
        <v>5.2619999999999996</v>
      </c>
      <c r="C129">
        <v>13.16</v>
      </c>
      <c r="D129">
        <v>19.149999999999999</v>
      </c>
      <c r="E129">
        <f t="shared" si="12"/>
        <v>5.2619999999999996</v>
      </c>
      <c r="F129">
        <f t="shared" si="13"/>
        <v>39.480000000000004</v>
      </c>
      <c r="G129">
        <f t="shared" si="14"/>
        <v>19.149999999999999</v>
      </c>
      <c r="H129">
        <f t="shared" si="15"/>
        <v>530</v>
      </c>
      <c r="I129">
        <f t="shared" si="16"/>
        <v>80.31</v>
      </c>
      <c r="J129">
        <f t="shared" si="17"/>
        <v>13.16</v>
      </c>
      <c r="K129">
        <f t="shared" si="18"/>
        <v>19.149999999999999</v>
      </c>
      <c r="L129">
        <f t="shared" si="19"/>
        <v>1129</v>
      </c>
      <c r="O129">
        <v>626</v>
      </c>
      <c r="P129">
        <v>4.6820000000000004</v>
      </c>
      <c r="Q129">
        <v>54.24</v>
      </c>
      <c r="R129">
        <v>19.149999999999999</v>
      </c>
      <c r="S129">
        <f t="shared" si="20"/>
        <v>80.89</v>
      </c>
      <c r="T129">
        <f t="shared" si="21"/>
        <v>54.24</v>
      </c>
      <c r="U129">
        <f t="shared" si="22"/>
        <v>19.149999999999999</v>
      </c>
      <c r="V129">
        <f t="shared" si="23"/>
        <v>1628</v>
      </c>
      <c r="X129">
        <v>1126</v>
      </c>
      <c r="Y129">
        <v>78.84</v>
      </c>
      <c r="Z129">
        <v>13.16</v>
      </c>
      <c r="AA129">
        <v>19.149999999999999</v>
      </c>
      <c r="AC129">
        <v>1626</v>
      </c>
      <c r="AD129">
        <v>78.84</v>
      </c>
      <c r="AE129">
        <v>54.24</v>
      </c>
      <c r="AF129">
        <v>19.149999999999999</v>
      </c>
    </row>
    <row r="130" spans="1:32" x14ac:dyDescent="0.35">
      <c r="A130">
        <v>127</v>
      </c>
      <c r="B130">
        <v>5.4969999999999999</v>
      </c>
      <c r="C130">
        <v>13.16</v>
      </c>
      <c r="D130">
        <v>19.149999999999999</v>
      </c>
      <c r="E130">
        <f t="shared" si="12"/>
        <v>5.4969999999999999</v>
      </c>
      <c r="F130">
        <f t="shared" si="13"/>
        <v>39.480000000000004</v>
      </c>
      <c r="G130">
        <f t="shared" si="14"/>
        <v>19.149999999999999</v>
      </c>
      <c r="H130">
        <f t="shared" si="15"/>
        <v>531</v>
      </c>
      <c r="I130">
        <f t="shared" si="16"/>
        <v>80.069999999999993</v>
      </c>
      <c r="J130">
        <f t="shared" si="17"/>
        <v>13.16</v>
      </c>
      <c r="K130">
        <f t="shared" si="18"/>
        <v>19.149999999999999</v>
      </c>
      <c r="L130">
        <f t="shared" si="19"/>
        <v>1128</v>
      </c>
      <c r="O130">
        <v>627</v>
      </c>
      <c r="P130">
        <v>5.4969999999999999</v>
      </c>
      <c r="Q130">
        <v>54.24</v>
      </c>
      <c r="R130">
        <v>19.149999999999999</v>
      </c>
      <c r="S130">
        <f t="shared" si="20"/>
        <v>80.069999999999993</v>
      </c>
      <c r="T130">
        <f t="shared" si="21"/>
        <v>54.24</v>
      </c>
      <c r="U130">
        <f t="shared" si="22"/>
        <v>19.149999999999999</v>
      </c>
      <c r="V130">
        <f t="shared" si="23"/>
        <v>1627</v>
      </c>
      <c r="X130">
        <v>1127</v>
      </c>
      <c r="Y130">
        <v>79.459999999999994</v>
      </c>
      <c r="Z130">
        <v>13.16</v>
      </c>
      <c r="AA130">
        <v>19.149999999999999</v>
      </c>
      <c r="AC130">
        <v>1627</v>
      </c>
      <c r="AD130">
        <v>80.069999999999993</v>
      </c>
      <c r="AE130">
        <v>54.24</v>
      </c>
      <c r="AF130">
        <v>19.149999999999999</v>
      </c>
    </row>
    <row r="131" spans="1:32" x14ac:dyDescent="0.35">
      <c r="A131">
        <v>128</v>
      </c>
      <c r="B131">
        <v>6.1120000000000001</v>
      </c>
      <c r="C131">
        <v>13.16</v>
      </c>
      <c r="D131">
        <v>19.149999999999999</v>
      </c>
      <c r="E131">
        <f t="shared" si="12"/>
        <v>6.1120000000000001</v>
      </c>
      <c r="F131">
        <f t="shared" si="13"/>
        <v>39.480000000000004</v>
      </c>
      <c r="G131">
        <f t="shared" si="14"/>
        <v>19.149999999999999</v>
      </c>
      <c r="H131">
        <f t="shared" si="15"/>
        <v>532</v>
      </c>
      <c r="I131">
        <f t="shared" si="16"/>
        <v>79.459999999999994</v>
      </c>
      <c r="J131">
        <f t="shared" si="17"/>
        <v>13.16</v>
      </c>
      <c r="K131">
        <f t="shared" si="18"/>
        <v>19.149999999999999</v>
      </c>
      <c r="L131">
        <f t="shared" si="19"/>
        <v>1127</v>
      </c>
      <c r="O131">
        <v>628</v>
      </c>
      <c r="P131">
        <v>6.7270000000000003</v>
      </c>
      <c r="Q131">
        <v>54.24</v>
      </c>
      <c r="R131">
        <v>19.149999999999999</v>
      </c>
      <c r="S131">
        <f t="shared" si="20"/>
        <v>78.84</v>
      </c>
      <c r="T131">
        <f t="shared" si="21"/>
        <v>54.24</v>
      </c>
      <c r="U131">
        <f t="shared" si="22"/>
        <v>19.149999999999999</v>
      </c>
      <c r="V131">
        <f t="shared" si="23"/>
        <v>1626</v>
      </c>
      <c r="X131">
        <v>1128</v>
      </c>
      <c r="Y131">
        <v>80.069999999999993</v>
      </c>
      <c r="Z131">
        <v>13.16</v>
      </c>
      <c r="AA131">
        <v>19.149999999999999</v>
      </c>
      <c r="AC131">
        <v>1628</v>
      </c>
      <c r="AD131">
        <v>80.89</v>
      </c>
      <c r="AE131">
        <v>54.24</v>
      </c>
      <c r="AF131">
        <v>19.149999999999999</v>
      </c>
    </row>
    <row r="132" spans="1:32" x14ac:dyDescent="0.35">
      <c r="A132">
        <v>129</v>
      </c>
      <c r="B132">
        <v>6.7270000000000003</v>
      </c>
      <c r="C132">
        <v>13.16</v>
      </c>
      <c r="D132">
        <v>19.149999999999999</v>
      </c>
      <c r="E132">
        <f t="shared" si="12"/>
        <v>6.7270000000000003</v>
      </c>
      <c r="F132">
        <f t="shared" si="13"/>
        <v>39.480000000000004</v>
      </c>
      <c r="G132">
        <f t="shared" si="14"/>
        <v>19.149999999999999</v>
      </c>
      <c r="H132">
        <f t="shared" si="15"/>
        <v>533</v>
      </c>
      <c r="I132">
        <f t="shared" si="16"/>
        <v>78.84</v>
      </c>
      <c r="J132">
        <f t="shared" si="17"/>
        <v>13.16</v>
      </c>
      <c r="K132">
        <f t="shared" si="18"/>
        <v>19.149999999999999</v>
      </c>
      <c r="L132">
        <f t="shared" si="19"/>
        <v>1126</v>
      </c>
      <c r="O132">
        <v>629</v>
      </c>
      <c r="P132">
        <v>7.54</v>
      </c>
      <c r="Q132">
        <v>54.24</v>
      </c>
      <c r="R132">
        <v>19.149999999999999</v>
      </c>
      <c r="S132">
        <f t="shared" si="20"/>
        <v>78.03</v>
      </c>
      <c r="T132">
        <f t="shared" si="21"/>
        <v>54.24</v>
      </c>
      <c r="U132">
        <f t="shared" si="22"/>
        <v>19.149999999999999</v>
      </c>
      <c r="V132">
        <f t="shared" si="23"/>
        <v>1625</v>
      </c>
      <c r="X132">
        <v>1129</v>
      </c>
      <c r="Y132">
        <v>80.31</v>
      </c>
      <c r="Z132">
        <v>13.16</v>
      </c>
      <c r="AA132">
        <v>19.149999999999999</v>
      </c>
      <c r="AC132">
        <v>1629</v>
      </c>
      <c r="AD132">
        <v>81.7</v>
      </c>
      <c r="AE132">
        <v>54.24</v>
      </c>
      <c r="AF132">
        <v>19.149999999999999</v>
      </c>
    </row>
    <row r="133" spans="1:32" x14ac:dyDescent="0.35">
      <c r="A133">
        <v>130</v>
      </c>
      <c r="B133">
        <v>6.9619999999999997</v>
      </c>
      <c r="C133">
        <v>13.16</v>
      </c>
      <c r="D133">
        <v>19.149999999999999</v>
      </c>
      <c r="E133">
        <f t="shared" ref="E133:E196" si="24">B133</f>
        <v>6.9619999999999997</v>
      </c>
      <c r="F133">
        <f t="shared" ref="F133:F196" si="25">2*$P$1-C133</f>
        <v>39.480000000000004</v>
      </c>
      <c r="G133">
        <f t="shared" ref="G133:G196" si="26">D133</f>
        <v>19.149999999999999</v>
      </c>
      <c r="H133">
        <f t="shared" ref="H133:H196" si="27">SUMIFS($O:$O,$P:$P,E133,$Q:$Q,F133,$R:$R,G133)</f>
        <v>534</v>
      </c>
      <c r="I133">
        <f t="shared" ref="I133:I196" si="28">TRUNC(2*$Z$1-B133,2)</f>
        <v>78.61</v>
      </c>
      <c r="J133">
        <f t="shared" ref="J133:J196" si="29">C133</f>
        <v>13.16</v>
      </c>
      <c r="K133">
        <f t="shared" ref="K133:K196" si="30">D133</f>
        <v>19.149999999999999</v>
      </c>
      <c r="L133">
        <f t="shared" ref="L133:L196" si="31">SUMIFS($X:$X,$Y:$Y,I133,$Z:$Z,J133,$AA:$AA,K133)</f>
        <v>1125</v>
      </c>
      <c r="O133">
        <v>630</v>
      </c>
      <c r="P133">
        <v>8.3529999999999998</v>
      </c>
      <c r="Q133">
        <v>54.24</v>
      </c>
      <c r="R133">
        <v>19.149999999999999</v>
      </c>
      <c r="S133">
        <f t="shared" ref="S133:S196" si="32">TRUNC(2*$Z$1-P133,2)</f>
        <v>77.22</v>
      </c>
      <c r="T133">
        <f t="shared" ref="T133:T196" si="33">Q133</f>
        <v>54.24</v>
      </c>
      <c r="U133">
        <f t="shared" ref="U133:U196" si="34">R133</f>
        <v>19.149999999999999</v>
      </c>
      <c r="V133">
        <f t="shared" ref="V133:V196" si="35">SUMIFS($AC:$AC,$AD:$AD,S133,$AE:$AE,T133,$AF:$AF,U133)</f>
        <v>1624</v>
      </c>
      <c r="X133">
        <v>1130</v>
      </c>
      <c r="Y133">
        <v>80.72</v>
      </c>
      <c r="Z133">
        <v>13.16</v>
      </c>
      <c r="AA133">
        <v>19.149999999999999</v>
      </c>
      <c r="AC133">
        <v>1630</v>
      </c>
      <c r="AD133">
        <v>82.51</v>
      </c>
      <c r="AE133">
        <v>54.24</v>
      </c>
      <c r="AF133">
        <v>19.149999999999999</v>
      </c>
    </row>
    <row r="134" spans="1:32" x14ac:dyDescent="0.35">
      <c r="A134">
        <v>131</v>
      </c>
      <c r="B134">
        <v>7.3789999999999996</v>
      </c>
      <c r="C134">
        <v>13.16</v>
      </c>
      <c r="D134">
        <v>19.149999999999999</v>
      </c>
      <c r="E134">
        <f t="shared" si="24"/>
        <v>7.3789999999999996</v>
      </c>
      <c r="F134">
        <f t="shared" si="25"/>
        <v>39.480000000000004</v>
      </c>
      <c r="G134">
        <f t="shared" si="26"/>
        <v>19.149999999999999</v>
      </c>
      <c r="H134">
        <f t="shared" si="27"/>
        <v>535</v>
      </c>
      <c r="I134">
        <f t="shared" si="28"/>
        <v>78.19</v>
      </c>
      <c r="J134">
        <f t="shared" si="29"/>
        <v>13.16</v>
      </c>
      <c r="K134">
        <f t="shared" si="30"/>
        <v>19.149999999999999</v>
      </c>
      <c r="L134">
        <f t="shared" si="31"/>
        <v>1124</v>
      </c>
      <c r="O134">
        <v>631</v>
      </c>
      <c r="P134">
        <v>9.1690000000000005</v>
      </c>
      <c r="Q134">
        <v>54.24</v>
      </c>
      <c r="R134">
        <v>19.149999999999999</v>
      </c>
      <c r="S134">
        <f t="shared" si="32"/>
        <v>76.400000000000006</v>
      </c>
      <c r="T134">
        <f t="shared" si="33"/>
        <v>54.24</v>
      </c>
      <c r="U134">
        <f t="shared" si="34"/>
        <v>19.149999999999999</v>
      </c>
      <c r="V134">
        <f t="shared" si="35"/>
        <v>1623</v>
      </c>
      <c r="X134">
        <v>1131</v>
      </c>
      <c r="Y134">
        <v>82.34</v>
      </c>
      <c r="Z134">
        <v>13.16</v>
      </c>
      <c r="AA134">
        <v>19.149999999999999</v>
      </c>
      <c r="AC134">
        <v>1631</v>
      </c>
      <c r="AD134">
        <v>83.52</v>
      </c>
      <c r="AE134">
        <v>54.24</v>
      </c>
      <c r="AF134">
        <v>19.149999999999999</v>
      </c>
    </row>
    <row r="135" spans="1:32" x14ac:dyDescent="0.35">
      <c r="A135">
        <v>132</v>
      </c>
      <c r="B135">
        <v>8.9909999999999997</v>
      </c>
      <c r="C135">
        <v>13.16</v>
      </c>
      <c r="D135">
        <v>19.149999999999999</v>
      </c>
      <c r="E135">
        <f t="shared" si="24"/>
        <v>8.9909999999999997</v>
      </c>
      <c r="F135">
        <f t="shared" si="25"/>
        <v>39.480000000000004</v>
      </c>
      <c r="G135">
        <f t="shared" si="26"/>
        <v>19.149999999999999</v>
      </c>
      <c r="H135">
        <f t="shared" si="27"/>
        <v>536</v>
      </c>
      <c r="I135">
        <f t="shared" si="28"/>
        <v>76.58</v>
      </c>
      <c r="J135">
        <f t="shared" si="29"/>
        <v>13.16</v>
      </c>
      <c r="K135">
        <f t="shared" si="30"/>
        <v>19.149999999999999</v>
      </c>
      <c r="L135">
        <f t="shared" si="31"/>
        <v>1123</v>
      </c>
      <c r="O135">
        <v>632</v>
      </c>
      <c r="P135">
        <v>10.193</v>
      </c>
      <c r="Q135">
        <v>54.24</v>
      </c>
      <c r="R135">
        <v>19.149999999999999</v>
      </c>
      <c r="S135">
        <f t="shared" si="32"/>
        <v>75.38</v>
      </c>
      <c r="T135">
        <f t="shared" si="33"/>
        <v>54.24</v>
      </c>
      <c r="U135">
        <f t="shared" si="34"/>
        <v>19.149999999999999</v>
      </c>
      <c r="V135">
        <f t="shared" si="35"/>
        <v>1622</v>
      </c>
      <c r="X135">
        <v>1132</v>
      </c>
      <c r="Y135">
        <v>83.95</v>
      </c>
      <c r="Z135">
        <v>13.16</v>
      </c>
      <c r="AA135">
        <v>19.149999999999999</v>
      </c>
      <c r="AC135">
        <v>1632</v>
      </c>
      <c r="AD135">
        <v>84.55</v>
      </c>
      <c r="AE135">
        <v>54.24</v>
      </c>
      <c r="AF135">
        <v>19.149999999999999</v>
      </c>
    </row>
    <row r="136" spans="1:32" x14ac:dyDescent="0.35">
      <c r="A136">
        <v>133</v>
      </c>
      <c r="B136">
        <v>10.603999999999999</v>
      </c>
      <c r="C136">
        <v>13.16</v>
      </c>
      <c r="D136">
        <v>19.149999999999999</v>
      </c>
      <c r="E136">
        <f t="shared" si="24"/>
        <v>10.603999999999999</v>
      </c>
      <c r="F136">
        <f t="shared" si="25"/>
        <v>39.480000000000004</v>
      </c>
      <c r="G136">
        <f t="shared" si="26"/>
        <v>19.149999999999999</v>
      </c>
      <c r="H136">
        <f t="shared" si="27"/>
        <v>537</v>
      </c>
      <c r="I136">
        <f t="shared" si="28"/>
        <v>74.97</v>
      </c>
      <c r="J136">
        <f t="shared" si="29"/>
        <v>13.16</v>
      </c>
      <c r="K136">
        <f t="shared" si="30"/>
        <v>19.149999999999999</v>
      </c>
      <c r="L136">
        <f t="shared" si="31"/>
        <v>1122</v>
      </c>
      <c r="O136">
        <v>633</v>
      </c>
      <c r="P136">
        <v>11.217000000000001</v>
      </c>
      <c r="Q136">
        <v>54.24</v>
      </c>
      <c r="R136">
        <v>19.149999999999999</v>
      </c>
      <c r="S136">
        <f t="shared" si="32"/>
        <v>74.349999999999994</v>
      </c>
      <c r="T136">
        <f t="shared" si="33"/>
        <v>54.24</v>
      </c>
      <c r="U136">
        <f t="shared" si="34"/>
        <v>19.149999999999999</v>
      </c>
      <c r="V136">
        <f t="shared" si="35"/>
        <v>1621</v>
      </c>
      <c r="X136">
        <v>1133</v>
      </c>
      <c r="Y136">
        <v>85.57</v>
      </c>
      <c r="Z136">
        <v>13.16</v>
      </c>
      <c r="AA136">
        <v>19.149999999999999</v>
      </c>
      <c r="AC136">
        <v>1633</v>
      </c>
      <c r="AD136">
        <v>85.57</v>
      </c>
      <c r="AE136">
        <v>54.24</v>
      </c>
      <c r="AF136">
        <v>19.149999999999999</v>
      </c>
    </row>
    <row r="137" spans="1:32" x14ac:dyDescent="0.35">
      <c r="A137">
        <v>134</v>
      </c>
      <c r="B137">
        <v>12.225</v>
      </c>
      <c r="C137">
        <v>13.16</v>
      </c>
      <c r="D137">
        <v>19.149999999999999</v>
      </c>
      <c r="E137">
        <f t="shared" si="24"/>
        <v>12.225</v>
      </c>
      <c r="F137">
        <f t="shared" si="25"/>
        <v>39.480000000000004</v>
      </c>
      <c r="G137">
        <f t="shared" si="26"/>
        <v>19.149999999999999</v>
      </c>
      <c r="H137">
        <f t="shared" si="27"/>
        <v>538</v>
      </c>
      <c r="I137">
        <f t="shared" si="28"/>
        <v>73.349999999999994</v>
      </c>
      <c r="J137">
        <f t="shared" si="29"/>
        <v>13.16</v>
      </c>
      <c r="K137">
        <f t="shared" si="30"/>
        <v>19.149999999999999</v>
      </c>
      <c r="L137">
        <f t="shared" si="31"/>
        <v>1121</v>
      </c>
      <c r="O137">
        <v>634</v>
      </c>
      <c r="P137">
        <v>12.225</v>
      </c>
      <c r="Q137">
        <v>54.24</v>
      </c>
      <c r="R137">
        <v>19.149999999999999</v>
      </c>
      <c r="S137">
        <f t="shared" si="32"/>
        <v>73.349999999999994</v>
      </c>
      <c r="T137">
        <f t="shared" si="33"/>
        <v>54.24</v>
      </c>
      <c r="U137">
        <f t="shared" si="34"/>
        <v>19.149999999999999</v>
      </c>
      <c r="V137">
        <f t="shared" si="35"/>
        <v>1620</v>
      </c>
      <c r="X137">
        <v>1134</v>
      </c>
      <c r="Y137">
        <v>86.97</v>
      </c>
      <c r="Z137">
        <v>13.16</v>
      </c>
      <c r="AA137">
        <v>19.149999999999999</v>
      </c>
      <c r="AC137">
        <v>1634</v>
      </c>
      <c r="AD137">
        <v>86.97</v>
      </c>
      <c r="AE137">
        <v>54.24</v>
      </c>
      <c r="AF137">
        <v>19.149999999999999</v>
      </c>
    </row>
    <row r="138" spans="1:32" x14ac:dyDescent="0.35">
      <c r="A138">
        <v>135</v>
      </c>
      <c r="B138">
        <v>5.2619999999999996</v>
      </c>
      <c r="C138">
        <v>6.28</v>
      </c>
      <c r="D138">
        <v>19.57</v>
      </c>
      <c r="E138">
        <f t="shared" si="24"/>
        <v>5.2619999999999996</v>
      </c>
      <c r="F138">
        <f t="shared" si="25"/>
        <v>46.36</v>
      </c>
      <c r="G138">
        <f t="shared" si="26"/>
        <v>19.57</v>
      </c>
      <c r="H138">
        <f t="shared" si="27"/>
        <v>640</v>
      </c>
      <c r="I138">
        <f t="shared" si="28"/>
        <v>80.31</v>
      </c>
      <c r="J138">
        <f t="shared" si="29"/>
        <v>6.28</v>
      </c>
      <c r="K138">
        <f t="shared" si="30"/>
        <v>19.57</v>
      </c>
      <c r="L138">
        <f t="shared" si="31"/>
        <v>1138</v>
      </c>
      <c r="O138">
        <v>635</v>
      </c>
      <c r="P138">
        <v>5.2619999999999996</v>
      </c>
      <c r="Q138">
        <v>45.76</v>
      </c>
      <c r="R138">
        <v>19.57</v>
      </c>
      <c r="S138">
        <f t="shared" si="32"/>
        <v>80.31</v>
      </c>
      <c r="T138">
        <f t="shared" si="33"/>
        <v>45.76</v>
      </c>
      <c r="U138">
        <f t="shared" si="34"/>
        <v>19.57</v>
      </c>
      <c r="V138">
        <f t="shared" si="35"/>
        <v>1638</v>
      </c>
      <c r="X138">
        <v>1135</v>
      </c>
      <c r="Y138">
        <v>78.61</v>
      </c>
      <c r="Z138">
        <v>6.28</v>
      </c>
      <c r="AA138">
        <v>19.57</v>
      </c>
      <c r="AC138">
        <v>1635</v>
      </c>
      <c r="AD138">
        <v>78.61</v>
      </c>
      <c r="AE138">
        <v>45.76</v>
      </c>
      <c r="AF138">
        <v>19.57</v>
      </c>
    </row>
    <row r="139" spans="1:32" x14ac:dyDescent="0.35">
      <c r="A139">
        <v>136</v>
      </c>
      <c r="B139">
        <v>5.6619999999999999</v>
      </c>
      <c r="C139">
        <v>6.28</v>
      </c>
      <c r="D139">
        <v>19.57</v>
      </c>
      <c r="E139">
        <f t="shared" si="24"/>
        <v>5.6619999999999999</v>
      </c>
      <c r="F139">
        <f t="shared" si="25"/>
        <v>46.36</v>
      </c>
      <c r="G139">
        <f t="shared" si="26"/>
        <v>19.57</v>
      </c>
      <c r="H139">
        <f t="shared" si="27"/>
        <v>641</v>
      </c>
      <c r="I139">
        <f t="shared" si="28"/>
        <v>79.91</v>
      </c>
      <c r="J139">
        <f t="shared" si="29"/>
        <v>6.28</v>
      </c>
      <c r="K139">
        <f t="shared" si="30"/>
        <v>19.57</v>
      </c>
      <c r="L139">
        <f t="shared" si="31"/>
        <v>1137</v>
      </c>
      <c r="O139">
        <v>636</v>
      </c>
      <c r="P139">
        <v>5.6619999999999999</v>
      </c>
      <c r="Q139">
        <v>45.76</v>
      </c>
      <c r="R139">
        <v>19.57</v>
      </c>
      <c r="S139">
        <f t="shared" si="32"/>
        <v>79.91</v>
      </c>
      <c r="T139">
        <f t="shared" si="33"/>
        <v>45.76</v>
      </c>
      <c r="U139">
        <f t="shared" si="34"/>
        <v>19.57</v>
      </c>
      <c r="V139">
        <f t="shared" si="35"/>
        <v>1637</v>
      </c>
      <c r="X139">
        <v>1136</v>
      </c>
      <c r="Y139">
        <v>79.010000000000005</v>
      </c>
      <c r="Z139">
        <v>6.28</v>
      </c>
      <c r="AA139">
        <v>19.57</v>
      </c>
      <c r="AC139">
        <v>1636</v>
      </c>
      <c r="AD139">
        <v>79.010000000000005</v>
      </c>
      <c r="AE139">
        <v>45.76</v>
      </c>
      <c r="AF139">
        <v>19.57</v>
      </c>
    </row>
    <row r="140" spans="1:32" x14ac:dyDescent="0.35">
      <c r="A140">
        <v>137</v>
      </c>
      <c r="B140">
        <v>6.5620000000000003</v>
      </c>
      <c r="C140">
        <v>6.28</v>
      </c>
      <c r="D140">
        <v>19.57</v>
      </c>
      <c r="E140">
        <f t="shared" si="24"/>
        <v>6.5620000000000003</v>
      </c>
      <c r="F140">
        <f t="shared" si="25"/>
        <v>46.36</v>
      </c>
      <c r="G140">
        <f t="shared" si="26"/>
        <v>19.57</v>
      </c>
      <c r="H140">
        <f t="shared" si="27"/>
        <v>642</v>
      </c>
      <c r="I140">
        <f t="shared" si="28"/>
        <v>79.010000000000005</v>
      </c>
      <c r="J140">
        <f t="shared" si="29"/>
        <v>6.28</v>
      </c>
      <c r="K140">
        <f t="shared" si="30"/>
        <v>19.57</v>
      </c>
      <c r="L140">
        <f t="shared" si="31"/>
        <v>1136</v>
      </c>
      <c r="O140">
        <v>637</v>
      </c>
      <c r="P140">
        <v>6.5620000000000003</v>
      </c>
      <c r="Q140">
        <v>45.76</v>
      </c>
      <c r="R140">
        <v>19.57</v>
      </c>
      <c r="S140">
        <f t="shared" si="32"/>
        <v>79.010000000000005</v>
      </c>
      <c r="T140">
        <f t="shared" si="33"/>
        <v>45.76</v>
      </c>
      <c r="U140">
        <f t="shared" si="34"/>
        <v>19.57</v>
      </c>
      <c r="V140">
        <f t="shared" si="35"/>
        <v>1636</v>
      </c>
      <c r="X140">
        <v>1137</v>
      </c>
      <c r="Y140">
        <v>79.91</v>
      </c>
      <c r="Z140">
        <v>6.28</v>
      </c>
      <c r="AA140">
        <v>19.57</v>
      </c>
      <c r="AC140">
        <v>1637</v>
      </c>
      <c r="AD140">
        <v>79.91</v>
      </c>
      <c r="AE140">
        <v>45.76</v>
      </c>
      <c r="AF140">
        <v>19.57</v>
      </c>
    </row>
    <row r="141" spans="1:32" x14ac:dyDescent="0.35">
      <c r="A141">
        <v>138</v>
      </c>
      <c r="B141">
        <v>6.9619999999999997</v>
      </c>
      <c r="C141">
        <v>6.28</v>
      </c>
      <c r="D141">
        <v>19.57</v>
      </c>
      <c r="E141">
        <f t="shared" si="24"/>
        <v>6.9619999999999997</v>
      </c>
      <c r="F141">
        <f t="shared" si="25"/>
        <v>46.36</v>
      </c>
      <c r="G141">
        <f t="shared" si="26"/>
        <v>19.57</v>
      </c>
      <c r="H141">
        <f t="shared" si="27"/>
        <v>643</v>
      </c>
      <c r="I141">
        <f t="shared" si="28"/>
        <v>78.61</v>
      </c>
      <c r="J141">
        <f t="shared" si="29"/>
        <v>6.28</v>
      </c>
      <c r="K141">
        <f t="shared" si="30"/>
        <v>19.57</v>
      </c>
      <c r="L141">
        <f t="shared" si="31"/>
        <v>1135</v>
      </c>
      <c r="O141">
        <v>638</v>
      </c>
      <c r="P141">
        <v>6.9619999999999997</v>
      </c>
      <c r="Q141">
        <v>45.76</v>
      </c>
      <c r="R141">
        <v>19.57</v>
      </c>
      <c r="S141">
        <f t="shared" si="32"/>
        <v>78.61</v>
      </c>
      <c r="T141">
        <f t="shared" si="33"/>
        <v>45.76</v>
      </c>
      <c r="U141">
        <f t="shared" si="34"/>
        <v>19.57</v>
      </c>
      <c r="V141">
        <f t="shared" si="35"/>
        <v>1635</v>
      </c>
      <c r="X141">
        <v>1138</v>
      </c>
      <c r="Y141">
        <v>80.31</v>
      </c>
      <c r="Z141">
        <v>6.28</v>
      </c>
      <c r="AA141">
        <v>19.57</v>
      </c>
      <c r="AC141">
        <v>1638</v>
      </c>
      <c r="AD141">
        <v>80.31</v>
      </c>
      <c r="AE141">
        <v>45.76</v>
      </c>
      <c r="AF141">
        <v>19.57</v>
      </c>
    </row>
    <row r="142" spans="1:32" x14ac:dyDescent="0.35">
      <c r="A142">
        <v>139</v>
      </c>
      <c r="B142">
        <v>6.1120000000000001</v>
      </c>
      <c r="C142">
        <v>6.58</v>
      </c>
      <c r="D142">
        <v>19.57</v>
      </c>
      <c r="E142">
        <f t="shared" si="24"/>
        <v>6.1120000000000001</v>
      </c>
      <c r="F142">
        <f t="shared" si="25"/>
        <v>46.06</v>
      </c>
      <c r="G142">
        <f t="shared" si="26"/>
        <v>19.57</v>
      </c>
      <c r="H142">
        <f t="shared" si="27"/>
        <v>639</v>
      </c>
      <c r="I142">
        <f t="shared" si="28"/>
        <v>79.459999999999994</v>
      </c>
      <c r="J142">
        <f t="shared" si="29"/>
        <v>6.58</v>
      </c>
      <c r="K142">
        <f t="shared" si="30"/>
        <v>19.57</v>
      </c>
      <c r="L142">
        <f t="shared" si="31"/>
        <v>1139</v>
      </c>
      <c r="O142">
        <v>639</v>
      </c>
      <c r="P142">
        <v>6.1120000000000001</v>
      </c>
      <c r="Q142">
        <v>46.06</v>
      </c>
      <c r="R142">
        <v>19.57</v>
      </c>
      <c r="S142">
        <f t="shared" si="32"/>
        <v>79.459999999999994</v>
      </c>
      <c r="T142">
        <f t="shared" si="33"/>
        <v>46.06</v>
      </c>
      <c r="U142">
        <f t="shared" si="34"/>
        <v>19.57</v>
      </c>
      <c r="V142">
        <f t="shared" si="35"/>
        <v>1639</v>
      </c>
      <c r="X142">
        <v>1139</v>
      </c>
      <c r="Y142">
        <v>79.459999999999994</v>
      </c>
      <c r="Z142">
        <v>6.58</v>
      </c>
      <c r="AA142">
        <v>19.57</v>
      </c>
      <c r="AC142">
        <v>1639</v>
      </c>
      <c r="AD142">
        <v>79.459999999999994</v>
      </c>
      <c r="AE142">
        <v>46.06</v>
      </c>
      <c r="AF142">
        <v>19.57</v>
      </c>
    </row>
    <row r="143" spans="1:32" x14ac:dyDescent="0.35">
      <c r="A143">
        <v>140</v>
      </c>
      <c r="B143">
        <v>5.2619999999999996</v>
      </c>
      <c r="C143">
        <v>6.88</v>
      </c>
      <c r="D143">
        <v>19.57</v>
      </c>
      <c r="E143">
        <f t="shared" si="24"/>
        <v>5.2619999999999996</v>
      </c>
      <c r="F143">
        <f t="shared" si="25"/>
        <v>45.76</v>
      </c>
      <c r="G143">
        <f t="shared" si="26"/>
        <v>19.57</v>
      </c>
      <c r="H143">
        <f t="shared" si="27"/>
        <v>635</v>
      </c>
      <c r="I143">
        <f t="shared" si="28"/>
        <v>80.31</v>
      </c>
      <c r="J143">
        <f t="shared" si="29"/>
        <v>6.88</v>
      </c>
      <c r="K143">
        <f t="shared" si="30"/>
        <v>19.57</v>
      </c>
      <c r="L143">
        <f t="shared" si="31"/>
        <v>1143</v>
      </c>
      <c r="O143">
        <v>640</v>
      </c>
      <c r="P143">
        <v>5.2619999999999996</v>
      </c>
      <c r="Q143">
        <v>46.36</v>
      </c>
      <c r="R143">
        <v>19.57</v>
      </c>
      <c r="S143">
        <f t="shared" si="32"/>
        <v>80.31</v>
      </c>
      <c r="T143">
        <f t="shared" si="33"/>
        <v>46.36</v>
      </c>
      <c r="U143">
        <f t="shared" si="34"/>
        <v>19.57</v>
      </c>
      <c r="V143">
        <f t="shared" si="35"/>
        <v>1643</v>
      </c>
      <c r="X143">
        <v>1140</v>
      </c>
      <c r="Y143">
        <v>78.61</v>
      </c>
      <c r="Z143">
        <v>6.88</v>
      </c>
      <c r="AA143">
        <v>19.57</v>
      </c>
      <c r="AC143">
        <v>1640</v>
      </c>
      <c r="AD143">
        <v>78.61</v>
      </c>
      <c r="AE143">
        <v>46.36</v>
      </c>
      <c r="AF143">
        <v>19.57</v>
      </c>
    </row>
    <row r="144" spans="1:32" x14ac:dyDescent="0.35">
      <c r="A144">
        <v>141</v>
      </c>
      <c r="B144">
        <v>5.6619999999999999</v>
      </c>
      <c r="C144">
        <v>6.88</v>
      </c>
      <c r="D144">
        <v>19.57</v>
      </c>
      <c r="E144">
        <f t="shared" si="24"/>
        <v>5.6619999999999999</v>
      </c>
      <c r="F144">
        <f t="shared" si="25"/>
        <v>45.76</v>
      </c>
      <c r="G144">
        <f t="shared" si="26"/>
        <v>19.57</v>
      </c>
      <c r="H144">
        <f t="shared" si="27"/>
        <v>636</v>
      </c>
      <c r="I144">
        <f t="shared" si="28"/>
        <v>79.91</v>
      </c>
      <c r="J144">
        <f t="shared" si="29"/>
        <v>6.88</v>
      </c>
      <c r="K144">
        <f t="shared" si="30"/>
        <v>19.57</v>
      </c>
      <c r="L144">
        <f t="shared" si="31"/>
        <v>1142</v>
      </c>
      <c r="O144">
        <v>641</v>
      </c>
      <c r="P144">
        <v>5.6619999999999999</v>
      </c>
      <c r="Q144">
        <v>46.36</v>
      </c>
      <c r="R144">
        <v>19.57</v>
      </c>
      <c r="S144">
        <f t="shared" si="32"/>
        <v>79.91</v>
      </c>
      <c r="T144">
        <f t="shared" si="33"/>
        <v>46.36</v>
      </c>
      <c r="U144">
        <f t="shared" si="34"/>
        <v>19.57</v>
      </c>
      <c r="V144">
        <f t="shared" si="35"/>
        <v>1642</v>
      </c>
      <c r="X144">
        <v>1141</v>
      </c>
      <c r="Y144">
        <v>79.010000000000005</v>
      </c>
      <c r="Z144">
        <v>6.88</v>
      </c>
      <c r="AA144">
        <v>19.57</v>
      </c>
      <c r="AC144">
        <v>1641</v>
      </c>
      <c r="AD144">
        <v>79.010000000000005</v>
      </c>
      <c r="AE144">
        <v>46.36</v>
      </c>
      <c r="AF144">
        <v>19.57</v>
      </c>
    </row>
    <row r="145" spans="1:32" x14ac:dyDescent="0.35">
      <c r="A145">
        <v>142</v>
      </c>
      <c r="B145">
        <v>6.5620000000000003</v>
      </c>
      <c r="C145">
        <v>6.88</v>
      </c>
      <c r="D145">
        <v>19.57</v>
      </c>
      <c r="E145">
        <f t="shared" si="24"/>
        <v>6.5620000000000003</v>
      </c>
      <c r="F145">
        <f t="shared" si="25"/>
        <v>45.76</v>
      </c>
      <c r="G145">
        <f t="shared" si="26"/>
        <v>19.57</v>
      </c>
      <c r="H145">
        <f t="shared" si="27"/>
        <v>637</v>
      </c>
      <c r="I145">
        <f t="shared" si="28"/>
        <v>79.010000000000005</v>
      </c>
      <c r="J145">
        <f t="shared" si="29"/>
        <v>6.88</v>
      </c>
      <c r="K145">
        <f t="shared" si="30"/>
        <v>19.57</v>
      </c>
      <c r="L145">
        <f t="shared" si="31"/>
        <v>1141</v>
      </c>
      <c r="O145">
        <v>642</v>
      </c>
      <c r="P145">
        <v>6.5620000000000003</v>
      </c>
      <c r="Q145">
        <v>46.36</v>
      </c>
      <c r="R145">
        <v>19.57</v>
      </c>
      <c r="S145">
        <f t="shared" si="32"/>
        <v>79.010000000000005</v>
      </c>
      <c r="T145">
        <f t="shared" si="33"/>
        <v>46.36</v>
      </c>
      <c r="U145">
        <f t="shared" si="34"/>
        <v>19.57</v>
      </c>
      <c r="V145">
        <f t="shared" si="35"/>
        <v>1641</v>
      </c>
      <c r="X145">
        <v>1142</v>
      </c>
      <c r="Y145">
        <v>79.91</v>
      </c>
      <c r="Z145">
        <v>6.88</v>
      </c>
      <c r="AA145">
        <v>19.57</v>
      </c>
      <c r="AC145">
        <v>1642</v>
      </c>
      <c r="AD145">
        <v>79.91</v>
      </c>
      <c r="AE145">
        <v>46.36</v>
      </c>
      <c r="AF145">
        <v>19.57</v>
      </c>
    </row>
    <row r="146" spans="1:32" x14ac:dyDescent="0.35">
      <c r="A146">
        <v>143</v>
      </c>
      <c r="B146">
        <v>6.9619999999999997</v>
      </c>
      <c r="C146">
        <v>6.88</v>
      </c>
      <c r="D146">
        <v>19.57</v>
      </c>
      <c r="E146">
        <f t="shared" si="24"/>
        <v>6.9619999999999997</v>
      </c>
      <c r="F146">
        <f t="shared" si="25"/>
        <v>45.76</v>
      </c>
      <c r="G146">
        <f t="shared" si="26"/>
        <v>19.57</v>
      </c>
      <c r="H146">
        <f t="shared" si="27"/>
        <v>638</v>
      </c>
      <c r="I146">
        <f t="shared" si="28"/>
        <v>78.61</v>
      </c>
      <c r="J146">
        <f t="shared" si="29"/>
        <v>6.88</v>
      </c>
      <c r="K146">
        <f t="shared" si="30"/>
        <v>19.57</v>
      </c>
      <c r="L146">
        <f t="shared" si="31"/>
        <v>1140</v>
      </c>
      <c r="O146">
        <v>643</v>
      </c>
      <c r="P146">
        <v>6.9619999999999997</v>
      </c>
      <c r="Q146">
        <v>46.36</v>
      </c>
      <c r="R146">
        <v>19.57</v>
      </c>
      <c r="S146">
        <f t="shared" si="32"/>
        <v>78.61</v>
      </c>
      <c r="T146">
        <f t="shared" si="33"/>
        <v>46.36</v>
      </c>
      <c r="U146">
        <f t="shared" si="34"/>
        <v>19.57</v>
      </c>
      <c r="V146">
        <f t="shared" si="35"/>
        <v>1640</v>
      </c>
      <c r="X146">
        <v>1143</v>
      </c>
      <c r="Y146">
        <v>80.31</v>
      </c>
      <c r="Z146">
        <v>6.88</v>
      </c>
      <c r="AA146">
        <v>19.57</v>
      </c>
      <c r="AC146">
        <v>1643</v>
      </c>
      <c r="AD146">
        <v>80.31</v>
      </c>
      <c r="AE146">
        <v>46.36</v>
      </c>
      <c r="AF146">
        <v>19.57</v>
      </c>
    </row>
    <row r="147" spans="1:32" x14ac:dyDescent="0.35">
      <c r="A147">
        <v>144</v>
      </c>
      <c r="B147">
        <v>5.2619999999999996</v>
      </c>
      <c r="C147">
        <v>0</v>
      </c>
      <c r="D147">
        <v>19.87</v>
      </c>
      <c r="E147">
        <f t="shared" si="24"/>
        <v>5.2619999999999996</v>
      </c>
      <c r="F147">
        <f t="shared" si="25"/>
        <v>52.64</v>
      </c>
      <c r="G147">
        <f t="shared" si="26"/>
        <v>19.87</v>
      </c>
      <c r="H147">
        <f t="shared" si="27"/>
        <v>666</v>
      </c>
      <c r="I147">
        <f t="shared" si="28"/>
        <v>80.31</v>
      </c>
      <c r="J147">
        <f t="shared" si="29"/>
        <v>0</v>
      </c>
      <c r="K147">
        <f t="shared" si="30"/>
        <v>19.87</v>
      </c>
      <c r="L147">
        <f t="shared" si="31"/>
        <v>1145</v>
      </c>
      <c r="O147">
        <v>644</v>
      </c>
      <c r="P147">
        <v>5.2619999999999996</v>
      </c>
      <c r="Q147">
        <v>39.479999999999997</v>
      </c>
      <c r="R147">
        <v>19.87</v>
      </c>
      <c r="S147">
        <f t="shared" si="32"/>
        <v>80.31</v>
      </c>
      <c r="T147">
        <f t="shared" si="33"/>
        <v>39.479999999999997</v>
      </c>
      <c r="U147">
        <f t="shared" si="34"/>
        <v>19.87</v>
      </c>
      <c r="V147">
        <f t="shared" si="35"/>
        <v>1645</v>
      </c>
      <c r="X147">
        <v>1144</v>
      </c>
      <c r="Y147">
        <v>78.61</v>
      </c>
      <c r="Z147">
        <v>0</v>
      </c>
      <c r="AA147">
        <v>19.87</v>
      </c>
      <c r="AC147">
        <v>1644</v>
      </c>
      <c r="AD147">
        <v>78.61</v>
      </c>
      <c r="AE147">
        <v>39.479999999999997</v>
      </c>
      <c r="AF147">
        <v>19.87</v>
      </c>
    </row>
    <row r="148" spans="1:32" x14ac:dyDescent="0.35">
      <c r="A148">
        <v>145</v>
      </c>
      <c r="B148">
        <v>6.9619999999999997</v>
      </c>
      <c r="C148">
        <v>0</v>
      </c>
      <c r="D148">
        <v>19.87</v>
      </c>
      <c r="E148">
        <f t="shared" si="24"/>
        <v>6.9619999999999997</v>
      </c>
      <c r="F148">
        <f t="shared" si="25"/>
        <v>52.64</v>
      </c>
      <c r="G148">
        <f t="shared" si="26"/>
        <v>19.87</v>
      </c>
      <c r="H148">
        <f t="shared" si="27"/>
        <v>667</v>
      </c>
      <c r="I148">
        <f t="shared" si="28"/>
        <v>78.61</v>
      </c>
      <c r="J148">
        <f t="shared" si="29"/>
        <v>0</v>
      </c>
      <c r="K148">
        <f t="shared" si="30"/>
        <v>19.87</v>
      </c>
      <c r="L148">
        <f t="shared" si="31"/>
        <v>1144</v>
      </c>
      <c r="O148">
        <v>645</v>
      </c>
      <c r="P148">
        <v>6.9619999999999997</v>
      </c>
      <c r="Q148">
        <v>39.479999999999997</v>
      </c>
      <c r="R148">
        <v>19.87</v>
      </c>
      <c r="S148">
        <f t="shared" si="32"/>
        <v>78.61</v>
      </c>
      <c r="T148">
        <f t="shared" si="33"/>
        <v>39.479999999999997</v>
      </c>
      <c r="U148">
        <f t="shared" si="34"/>
        <v>19.87</v>
      </c>
      <c r="V148">
        <f t="shared" si="35"/>
        <v>1644</v>
      </c>
      <c r="X148">
        <v>1145</v>
      </c>
      <c r="Y148">
        <v>80.31</v>
      </c>
      <c r="Z148">
        <v>0</v>
      </c>
      <c r="AA148">
        <v>19.87</v>
      </c>
      <c r="AC148">
        <v>1645</v>
      </c>
      <c r="AD148">
        <v>80.31</v>
      </c>
      <c r="AE148">
        <v>39.479999999999997</v>
      </c>
      <c r="AF148">
        <v>19.87</v>
      </c>
    </row>
    <row r="149" spans="1:32" x14ac:dyDescent="0.35">
      <c r="A149">
        <v>146</v>
      </c>
      <c r="B149">
        <v>5.2619999999999996</v>
      </c>
      <c r="C149">
        <v>0.4</v>
      </c>
      <c r="D149">
        <v>19.87</v>
      </c>
      <c r="E149">
        <f t="shared" si="24"/>
        <v>5.2619999999999996</v>
      </c>
      <c r="F149">
        <f t="shared" si="25"/>
        <v>52.24</v>
      </c>
      <c r="G149">
        <f t="shared" si="26"/>
        <v>19.87</v>
      </c>
      <c r="H149">
        <f t="shared" si="27"/>
        <v>664</v>
      </c>
      <c r="I149">
        <f t="shared" si="28"/>
        <v>80.31</v>
      </c>
      <c r="J149">
        <f t="shared" si="29"/>
        <v>0.4</v>
      </c>
      <c r="K149">
        <f t="shared" si="30"/>
        <v>19.87</v>
      </c>
      <c r="L149">
        <f t="shared" si="31"/>
        <v>1147</v>
      </c>
      <c r="O149">
        <v>646</v>
      </c>
      <c r="P149">
        <v>5.2619999999999996</v>
      </c>
      <c r="Q149">
        <v>39.880000000000003</v>
      </c>
      <c r="R149">
        <v>19.87</v>
      </c>
      <c r="S149">
        <f t="shared" si="32"/>
        <v>80.31</v>
      </c>
      <c r="T149">
        <f t="shared" si="33"/>
        <v>39.880000000000003</v>
      </c>
      <c r="U149">
        <f t="shared" si="34"/>
        <v>19.87</v>
      </c>
      <c r="V149">
        <f t="shared" si="35"/>
        <v>1647</v>
      </c>
      <c r="X149">
        <v>1146</v>
      </c>
      <c r="Y149">
        <v>78.61</v>
      </c>
      <c r="Z149">
        <v>0.4</v>
      </c>
      <c r="AA149">
        <v>19.87</v>
      </c>
      <c r="AC149">
        <v>1646</v>
      </c>
      <c r="AD149">
        <v>78.61</v>
      </c>
      <c r="AE149">
        <v>39.880000000000003</v>
      </c>
      <c r="AF149">
        <v>19.87</v>
      </c>
    </row>
    <row r="150" spans="1:32" x14ac:dyDescent="0.35">
      <c r="A150">
        <v>147</v>
      </c>
      <c r="B150">
        <v>6.9619999999999997</v>
      </c>
      <c r="C150">
        <v>0.4</v>
      </c>
      <c r="D150">
        <v>19.87</v>
      </c>
      <c r="E150">
        <f t="shared" si="24"/>
        <v>6.9619999999999997</v>
      </c>
      <c r="F150">
        <f t="shared" si="25"/>
        <v>52.24</v>
      </c>
      <c r="G150">
        <f t="shared" si="26"/>
        <v>19.87</v>
      </c>
      <c r="H150">
        <f t="shared" si="27"/>
        <v>665</v>
      </c>
      <c r="I150">
        <f t="shared" si="28"/>
        <v>78.61</v>
      </c>
      <c r="J150">
        <f t="shared" si="29"/>
        <v>0.4</v>
      </c>
      <c r="K150">
        <f t="shared" si="30"/>
        <v>19.87</v>
      </c>
      <c r="L150">
        <f t="shared" si="31"/>
        <v>1146</v>
      </c>
      <c r="O150">
        <v>647</v>
      </c>
      <c r="P150">
        <v>6.9619999999999997</v>
      </c>
      <c r="Q150">
        <v>39.880000000000003</v>
      </c>
      <c r="R150">
        <v>19.87</v>
      </c>
      <c r="S150">
        <f t="shared" si="32"/>
        <v>78.61</v>
      </c>
      <c r="T150">
        <f t="shared" si="33"/>
        <v>39.880000000000003</v>
      </c>
      <c r="U150">
        <f t="shared" si="34"/>
        <v>19.87</v>
      </c>
      <c r="V150">
        <f t="shared" si="35"/>
        <v>1646</v>
      </c>
      <c r="X150">
        <v>1147</v>
      </c>
      <c r="Y150">
        <v>80.31</v>
      </c>
      <c r="Z150">
        <v>0.4</v>
      </c>
      <c r="AA150">
        <v>19.87</v>
      </c>
      <c r="AC150">
        <v>1647</v>
      </c>
      <c r="AD150">
        <v>80.31</v>
      </c>
      <c r="AE150">
        <v>39.880000000000003</v>
      </c>
      <c r="AF150">
        <v>19.87</v>
      </c>
    </row>
    <row r="151" spans="1:32" x14ac:dyDescent="0.35">
      <c r="A151">
        <v>148</v>
      </c>
      <c r="B151">
        <v>5.2619999999999996</v>
      </c>
      <c r="C151">
        <v>2.06</v>
      </c>
      <c r="D151">
        <v>19.87</v>
      </c>
      <c r="E151">
        <f t="shared" si="24"/>
        <v>5.2619999999999996</v>
      </c>
      <c r="F151">
        <f t="shared" si="25"/>
        <v>50.58</v>
      </c>
      <c r="G151">
        <f t="shared" si="26"/>
        <v>19.87</v>
      </c>
      <c r="H151">
        <f t="shared" si="27"/>
        <v>662</v>
      </c>
      <c r="I151">
        <f t="shared" si="28"/>
        <v>80.31</v>
      </c>
      <c r="J151">
        <f t="shared" si="29"/>
        <v>2.06</v>
      </c>
      <c r="K151">
        <f t="shared" si="30"/>
        <v>19.87</v>
      </c>
      <c r="L151">
        <f t="shared" si="31"/>
        <v>1149</v>
      </c>
      <c r="O151">
        <v>648</v>
      </c>
      <c r="P151">
        <v>5.2619999999999996</v>
      </c>
      <c r="Q151">
        <v>41.54</v>
      </c>
      <c r="R151">
        <v>19.87</v>
      </c>
      <c r="S151">
        <f t="shared" si="32"/>
        <v>80.31</v>
      </c>
      <c r="T151">
        <f t="shared" si="33"/>
        <v>41.54</v>
      </c>
      <c r="U151">
        <f t="shared" si="34"/>
        <v>19.87</v>
      </c>
      <c r="V151">
        <f t="shared" si="35"/>
        <v>1649</v>
      </c>
      <c r="X151">
        <v>1148</v>
      </c>
      <c r="Y151">
        <v>78.61</v>
      </c>
      <c r="Z151">
        <v>2.06</v>
      </c>
      <c r="AA151">
        <v>19.87</v>
      </c>
      <c r="AC151">
        <v>1648</v>
      </c>
      <c r="AD151">
        <v>78.61</v>
      </c>
      <c r="AE151">
        <v>41.54</v>
      </c>
      <c r="AF151">
        <v>19.87</v>
      </c>
    </row>
    <row r="152" spans="1:32" x14ac:dyDescent="0.35">
      <c r="A152">
        <v>149</v>
      </c>
      <c r="B152">
        <v>6.9619999999999997</v>
      </c>
      <c r="C152">
        <v>2.06</v>
      </c>
      <c r="D152">
        <v>19.87</v>
      </c>
      <c r="E152">
        <f t="shared" si="24"/>
        <v>6.9619999999999997</v>
      </c>
      <c r="F152">
        <f t="shared" si="25"/>
        <v>50.58</v>
      </c>
      <c r="G152">
        <f t="shared" si="26"/>
        <v>19.87</v>
      </c>
      <c r="H152">
        <f t="shared" si="27"/>
        <v>663</v>
      </c>
      <c r="I152">
        <f t="shared" si="28"/>
        <v>78.61</v>
      </c>
      <c r="J152">
        <f t="shared" si="29"/>
        <v>2.06</v>
      </c>
      <c r="K152">
        <f t="shared" si="30"/>
        <v>19.87</v>
      </c>
      <c r="L152">
        <f t="shared" si="31"/>
        <v>1148</v>
      </c>
      <c r="O152">
        <v>649</v>
      </c>
      <c r="P152">
        <v>6.9619999999999997</v>
      </c>
      <c r="Q152">
        <v>41.54</v>
      </c>
      <c r="R152">
        <v>19.87</v>
      </c>
      <c r="S152">
        <f t="shared" si="32"/>
        <v>78.61</v>
      </c>
      <c r="T152">
        <f t="shared" si="33"/>
        <v>41.54</v>
      </c>
      <c r="U152">
        <f t="shared" si="34"/>
        <v>19.87</v>
      </c>
      <c r="V152">
        <f t="shared" si="35"/>
        <v>1648</v>
      </c>
      <c r="X152">
        <v>1149</v>
      </c>
      <c r="Y152">
        <v>80.31</v>
      </c>
      <c r="Z152">
        <v>2.06</v>
      </c>
      <c r="AA152">
        <v>19.87</v>
      </c>
      <c r="AC152">
        <v>1649</v>
      </c>
      <c r="AD152">
        <v>80.31</v>
      </c>
      <c r="AE152">
        <v>41.54</v>
      </c>
      <c r="AF152">
        <v>19.87</v>
      </c>
    </row>
    <row r="153" spans="1:32" x14ac:dyDescent="0.35">
      <c r="A153">
        <v>150</v>
      </c>
      <c r="B153">
        <v>5.2619999999999996</v>
      </c>
      <c r="C153">
        <v>3.72</v>
      </c>
      <c r="D153">
        <v>19.87</v>
      </c>
      <c r="E153">
        <f t="shared" si="24"/>
        <v>5.2619999999999996</v>
      </c>
      <c r="F153">
        <f t="shared" si="25"/>
        <v>48.92</v>
      </c>
      <c r="G153">
        <f t="shared" si="26"/>
        <v>19.87</v>
      </c>
      <c r="H153">
        <f t="shared" si="27"/>
        <v>660</v>
      </c>
      <c r="I153">
        <f t="shared" si="28"/>
        <v>80.31</v>
      </c>
      <c r="J153">
        <f t="shared" si="29"/>
        <v>3.72</v>
      </c>
      <c r="K153">
        <f t="shared" si="30"/>
        <v>19.87</v>
      </c>
      <c r="L153">
        <f t="shared" si="31"/>
        <v>1151</v>
      </c>
      <c r="O153">
        <v>650</v>
      </c>
      <c r="P153">
        <v>5.2619999999999996</v>
      </c>
      <c r="Q153">
        <v>43.2</v>
      </c>
      <c r="R153">
        <v>19.87</v>
      </c>
      <c r="S153">
        <f t="shared" si="32"/>
        <v>80.31</v>
      </c>
      <c r="T153">
        <f t="shared" si="33"/>
        <v>43.2</v>
      </c>
      <c r="U153">
        <f t="shared" si="34"/>
        <v>19.87</v>
      </c>
      <c r="V153">
        <f t="shared" si="35"/>
        <v>1651</v>
      </c>
      <c r="X153">
        <v>1150</v>
      </c>
      <c r="Y153">
        <v>78.61</v>
      </c>
      <c r="Z153">
        <v>3.72</v>
      </c>
      <c r="AA153">
        <v>19.87</v>
      </c>
      <c r="AC153">
        <v>1650</v>
      </c>
      <c r="AD153">
        <v>78.61</v>
      </c>
      <c r="AE153">
        <v>43.2</v>
      </c>
      <c r="AF153">
        <v>19.87</v>
      </c>
    </row>
    <row r="154" spans="1:32" x14ac:dyDescent="0.35">
      <c r="A154">
        <v>151</v>
      </c>
      <c r="B154">
        <v>6.9619999999999997</v>
      </c>
      <c r="C154">
        <v>3.72</v>
      </c>
      <c r="D154">
        <v>19.87</v>
      </c>
      <c r="E154">
        <f t="shared" si="24"/>
        <v>6.9619999999999997</v>
      </c>
      <c r="F154">
        <f t="shared" si="25"/>
        <v>48.92</v>
      </c>
      <c r="G154">
        <f t="shared" si="26"/>
        <v>19.87</v>
      </c>
      <c r="H154">
        <f t="shared" si="27"/>
        <v>661</v>
      </c>
      <c r="I154">
        <f t="shared" si="28"/>
        <v>78.61</v>
      </c>
      <c r="J154">
        <f t="shared" si="29"/>
        <v>3.72</v>
      </c>
      <c r="K154">
        <f t="shared" si="30"/>
        <v>19.87</v>
      </c>
      <c r="L154">
        <f t="shared" si="31"/>
        <v>1150</v>
      </c>
      <c r="O154">
        <v>651</v>
      </c>
      <c r="P154">
        <v>6.9619999999999997</v>
      </c>
      <c r="Q154">
        <v>43.2</v>
      </c>
      <c r="R154">
        <v>19.87</v>
      </c>
      <c r="S154">
        <f t="shared" si="32"/>
        <v>78.61</v>
      </c>
      <c r="T154">
        <f t="shared" si="33"/>
        <v>43.2</v>
      </c>
      <c r="U154">
        <f t="shared" si="34"/>
        <v>19.87</v>
      </c>
      <c r="V154">
        <f t="shared" si="35"/>
        <v>1650</v>
      </c>
      <c r="X154">
        <v>1151</v>
      </c>
      <c r="Y154">
        <v>80.31</v>
      </c>
      <c r="Z154">
        <v>3.72</v>
      </c>
      <c r="AA154">
        <v>19.87</v>
      </c>
      <c r="AC154">
        <v>1651</v>
      </c>
      <c r="AD154">
        <v>80.31</v>
      </c>
      <c r="AE154">
        <v>43.2</v>
      </c>
      <c r="AF154">
        <v>19.87</v>
      </c>
    </row>
    <row r="155" spans="1:32" x14ac:dyDescent="0.35">
      <c r="A155">
        <v>152</v>
      </c>
      <c r="B155">
        <v>5.2619999999999996</v>
      </c>
      <c r="C155">
        <v>5.38</v>
      </c>
      <c r="D155">
        <v>19.87</v>
      </c>
      <c r="E155">
        <f t="shared" si="24"/>
        <v>5.2619999999999996</v>
      </c>
      <c r="F155">
        <f t="shared" si="25"/>
        <v>47.26</v>
      </c>
      <c r="G155">
        <f t="shared" si="26"/>
        <v>19.87</v>
      </c>
      <c r="H155">
        <f t="shared" si="27"/>
        <v>658</v>
      </c>
      <c r="I155">
        <f t="shared" si="28"/>
        <v>80.31</v>
      </c>
      <c r="J155">
        <f t="shared" si="29"/>
        <v>5.38</v>
      </c>
      <c r="K155">
        <f t="shared" si="30"/>
        <v>19.87</v>
      </c>
      <c r="L155">
        <f t="shared" si="31"/>
        <v>1153</v>
      </c>
      <c r="O155">
        <v>652</v>
      </c>
      <c r="P155">
        <v>5.2619999999999996</v>
      </c>
      <c r="Q155">
        <v>44.86</v>
      </c>
      <c r="R155">
        <v>19.87</v>
      </c>
      <c r="S155">
        <f t="shared" si="32"/>
        <v>80.31</v>
      </c>
      <c r="T155">
        <f t="shared" si="33"/>
        <v>44.86</v>
      </c>
      <c r="U155">
        <f t="shared" si="34"/>
        <v>19.87</v>
      </c>
      <c r="V155">
        <f t="shared" si="35"/>
        <v>1653</v>
      </c>
      <c r="X155">
        <v>1152</v>
      </c>
      <c r="Y155">
        <v>78.61</v>
      </c>
      <c r="Z155">
        <v>5.38</v>
      </c>
      <c r="AA155">
        <v>19.87</v>
      </c>
      <c r="AC155">
        <v>1652</v>
      </c>
      <c r="AD155">
        <v>78.61</v>
      </c>
      <c r="AE155">
        <v>44.86</v>
      </c>
      <c r="AF155">
        <v>19.87</v>
      </c>
    </row>
    <row r="156" spans="1:32" x14ac:dyDescent="0.35">
      <c r="A156">
        <v>153</v>
      </c>
      <c r="B156">
        <v>6.9619999999999997</v>
      </c>
      <c r="C156">
        <v>5.38</v>
      </c>
      <c r="D156">
        <v>19.87</v>
      </c>
      <c r="E156">
        <f t="shared" si="24"/>
        <v>6.9619999999999997</v>
      </c>
      <c r="F156">
        <f t="shared" si="25"/>
        <v>47.26</v>
      </c>
      <c r="G156">
        <f t="shared" si="26"/>
        <v>19.87</v>
      </c>
      <c r="H156">
        <f t="shared" si="27"/>
        <v>659</v>
      </c>
      <c r="I156">
        <f t="shared" si="28"/>
        <v>78.61</v>
      </c>
      <c r="J156">
        <f t="shared" si="29"/>
        <v>5.38</v>
      </c>
      <c r="K156">
        <f t="shared" si="30"/>
        <v>19.87</v>
      </c>
      <c r="L156">
        <f t="shared" si="31"/>
        <v>1152</v>
      </c>
      <c r="O156">
        <v>653</v>
      </c>
      <c r="P156">
        <v>6.9619999999999997</v>
      </c>
      <c r="Q156">
        <v>44.86</v>
      </c>
      <c r="R156">
        <v>19.87</v>
      </c>
      <c r="S156">
        <f t="shared" si="32"/>
        <v>78.61</v>
      </c>
      <c r="T156">
        <f t="shared" si="33"/>
        <v>44.86</v>
      </c>
      <c r="U156">
        <f t="shared" si="34"/>
        <v>19.87</v>
      </c>
      <c r="V156">
        <f t="shared" si="35"/>
        <v>1652</v>
      </c>
      <c r="X156">
        <v>1153</v>
      </c>
      <c r="Y156">
        <v>80.31</v>
      </c>
      <c r="Z156">
        <v>5.38</v>
      </c>
      <c r="AA156">
        <v>19.87</v>
      </c>
      <c r="AC156">
        <v>1653</v>
      </c>
      <c r="AD156">
        <v>80.31</v>
      </c>
      <c r="AE156">
        <v>44.86</v>
      </c>
      <c r="AF156">
        <v>19.87</v>
      </c>
    </row>
    <row r="157" spans="1:32" x14ac:dyDescent="0.35">
      <c r="A157">
        <v>154</v>
      </c>
      <c r="B157">
        <v>5.2619999999999996</v>
      </c>
      <c r="C157">
        <v>6.28</v>
      </c>
      <c r="D157">
        <v>19.87</v>
      </c>
      <c r="E157">
        <f t="shared" si="24"/>
        <v>5.2619999999999996</v>
      </c>
      <c r="F157">
        <f t="shared" si="25"/>
        <v>46.36</v>
      </c>
      <c r="G157">
        <f t="shared" si="26"/>
        <v>19.87</v>
      </c>
      <c r="H157">
        <f t="shared" si="27"/>
        <v>656</v>
      </c>
      <c r="I157">
        <f t="shared" si="28"/>
        <v>80.31</v>
      </c>
      <c r="J157">
        <f t="shared" si="29"/>
        <v>6.28</v>
      </c>
      <c r="K157">
        <f t="shared" si="30"/>
        <v>19.87</v>
      </c>
      <c r="L157">
        <f t="shared" si="31"/>
        <v>1155</v>
      </c>
      <c r="O157">
        <v>654</v>
      </c>
      <c r="P157">
        <v>5.2619999999999996</v>
      </c>
      <c r="Q157">
        <v>45.76</v>
      </c>
      <c r="R157">
        <v>19.87</v>
      </c>
      <c r="S157">
        <f t="shared" si="32"/>
        <v>80.31</v>
      </c>
      <c r="T157">
        <f t="shared" si="33"/>
        <v>45.76</v>
      </c>
      <c r="U157">
        <f t="shared" si="34"/>
        <v>19.87</v>
      </c>
      <c r="V157">
        <f t="shared" si="35"/>
        <v>1655</v>
      </c>
      <c r="X157">
        <v>1154</v>
      </c>
      <c r="Y157">
        <v>78.61</v>
      </c>
      <c r="Z157">
        <v>6.28</v>
      </c>
      <c r="AA157">
        <v>19.87</v>
      </c>
      <c r="AC157">
        <v>1654</v>
      </c>
      <c r="AD157">
        <v>78.61</v>
      </c>
      <c r="AE157">
        <v>45.76</v>
      </c>
      <c r="AF157">
        <v>19.87</v>
      </c>
    </row>
    <row r="158" spans="1:32" x14ac:dyDescent="0.35">
      <c r="A158">
        <v>155</v>
      </c>
      <c r="B158">
        <v>6.9619999999999997</v>
      </c>
      <c r="C158">
        <v>6.28</v>
      </c>
      <c r="D158">
        <v>19.87</v>
      </c>
      <c r="E158">
        <f t="shared" si="24"/>
        <v>6.9619999999999997</v>
      </c>
      <c r="F158">
        <f t="shared" si="25"/>
        <v>46.36</v>
      </c>
      <c r="G158">
        <f t="shared" si="26"/>
        <v>19.87</v>
      </c>
      <c r="H158">
        <f t="shared" si="27"/>
        <v>657</v>
      </c>
      <c r="I158">
        <f t="shared" si="28"/>
        <v>78.61</v>
      </c>
      <c r="J158">
        <f t="shared" si="29"/>
        <v>6.28</v>
      </c>
      <c r="K158">
        <f t="shared" si="30"/>
        <v>19.87</v>
      </c>
      <c r="L158">
        <f t="shared" si="31"/>
        <v>1154</v>
      </c>
      <c r="O158">
        <v>655</v>
      </c>
      <c r="P158">
        <v>6.9619999999999997</v>
      </c>
      <c r="Q158">
        <v>45.76</v>
      </c>
      <c r="R158">
        <v>19.87</v>
      </c>
      <c r="S158">
        <f t="shared" si="32"/>
        <v>78.61</v>
      </c>
      <c r="T158">
        <f t="shared" si="33"/>
        <v>45.76</v>
      </c>
      <c r="U158">
        <f t="shared" si="34"/>
        <v>19.87</v>
      </c>
      <c r="V158">
        <f t="shared" si="35"/>
        <v>1654</v>
      </c>
      <c r="X158">
        <v>1155</v>
      </c>
      <c r="Y158">
        <v>80.31</v>
      </c>
      <c r="Z158">
        <v>6.28</v>
      </c>
      <c r="AA158">
        <v>19.87</v>
      </c>
      <c r="AC158">
        <v>1655</v>
      </c>
      <c r="AD158">
        <v>80.31</v>
      </c>
      <c r="AE158">
        <v>45.76</v>
      </c>
      <c r="AF158">
        <v>19.87</v>
      </c>
    </row>
    <row r="159" spans="1:32" x14ac:dyDescent="0.35">
      <c r="A159">
        <v>156</v>
      </c>
      <c r="B159">
        <v>5.2619999999999996</v>
      </c>
      <c r="C159">
        <v>6.88</v>
      </c>
      <c r="D159">
        <v>19.87</v>
      </c>
      <c r="E159">
        <f t="shared" si="24"/>
        <v>5.2619999999999996</v>
      </c>
      <c r="F159">
        <f t="shared" si="25"/>
        <v>45.76</v>
      </c>
      <c r="G159">
        <f t="shared" si="26"/>
        <v>19.87</v>
      </c>
      <c r="H159">
        <f t="shared" si="27"/>
        <v>654</v>
      </c>
      <c r="I159">
        <f t="shared" si="28"/>
        <v>80.31</v>
      </c>
      <c r="J159">
        <f t="shared" si="29"/>
        <v>6.88</v>
      </c>
      <c r="K159">
        <f t="shared" si="30"/>
        <v>19.87</v>
      </c>
      <c r="L159">
        <f t="shared" si="31"/>
        <v>1157</v>
      </c>
      <c r="O159">
        <v>656</v>
      </c>
      <c r="P159">
        <v>5.2619999999999996</v>
      </c>
      <c r="Q159">
        <v>46.36</v>
      </c>
      <c r="R159">
        <v>19.87</v>
      </c>
      <c r="S159">
        <f t="shared" si="32"/>
        <v>80.31</v>
      </c>
      <c r="T159">
        <f t="shared" si="33"/>
        <v>46.36</v>
      </c>
      <c r="U159">
        <f t="shared" si="34"/>
        <v>19.87</v>
      </c>
      <c r="V159">
        <f t="shared" si="35"/>
        <v>1657</v>
      </c>
      <c r="X159">
        <v>1156</v>
      </c>
      <c r="Y159">
        <v>78.61</v>
      </c>
      <c r="Z159">
        <v>6.88</v>
      </c>
      <c r="AA159">
        <v>19.87</v>
      </c>
      <c r="AC159">
        <v>1656</v>
      </c>
      <c r="AD159">
        <v>78.61</v>
      </c>
      <c r="AE159">
        <v>46.36</v>
      </c>
      <c r="AF159">
        <v>19.87</v>
      </c>
    </row>
    <row r="160" spans="1:32" x14ac:dyDescent="0.35">
      <c r="A160">
        <v>157</v>
      </c>
      <c r="B160">
        <v>6.9619999999999997</v>
      </c>
      <c r="C160">
        <v>6.88</v>
      </c>
      <c r="D160">
        <v>19.87</v>
      </c>
      <c r="E160">
        <f t="shared" si="24"/>
        <v>6.9619999999999997</v>
      </c>
      <c r="F160">
        <f t="shared" si="25"/>
        <v>45.76</v>
      </c>
      <c r="G160">
        <f t="shared" si="26"/>
        <v>19.87</v>
      </c>
      <c r="H160">
        <f t="shared" si="27"/>
        <v>655</v>
      </c>
      <c r="I160">
        <f t="shared" si="28"/>
        <v>78.61</v>
      </c>
      <c r="J160">
        <f t="shared" si="29"/>
        <v>6.88</v>
      </c>
      <c r="K160">
        <f t="shared" si="30"/>
        <v>19.87</v>
      </c>
      <c r="L160">
        <f t="shared" si="31"/>
        <v>1156</v>
      </c>
      <c r="O160">
        <v>657</v>
      </c>
      <c r="P160">
        <v>6.9619999999999997</v>
      </c>
      <c r="Q160">
        <v>46.36</v>
      </c>
      <c r="R160">
        <v>19.87</v>
      </c>
      <c r="S160">
        <f t="shared" si="32"/>
        <v>78.61</v>
      </c>
      <c r="T160">
        <f t="shared" si="33"/>
        <v>46.36</v>
      </c>
      <c r="U160">
        <f t="shared" si="34"/>
        <v>19.87</v>
      </c>
      <c r="V160">
        <f t="shared" si="35"/>
        <v>1656</v>
      </c>
      <c r="X160">
        <v>1157</v>
      </c>
      <c r="Y160">
        <v>80.31</v>
      </c>
      <c r="Z160">
        <v>6.88</v>
      </c>
      <c r="AA160">
        <v>19.87</v>
      </c>
      <c r="AC160">
        <v>1657</v>
      </c>
      <c r="AD160">
        <v>80.31</v>
      </c>
      <c r="AE160">
        <v>46.36</v>
      </c>
      <c r="AF160">
        <v>19.87</v>
      </c>
    </row>
    <row r="161" spans="1:32" x14ac:dyDescent="0.35">
      <c r="A161">
        <v>158</v>
      </c>
      <c r="B161">
        <v>5.2619999999999996</v>
      </c>
      <c r="C161">
        <v>7.78</v>
      </c>
      <c r="D161">
        <v>19.87</v>
      </c>
      <c r="E161">
        <f t="shared" si="24"/>
        <v>5.2619999999999996</v>
      </c>
      <c r="F161">
        <f t="shared" si="25"/>
        <v>44.86</v>
      </c>
      <c r="G161">
        <f t="shared" si="26"/>
        <v>19.87</v>
      </c>
      <c r="H161">
        <f t="shared" si="27"/>
        <v>652</v>
      </c>
      <c r="I161">
        <f t="shared" si="28"/>
        <v>80.31</v>
      </c>
      <c r="J161">
        <f t="shared" si="29"/>
        <v>7.78</v>
      </c>
      <c r="K161">
        <f t="shared" si="30"/>
        <v>19.87</v>
      </c>
      <c r="L161">
        <f t="shared" si="31"/>
        <v>1159</v>
      </c>
      <c r="O161">
        <v>658</v>
      </c>
      <c r="P161">
        <v>5.2619999999999996</v>
      </c>
      <c r="Q161">
        <v>47.26</v>
      </c>
      <c r="R161">
        <v>19.87</v>
      </c>
      <c r="S161">
        <f t="shared" si="32"/>
        <v>80.31</v>
      </c>
      <c r="T161">
        <f t="shared" si="33"/>
        <v>47.26</v>
      </c>
      <c r="U161">
        <f t="shared" si="34"/>
        <v>19.87</v>
      </c>
      <c r="V161">
        <f t="shared" si="35"/>
        <v>1659</v>
      </c>
      <c r="X161">
        <v>1158</v>
      </c>
      <c r="Y161">
        <v>78.61</v>
      </c>
      <c r="Z161">
        <v>7.78</v>
      </c>
      <c r="AA161">
        <v>19.87</v>
      </c>
      <c r="AC161">
        <v>1658</v>
      </c>
      <c r="AD161">
        <v>78.61</v>
      </c>
      <c r="AE161">
        <v>47.26</v>
      </c>
      <c r="AF161">
        <v>19.87</v>
      </c>
    </row>
    <row r="162" spans="1:32" x14ac:dyDescent="0.35">
      <c r="A162">
        <v>159</v>
      </c>
      <c r="B162">
        <v>6.9619999999999997</v>
      </c>
      <c r="C162">
        <v>7.78</v>
      </c>
      <c r="D162">
        <v>19.87</v>
      </c>
      <c r="E162">
        <f t="shared" si="24"/>
        <v>6.9619999999999997</v>
      </c>
      <c r="F162">
        <f t="shared" si="25"/>
        <v>44.86</v>
      </c>
      <c r="G162">
        <f t="shared" si="26"/>
        <v>19.87</v>
      </c>
      <c r="H162">
        <f t="shared" si="27"/>
        <v>653</v>
      </c>
      <c r="I162">
        <f t="shared" si="28"/>
        <v>78.61</v>
      </c>
      <c r="J162">
        <f t="shared" si="29"/>
        <v>7.78</v>
      </c>
      <c r="K162">
        <f t="shared" si="30"/>
        <v>19.87</v>
      </c>
      <c r="L162">
        <f t="shared" si="31"/>
        <v>1158</v>
      </c>
      <c r="O162">
        <v>659</v>
      </c>
      <c r="P162">
        <v>6.9619999999999997</v>
      </c>
      <c r="Q162">
        <v>47.26</v>
      </c>
      <c r="R162">
        <v>19.87</v>
      </c>
      <c r="S162">
        <f t="shared" si="32"/>
        <v>78.61</v>
      </c>
      <c r="T162">
        <f t="shared" si="33"/>
        <v>47.26</v>
      </c>
      <c r="U162">
        <f t="shared" si="34"/>
        <v>19.87</v>
      </c>
      <c r="V162">
        <f t="shared" si="35"/>
        <v>1658</v>
      </c>
      <c r="X162">
        <v>1159</v>
      </c>
      <c r="Y162">
        <v>80.31</v>
      </c>
      <c r="Z162">
        <v>7.78</v>
      </c>
      <c r="AA162">
        <v>19.87</v>
      </c>
      <c r="AC162">
        <v>1659</v>
      </c>
      <c r="AD162">
        <v>80.31</v>
      </c>
      <c r="AE162">
        <v>47.26</v>
      </c>
      <c r="AF162">
        <v>19.87</v>
      </c>
    </row>
    <row r="163" spans="1:32" x14ac:dyDescent="0.35">
      <c r="A163">
        <v>160</v>
      </c>
      <c r="B163">
        <v>5.2619999999999996</v>
      </c>
      <c r="C163">
        <v>9.44</v>
      </c>
      <c r="D163">
        <v>19.87</v>
      </c>
      <c r="E163">
        <f t="shared" si="24"/>
        <v>5.2619999999999996</v>
      </c>
      <c r="F163">
        <f t="shared" si="25"/>
        <v>43.2</v>
      </c>
      <c r="G163">
        <f t="shared" si="26"/>
        <v>19.87</v>
      </c>
      <c r="H163">
        <f t="shared" si="27"/>
        <v>650</v>
      </c>
      <c r="I163">
        <f t="shared" si="28"/>
        <v>80.31</v>
      </c>
      <c r="J163">
        <f t="shared" si="29"/>
        <v>9.44</v>
      </c>
      <c r="K163">
        <f t="shared" si="30"/>
        <v>19.87</v>
      </c>
      <c r="L163">
        <f t="shared" si="31"/>
        <v>1161</v>
      </c>
      <c r="O163">
        <v>660</v>
      </c>
      <c r="P163">
        <v>5.2619999999999996</v>
      </c>
      <c r="Q163">
        <v>48.92</v>
      </c>
      <c r="R163">
        <v>19.87</v>
      </c>
      <c r="S163">
        <f t="shared" si="32"/>
        <v>80.31</v>
      </c>
      <c r="T163">
        <f t="shared" si="33"/>
        <v>48.92</v>
      </c>
      <c r="U163">
        <f t="shared" si="34"/>
        <v>19.87</v>
      </c>
      <c r="V163">
        <f t="shared" si="35"/>
        <v>1661</v>
      </c>
      <c r="X163">
        <v>1160</v>
      </c>
      <c r="Y163">
        <v>78.61</v>
      </c>
      <c r="Z163">
        <v>9.44</v>
      </c>
      <c r="AA163">
        <v>19.87</v>
      </c>
      <c r="AC163">
        <v>1660</v>
      </c>
      <c r="AD163">
        <v>78.61</v>
      </c>
      <c r="AE163">
        <v>48.92</v>
      </c>
      <c r="AF163">
        <v>19.87</v>
      </c>
    </row>
    <row r="164" spans="1:32" x14ac:dyDescent="0.35">
      <c r="A164">
        <v>161</v>
      </c>
      <c r="B164">
        <v>6.9619999999999997</v>
      </c>
      <c r="C164">
        <v>9.44</v>
      </c>
      <c r="D164">
        <v>19.87</v>
      </c>
      <c r="E164">
        <f t="shared" si="24"/>
        <v>6.9619999999999997</v>
      </c>
      <c r="F164">
        <f t="shared" si="25"/>
        <v>43.2</v>
      </c>
      <c r="G164">
        <f t="shared" si="26"/>
        <v>19.87</v>
      </c>
      <c r="H164">
        <f t="shared" si="27"/>
        <v>651</v>
      </c>
      <c r="I164">
        <f t="shared" si="28"/>
        <v>78.61</v>
      </c>
      <c r="J164">
        <f t="shared" si="29"/>
        <v>9.44</v>
      </c>
      <c r="K164">
        <f t="shared" si="30"/>
        <v>19.87</v>
      </c>
      <c r="L164">
        <f t="shared" si="31"/>
        <v>1160</v>
      </c>
      <c r="O164">
        <v>661</v>
      </c>
      <c r="P164">
        <v>6.9619999999999997</v>
      </c>
      <c r="Q164">
        <v>48.92</v>
      </c>
      <c r="R164">
        <v>19.87</v>
      </c>
      <c r="S164">
        <f t="shared" si="32"/>
        <v>78.61</v>
      </c>
      <c r="T164">
        <f t="shared" si="33"/>
        <v>48.92</v>
      </c>
      <c r="U164">
        <f t="shared" si="34"/>
        <v>19.87</v>
      </c>
      <c r="V164">
        <f t="shared" si="35"/>
        <v>1660</v>
      </c>
      <c r="X164">
        <v>1161</v>
      </c>
      <c r="Y164">
        <v>80.31</v>
      </c>
      <c r="Z164">
        <v>9.44</v>
      </c>
      <c r="AA164">
        <v>19.87</v>
      </c>
      <c r="AC164">
        <v>1661</v>
      </c>
      <c r="AD164">
        <v>80.31</v>
      </c>
      <c r="AE164">
        <v>48.92</v>
      </c>
      <c r="AF164">
        <v>19.87</v>
      </c>
    </row>
    <row r="165" spans="1:32" x14ac:dyDescent="0.35">
      <c r="A165">
        <v>162</v>
      </c>
      <c r="B165">
        <v>5.2619999999999996</v>
      </c>
      <c r="C165">
        <v>11.1</v>
      </c>
      <c r="D165">
        <v>19.87</v>
      </c>
      <c r="E165">
        <f t="shared" si="24"/>
        <v>5.2619999999999996</v>
      </c>
      <c r="F165">
        <f t="shared" si="25"/>
        <v>41.54</v>
      </c>
      <c r="G165">
        <f t="shared" si="26"/>
        <v>19.87</v>
      </c>
      <c r="H165">
        <f t="shared" si="27"/>
        <v>648</v>
      </c>
      <c r="I165">
        <f t="shared" si="28"/>
        <v>80.31</v>
      </c>
      <c r="J165">
        <f t="shared" si="29"/>
        <v>11.1</v>
      </c>
      <c r="K165">
        <f t="shared" si="30"/>
        <v>19.87</v>
      </c>
      <c r="L165">
        <f t="shared" si="31"/>
        <v>1163</v>
      </c>
      <c r="O165">
        <v>662</v>
      </c>
      <c r="P165">
        <v>5.2619999999999996</v>
      </c>
      <c r="Q165">
        <v>50.58</v>
      </c>
      <c r="R165">
        <v>19.87</v>
      </c>
      <c r="S165">
        <f t="shared" si="32"/>
        <v>80.31</v>
      </c>
      <c r="T165">
        <f t="shared" si="33"/>
        <v>50.58</v>
      </c>
      <c r="U165">
        <f t="shared" si="34"/>
        <v>19.87</v>
      </c>
      <c r="V165">
        <f t="shared" si="35"/>
        <v>1663</v>
      </c>
      <c r="X165">
        <v>1162</v>
      </c>
      <c r="Y165">
        <v>78.61</v>
      </c>
      <c r="Z165">
        <v>11.1</v>
      </c>
      <c r="AA165">
        <v>19.87</v>
      </c>
      <c r="AC165">
        <v>1662</v>
      </c>
      <c r="AD165">
        <v>78.61</v>
      </c>
      <c r="AE165">
        <v>50.58</v>
      </c>
      <c r="AF165">
        <v>19.87</v>
      </c>
    </row>
    <row r="166" spans="1:32" x14ac:dyDescent="0.35">
      <c r="A166">
        <v>163</v>
      </c>
      <c r="B166">
        <v>6.9619999999999997</v>
      </c>
      <c r="C166">
        <v>11.1</v>
      </c>
      <c r="D166">
        <v>19.87</v>
      </c>
      <c r="E166">
        <f t="shared" si="24"/>
        <v>6.9619999999999997</v>
      </c>
      <c r="F166">
        <f t="shared" si="25"/>
        <v>41.54</v>
      </c>
      <c r="G166">
        <f t="shared" si="26"/>
        <v>19.87</v>
      </c>
      <c r="H166">
        <f t="shared" si="27"/>
        <v>649</v>
      </c>
      <c r="I166">
        <f t="shared" si="28"/>
        <v>78.61</v>
      </c>
      <c r="J166">
        <f t="shared" si="29"/>
        <v>11.1</v>
      </c>
      <c r="K166">
        <f t="shared" si="30"/>
        <v>19.87</v>
      </c>
      <c r="L166">
        <f t="shared" si="31"/>
        <v>1162</v>
      </c>
      <c r="O166">
        <v>663</v>
      </c>
      <c r="P166">
        <v>6.9619999999999997</v>
      </c>
      <c r="Q166">
        <v>50.58</v>
      </c>
      <c r="R166">
        <v>19.87</v>
      </c>
      <c r="S166">
        <f t="shared" si="32"/>
        <v>78.61</v>
      </c>
      <c r="T166">
        <f t="shared" si="33"/>
        <v>50.58</v>
      </c>
      <c r="U166">
        <f t="shared" si="34"/>
        <v>19.87</v>
      </c>
      <c r="V166">
        <f t="shared" si="35"/>
        <v>1662</v>
      </c>
      <c r="X166">
        <v>1163</v>
      </c>
      <c r="Y166">
        <v>80.31</v>
      </c>
      <c r="Z166">
        <v>11.1</v>
      </c>
      <c r="AA166">
        <v>19.87</v>
      </c>
      <c r="AC166">
        <v>1663</v>
      </c>
      <c r="AD166">
        <v>80.31</v>
      </c>
      <c r="AE166">
        <v>50.58</v>
      </c>
      <c r="AF166">
        <v>19.87</v>
      </c>
    </row>
    <row r="167" spans="1:32" x14ac:dyDescent="0.35">
      <c r="A167">
        <v>164</v>
      </c>
      <c r="B167">
        <v>5.2619999999999996</v>
      </c>
      <c r="C167">
        <v>12.76</v>
      </c>
      <c r="D167">
        <v>19.87</v>
      </c>
      <c r="E167">
        <f t="shared" si="24"/>
        <v>5.2619999999999996</v>
      </c>
      <c r="F167">
        <f t="shared" si="25"/>
        <v>39.880000000000003</v>
      </c>
      <c r="G167">
        <f t="shared" si="26"/>
        <v>19.87</v>
      </c>
      <c r="H167">
        <f t="shared" si="27"/>
        <v>646</v>
      </c>
      <c r="I167">
        <f t="shared" si="28"/>
        <v>80.31</v>
      </c>
      <c r="J167">
        <f t="shared" si="29"/>
        <v>12.76</v>
      </c>
      <c r="K167">
        <f t="shared" si="30"/>
        <v>19.87</v>
      </c>
      <c r="L167">
        <f t="shared" si="31"/>
        <v>1165</v>
      </c>
      <c r="O167">
        <v>664</v>
      </c>
      <c r="P167">
        <v>5.2619999999999996</v>
      </c>
      <c r="Q167">
        <v>52.24</v>
      </c>
      <c r="R167">
        <v>19.87</v>
      </c>
      <c r="S167">
        <f t="shared" si="32"/>
        <v>80.31</v>
      </c>
      <c r="T167">
        <f t="shared" si="33"/>
        <v>52.24</v>
      </c>
      <c r="U167">
        <f t="shared" si="34"/>
        <v>19.87</v>
      </c>
      <c r="V167">
        <f t="shared" si="35"/>
        <v>1665</v>
      </c>
      <c r="X167">
        <v>1164</v>
      </c>
      <c r="Y167">
        <v>78.61</v>
      </c>
      <c r="Z167">
        <v>12.76</v>
      </c>
      <c r="AA167">
        <v>19.87</v>
      </c>
      <c r="AC167">
        <v>1664</v>
      </c>
      <c r="AD167">
        <v>78.61</v>
      </c>
      <c r="AE167">
        <v>52.24</v>
      </c>
      <c r="AF167">
        <v>19.87</v>
      </c>
    </row>
    <row r="168" spans="1:32" x14ac:dyDescent="0.35">
      <c r="A168">
        <v>165</v>
      </c>
      <c r="B168">
        <v>6.9619999999999997</v>
      </c>
      <c r="C168">
        <v>12.76</v>
      </c>
      <c r="D168">
        <v>19.87</v>
      </c>
      <c r="E168">
        <f t="shared" si="24"/>
        <v>6.9619999999999997</v>
      </c>
      <c r="F168">
        <f t="shared" si="25"/>
        <v>39.880000000000003</v>
      </c>
      <c r="G168">
        <f t="shared" si="26"/>
        <v>19.87</v>
      </c>
      <c r="H168">
        <f t="shared" si="27"/>
        <v>647</v>
      </c>
      <c r="I168">
        <f t="shared" si="28"/>
        <v>78.61</v>
      </c>
      <c r="J168">
        <f t="shared" si="29"/>
        <v>12.76</v>
      </c>
      <c r="K168">
        <f t="shared" si="30"/>
        <v>19.87</v>
      </c>
      <c r="L168">
        <f t="shared" si="31"/>
        <v>1164</v>
      </c>
      <c r="O168">
        <v>665</v>
      </c>
      <c r="P168">
        <v>6.9619999999999997</v>
      </c>
      <c r="Q168">
        <v>52.24</v>
      </c>
      <c r="R168">
        <v>19.87</v>
      </c>
      <c r="S168">
        <f t="shared" si="32"/>
        <v>78.61</v>
      </c>
      <c r="T168">
        <f t="shared" si="33"/>
        <v>52.24</v>
      </c>
      <c r="U168">
        <f t="shared" si="34"/>
        <v>19.87</v>
      </c>
      <c r="V168">
        <f t="shared" si="35"/>
        <v>1664</v>
      </c>
      <c r="X168">
        <v>1165</v>
      </c>
      <c r="Y168">
        <v>80.31</v>
      </c>
      <c r="Z168">
        <v>12.76</v>
      </c>
      <c r="AA168">
        <v>19.87</v>
      </c>
      <c r="AC168">
        <v>1665</v>
      </c>
      <c r="AD168">
        <v>80.31</v>
      </c>
      <c r="AE168">
        <v>52.24</v>
      </c>
      <c r="AF168">
        <v>19.87</v>
      </c>
    </row>
    <row r="169" spans="1:32" x14ac:dyDescent="0.35">
      <c r="A169">
        <v>166</v>
      </c>
      <c r="B169">
        <v>5.2619999999999996</v>
      </c>
      <c r="C169">
        <v>13.16</v>
      </c>
      <c r="D169">
        <v>19.87</v>
      </c>
      <c r="E169">
        <f t="shared" si="24"/>
        <v>5.2619999999999996</v>
      </c>
      <c r="F169">
        <f t="shared" si="25"/>
        <v>39.480000000000004</v>
      </c>
      <c r="G169">
        <f t="shared" si="26"/>
        <v>19.87</v>
      </c>
      <c r="H169">
        <f t="shared" si="27"/>
        <v>644</v>
      </c>
      <c r="I169">
        <f t="shared" si="28"/>
        <v>80.31</v>
      </c>
      <c r="J169">
        <f t="shared" si="29"/>
        <v>13.16</v>
      </c>
      <c r="K169">
        <f t="shared" si="30"/>
        <v>19.87</v>
      </c>
      <c r="L169">
        <f t="shared" si="31"/>
        <v>1167</v>
      </c>
      <c r="O169">
        <v>666</v>
      </c>
      <c r="P169">
        <v>5.2619999999999996</v>
      </c>
      <c r="Q169">
        <v>52.64</v>
      </c>
      <c r="R169">
        <v>19.87</v>
      </c>
      <c r="S169">
        <f t="shared" si="32"/>
        <v>80.31</v>
      </c>
      <c r="T169">
        <f t="shared" si="33"/>
        <v>52.64</v>
      </c>
      <c r="U169">
        <f t="shared" si="34"/>
        <v>19.87</v>
      </c>
      <c r="V169">
        <f t="shared" si="35"/>
        <v>1667</v>
      </c>
      <c r="X169">
        <v>1166</v>
      </c>
      <c r="Y169">
        <v>78.61</v>
      </c>
      <c r="Z169">
        <v>13.16</v>
      </c>
      <c r="AA169">
        <v>19.87</v>
      </c>
      <c r="AC169">
        <v>1666</v>
      </c>
      <c r="AD169">
        <v>78.61</v>
      </c>
      <c r="AE169">
        <v>52.64</v>
      </c>
      <c r="AF169">
        <v>19.87</v>
      </c>
    </row>
    <row r="170" spans="1:32" x14ac:dyDescent="0.35">
      <c r="A170">
        <v>167</v>
      </c>
      <c r="B170">
        <v>6.9619999999999997</v>
      </c>
      <c r="C170">
        <v>13.16</v>
      </c>
      <c r="D170">
        <v>19.87</v>
      </c>
      <c r="E170">
        <f t="shared" si="24"/>
        <v>6.9619999999999997</v>
      </c>
      <c r="F170">
        <f t="shared" si="25"/>
        <v>39.480000000000004</v>
      </c>
      <c r="G170">
        <f t="shared" si="26"/>
        <v>19.87</v>
      </c>
      <c r="H170">
        <f t="shared" si="27"/>
        <v>645</v>
      </c>
      <c r="I170">
        <f t="shared" si="28"/>
        <v>78.61</v>
      </c>
      <c r="J170">
        <f t="shared" si="29"/>
        <v>13.16</v>
      </c>
      <c r="K170">
        <f t="shared" si="30"/>
        <v>19.87</v>
      </c>
      <c r="L170">
        <f t="shared" si="31"/>
        <v>1166</v>
      </c>
      <c r="O170">
        <v>667</v>
      </c>
      <c r="P170">
        <v>6.9619999999999997</v>
      </c>
      <c r="Q170">
        <v>52.64</v>
      </c>
      <c r="R170">
        <v>19.87</v>
      </c>
      <c r="S170">
        <f t="shared" si="32"/>
        <v>78.61</v>
      </c>
      <c r="T170">
        <f t="shared" si="33"/>
        <v>52.64</v>
      </c>
      <c r="U170">
        <f t="shared" si="34"/>
        <v>19.87</v>
      </c>
      <c r="V170">
        <f t="shared" si="35"/>
        <v>1666</v>
      </c>
      <c r="X170">
        <v>1167</v>
      </c>
      <c r="Y170">
        <v>80.31</v>
      </c>
      <c r="Z170">
        <v>13.16</v>
      </c>
      <c r="AA170">
        <v>19.87</v>
      </c>
      <c r="AC170">
        <v>1667</v>
      </c>
      <c r="AD170">
        <v>80.31</v>
      </c>
      <c r="AE170">
        <v>52.64</v>
      </c>
      <c r="AF170">
        <v>19.87</v>
      </c>
    </row>
    <row r="171" spans="1:32" x14ac:dyDescent="0.35">
      <c r="A171">
        <v>168</v>
      </c>
      <c r="B171">
        <v>0.69799999999999995</v>
      </c>
      <c r="C171">
        <v>0</v>
      </c>
      <c r="D171">
        <v>20.49</v>
      </c>
      <c r="E171">
        <f t="shared" si="24"/>
        <v>0.69799999999999995</v>
      </c>
      <c r="F171">
        <f t="shared" si="25"/>
        <v>52.64</v>
      </c>
      <c r="G171">
        <f t="shared" si="26"/>
        <v>20.49</v>
      </c>
      <c r="H171">
        <f t="shared" si="27"/>
        <v>672</v>
      </c>
      <c r="I171">
        <f t="shared" si="28"/>
        <v>84.87</v>
      </c>
      <c r="J171">
        <f t="shared" si="29"/>
        <v>0</v>
      </c>
      <c r="K171">
        <f t="shared" si="30"/>
        <v>20.49</v>
      </c>
      <c r="L171">
        <f t="shared" si="31"/>
        <v>1169</v>
      </c>
      <c r="O171">
        <v>668</v>
      </c>
      <c r="P171">
        <v>0.69799999999999995</v>
      </c>
      <c r="Q171">
        <v>39.479999999999997</v>
      </c>
      <c r="R171">
        <v>20.49</v>
      </c>
      <c r="S171">
        <f t="shared" si="32"/>
        <v>84.87</v>
      </c>
      <c r="T171">
        <f t="shared" si="33"/>
        <v>39.479999999999997</v>
      </c>
      <c r="U171">
        <f t="shared" si="34"/>
        <v>20.49</v>
      </c>
      <c r="V171">
        <f t="shared" si="35"/>
        <v>1669</v>
      </c>
      <c r="X171">
        <v>1168</v>
      </c>
      <c r="Y171">
        <v>74.040000000000006</v>
      </c>
      <c r="Z171">
        <v>0</v>
      </c>
      <c r="AA171">
        <v>20.49</v>
      </c>
      <c r="AC171">
        <v>1668</v>
      </c>
      <c r="AD171">
        <v>74.040000000000006</v>
      </c>
      <c r="AE171">
        <v>39.479999999999997</v>
      </c>
      <c r="AF171">
        <v>20.49</v>
      </c>
    </row>
    <row r="172" spans="1:32" x14ac:dyDescent="0.35">
      <c r="A172">
        <v>169</v>
      </c>
      <c r="B172">
        <v>11.526999999999999</v>
      </c>
      <c r="C172">
        <v>0</v>
      </c>
      <c r="D172">
        <v>20.49</v>
      </c>
      <c r="E172">
        <f t="shared" si="24"/>
        <v>11.526999999999999</v>
      </c>
      <c r="F172">
        <f t="shared" si="25"/>
        <v>52.64</v>
      </c>
      <c r="G172">
        <f t="shared" si="26"/>
        <v>20.49</v>
      </c>
      <c r="H172">
        <f t="shared" si="27"/>
        <v>673</v>
      </c>
      <c r="I172">
        <f t="shared" si="28"/>
        <v>74.040000000000006</v>
      </c>
      <c r="J172">
        <f t="shared" si="29"/>
        <v>0</v>
      </c>
      <c r="K172">
        <f t="shared" si="30"/>
        <v>20.49</v>
      </c>
      <c r="L172">
        <f t="shared" si="31"/>
        <v>1168</v>
      </c>
      <c r="O172">
        <v>669</v>
      </c>
      <c r="P172">
        <v>11.526999999999999</v>
      </c>
      <c r="Q172">
        <v>39.479999999999997</v>
      </c>
      <c r="R172">
        <v>20.49</v>
      </c>
      <c r="S172">
        <f t="shared" si="32"/>
        <v>74.040000000000006</v>
      </c>
      <c r="T172">
        <f t="shared" si="33"/>
        <v>39.479999999999997</v>
      </c>
      <c r="U172">
        <f t="shared" si="34"/>
        <v>20.49</v>
      </c>
      <c r="V172">
        <f t="shared" si="35"/>
        <v>1668</v>
      </c>
      <c r="X172">
        <v>1169</v>
      </c>
      <c r="Y172">
        <v>84.87</v>
      </c>
      <c r="Z172">
        <v>0</v>
      </c>
      <c r="AA172">
        <v>20.49</v>
      </c>
      <c r="AC172">
        <v>1669</v>
      </c>
      <c r="AD172">
        <v>84.87</v>
      </c>
      <c r="AE172">
        <v>39.479999999999997</v>
      </c>
      <c r="AF172">
        <v>20.49</v>
      </c>
    </row>
    <row r="173" spans="1:32" x14ac:dyDescent="0.35">
      <c r="A173">
        <v>170</v>
      </c>
      <c r="B173">
        <v>0.69799999999999995</v>
      </c>
      <c r="C173">
        <v>6.58</v>
      </c>
      <c r="D173">
        <v>20.49</v>
      </c>
      <c r="E173">
        <f t="shared" si="24"/>
        <v>0.69799999999999995</v>
      </c>
      <c r="F173">
        <f t="shared" si="25"/>
        <v>46.06</v>
      </c>
      <c r="G173">
        <f t="shared" si="26"/>
        <v>20.49</v>
      </c>
      <c r="H173">
        <f t="shared" si="27"/>
        <v>670</v>
      </c>
      <c r="I173">
        <f t="shared" si="28"/>
        <v>84.87</v>
      </c>
      <c r="J173">
        <f t="shared" si="29"/>
        <v>6.58</v>
      </c>
      <c r="K173">
        <f t="shared" si="30"/>
        <v>20.49</v>
      </c>
      <c r="L173">
        <f t="shared" si="31"/>
        <v>1171</v>
      </c>
      <c r="O173">
        <v>670</v>
      </c>
      <c r="P173">
        <v>0.69799999999999995</v>
      </c>
      <c r="Q173">
        <v>46.06</v>
      </c>
      <c r="R173">
        <v>20.49</v>
      </c>
      <c r="S173">
        <f t="shared" si="32"/>
        <v>84.87</v>
      </c>
      <c r="T173">
        <f t="shared" si="33"/>
        <v>46.06</v>
      </c>
      <c r="U173">
        <f t="shared" si="34"/>
        <v>20.49</v>
      </c>
      <c r="V173">
        <f t="shared" si="35"/>
        <v>1671</v>
      </c>
      <c r="X173">
        <v>1170</v>
      </c>
      <c r="Y173">
        <v>74.040000000000006</v>
      </c>
      <c r="Z173">
        <v>6.58</v>
      </c>
      <c r="AA173">
        <v>20.49</v>
      </c>
      <c r="AC173">
        <v>1670</v>
      </c>
      <c r="AD173">
        <v>74.040000000000006</v>
      </c>
      <c r="AE173">
        <v>46.06</v>
      </c>
      <c r="AF173">
        <v>20.49</v>
      </c>
    </row>
    <row r="174" spans="1:32" x14ac:dyDescent="0.35">
      <c r="A174">
        <v>171</v>
      </c>
      <c r="B174">
        <v>11.526999999999999</v>
      </c>
      <c r="C174">
        <v>6.58</v>
      </c>
      <c r="D174">
        <v>20.49</v>
      </c>
      <c r="E174">
        <f t="shared" si="24"/>
        <v>11.526999999999999</v>
      </c>
      <c r="F174">
        <f t="shared" si="25"/>
        <v>46.06</v>
      </c>
      <c r="G174">
        <f t="shared" si="26"/>
        <v>20.49</v>
      </c>
      <c r="H174">
        <f t="shared" si="27"/>
        <v>671</v>
      </c>
      <c r="I174">
        <f t="shared" si="28"/>
        <v>74.040000000000006</v>
      </c>
      <c r="J174">
        <f t="shared" si="29"/>
        <v>6.58</v>
      </c>
      <c r="K174">
        <f t="shared" si="30"/>
        <v>20.49</v>
      </c>
      <c r="L174">
        <f t="shared" si="31"/>
        <v>1170</v>
      </c>
      <c r="O174">
        <v>671</v>
      </c>
      <c r="P174">
        <v>11.526999999999999</v>
      </c>
      <c r="Q174">
        <v>46.06</v>
      </c>
      <c r="R174">
        <v>20.49</v>
      </c>
      <c r="S174">
        <f t="shared" si="32"/>
        <v>74.040000000000006</v>
      </c>
      <c r="T174">
        <f t="shared" si="33"/>
        <v>46.06</v>
      </c>
      <c r="U174">
        <f t="shared" si="34"/>
        <v>20.49</v>
      </c>
      <c r="V174">
        <f t="shared" si="35"/>
        <v>1670</v>
      </c>
      <c r="X174">
        <v>1171</v>
      </c>
      <c r="Y174">
        <v>84.87</v>
      </c>
      <c r="Z174">
        <v>6.58</v>
      </c>
      <c r="AA174">
        <v>20.49</v>
      </c>
      <c r="AC174">
        <v>1671</v>
      </c>
      <c r="AD174">
        <v>84.87</v>
      </c>
      <c r="AE174">
        <v>46.06</v>
      </c>
      <c r="AF174">
        <v>20.49</v>
      </c>
    </row>
    <row r="175" spans="1:32" x14ac:dyDescent="0.35">
      <c r="A175">
        <v>172</v>
      </c>
      <c r="B175">
        <v>0.69799999999999995</v>
      </c>
      <c r="C175">
        <v>13.16</v>
      </c>
      <c r="D175">
        <v>20.49</v>
      </c>
      <c r="E175">
        <f t="shared" si="24"/>
        <v>0.69799999999999995</v>
      </c>
      <c r="F175">
        <f t="shared" si="25"/>
        <v>39.480000000000004</v>
      </c>
      <c r="G175">
        <f t="shared" si="26"/>
        <v>20.49</v>
      </c>
      <c r="H175">
        <f t="shared" si="27"/>
        <v>668</v>
      </c>
      <c r="I175">
        <f t="shared" si="28"/>
        <v>84.87</v>
      </c>
      <c r="J175">
        <f t="shared" si="29"/>
        <v>13.16</v>
      </c>
      <c r="K175">
        <f t="shared" si="30"/>
        <v>20.49</v>
      </c>
      <c r="L175">
        <f t="shared" si="31"/>
        <v>1173</v>
      </c>
      <c r="O175">
        <v>672</v>
      </c>
      <c r="P175">
        <v>0.69799999999999995</v>
      </c>
      <c r="Q175">
        <v>52.64</v>
      </c>
      <c r="R175">
        <v>20.49</v>
      </c>
      <c r="S175">
        <f t="shared" si="32"/>
        <v>84.87</v>
      </c>
      <c r="T175">
        <f t="shared" si="33"/>
        <v>52.64</v>
      </c>
      <c r="U175">
        <f t="shared" si="34"/>
        <v>20.49</v>
      </c>
      <c r="V175">
        <f t="shared" si="35"/>
        <v>1673</v>
      </c>
      <c r="X175">
        <v>1172</v>
      </c>
      <c r="Y175">
        <v>74.040000000000006</v>
      </c>
      <c r="Z175">
        <v>13.16</v>
      </c>
      <c r="AA175">
        <v>20.49</v>
      </c>
      <c r="AC175">
        <v>1672</v>
      </c>
      <c r="AD175">
        <v>74.040000000000006</v>
      </c>
      <c r="AE175">
        <v>52.64</v>
      </c>
      <c r="AF175">
        <v>20.49</v>
      </c>
    </row>
    <row r="176" spans="1:32" x14ac:dyDescent="0.35">
      <c r="A176">
        <v>173</v>
      </c>
      <c r="B176">
        <v>11.526999999999999</v>
      </c>
      <c r="C176">
        <v>13.16</v>
      </c>
      <c r="D176">
        <v>20.49</v>
      </c>
      <c r="E176">
        <f t="shared" si="24"/>
        <v>11.526999999999999</v>
      </c>
      <c r="F176">
        <f t="shared" si="25"/>
        <v>39.480000000000004</v>
      </c>
      <c r="G176">
        <f t="shared" si="26"/>
        <v>20.49</v>
      </c>
      <c r="H176">
        <f t="shared" si="27"/>
        <v>669</v>
      </c>
      <c r="I176">
        <f t="shared" si="28"/>
        <v>74.040000000000006</v>
      </c>
      <c r="J176">
        <f t="shared" si="29"/>
        <v>13.16</v>
      </c>
      <c r="K176">
        <f t="shared" si="30"/>
        <v>20.49</v>
      </c>
      <c r="L176">
        <f t="shared" si="31"/>
        <v>1172</v>
      </c>
      <c r="O176">
        <v>673</v>
      </c>
      <c r="P176">
        <v>11.526999999999999</v>
      </c>
      <c r="Q176">
        <v>52.64</v>
      </c>
      <c r="R176">
        <v>20.49</v>
      </c>
      <c r="S176">
        <f t="shared" si="32"/>
        <v>74.040000000000006</v>
      </c>
      <c r="T176">
        <f t="shared" si="33"/>
        <v>52.64</v>
      </c>
      <c r="U176">
        <f t="shared" si="34"/>
        <v>20.49</v>
      </c>
      <c r="V176">
        <f t="shared" si="35"/>
        <v>1672</v>
      </c>
      <c r="X176">
        <v>1173</v>
      </c>
      <c r="Y176">
        <v>84.87</v>
      </c>
      <c r="Z176">
        <v>13.16</v>
      </c>
      <c r="AA176">
        <v>20.49</v>
      </c>
      <c r="AC176">
        <v>1673</v>
      </c>
      <c r="AD176">
        <v>84.87</v>
      </c>
      <c r="AE176">
        <v>52.64</v>
      </c>
      <c r="AF176">
        <v>20.49</v>
      </c>
    </row>
    <row r="177" spans="1:32" x14ac:dyDescent="0.35">
      <c r="A177">
        <v>174</v>
      </c>
      <c r="B177">
        <v>-1.4</v>
      </c>
      <c r="C177">
        <v>-0.35</v>
      </c>
      <c r="D177">
        <v>21.106999999999999</v>
      </c>
      <c r="E177">
        <f t="shared" si="24"/>
        <v>-1.4</v>
      </c>
      <c r="F177">
        <f t="shared" si="25"/>
        <v>52.99</v>
      </c>
      <c r="G177">
        <f t="shared" si="26"/>
        <v>21.106999999999999</v>
      </c>
      <c r="H177">
        <f t="shared" si="27"/>
        <v>689</v>
      </c>
      <c r="I177">
        <f t="shared" si="28"/>
        <v>86.97</v>
      </c>
      <c r="J177">
        <f t="shared" si="29"/>
        <v>-0.35</v>
      </c>
      <c r="K177">
        <f t="shared" si="30"/>
        <v>21.106999999999999</v>
      </c>
      <c r="L177">
        <f t="shared" si="31"/>
        <v>1183</v>
      </c>
      <c r="O177">
        <v>674</v>
      </c>
      <c r="P177">
        <v>-1.4</v>
      </c>
      <c r="Q177">
        <v>39.479999999999997</v>
      </c>
      <c r="R177">
        <v>21.106999999999999</v>
      </c>
      <c r="S177">
        <f t="shared" si="32"/>
        <v>86.97</v>
      </c>
      <c r="T177">
        <f t="shared" si="33"/>
        <v>39.479999999999997</v>
      </c>
      <c r="U177">
        <f t="shared" si="34"/>
        <v>21.106999999999999</v>
      </c>
      <c r="V177">
        <f t="shared" si="35"/>
        <v>1678</v>
      </c>
      <c r="X177">
        <v>1174</v>
      </c>
      <c r="Y177">
        <v>72.75</v>
      </c>
      <c r="Z177">
        <v>-0.35</v>
      </c>
      <c r="AA177">
        <v>21.106999999999999</v>
      </c>
      <c r="AC177">
        <v>1674</v>
      </c>
      <c r="AD177">
        <v>74.36</v>
      </c>
      <c r="AE177">
        <v>39.479999999999997</v>
      </c>
      <c r="AF177">
        <v>21.106999999999999</v>
      </c>
    </row>
    <row r="178" spans="1:32" x14ac:dyDescent="0.35">
      <c r="A178">
        <v>175</v>
      </c>
      <c r="B178">
        <v>0</v>
      </c>
      <c r="C178">
        <v>-0.35</v>
      </c>
      <c r="D178">
        <v>21.106999999999999</v>
      </c>
      <c r="E178">
        <f t="shared" si="24"/>
        <v>0</v>
      </c>
      <c r="F178">
        <f t="shared" si="25"/>
        <v>52.99</v>
      </c>
      <c r="G178">
        <f t="shared" si="26"/>
        <v>21.106999999999999</v>
      </c>
      <c r="H178">
        <f t="shared" si="27"/>
        <v>690</v>
      </c>
      <c r="I178">
        <f t="shared" si="28"/>
        <v>85.57</v>
      </c>
      <c r="J178">
        <f t="shared" si="29"/>
        <v>-0.35</v>
      </c>
      <c r="K178">
        <f t="shared" si="30"/>
        <v>21.106999999999999</v>
      </c>
      <c r="L178">
        <f t="shared" si="31"/>
        <v>1182</v>
      </c>
      <c r="O178">
        <v>675</v>
      </c>
      <c r="P178">
        <v>1.0189999999999999</v>
      </c>
      <c r="Q178">
        <v>39.479999999999997</v>
      </c>
      <c r="R178">
        <v>21.106999999999999</v>
      </c>
      <c r="S178">
        <f t="shared" si="32"/>
        <v>84.55</v>
      </c>
      <c r="T178">
        <f t="shared" si="33"/>
        <v>39.479999999999997</v>
      </c>
      <c r="U178">
        <f t="shared" si="34"/>
        <v>21.106999999999999</v>
      </c>
      <c r="V178">
        <f t="shared" si="35"/>
        <v>1677</v>
      </c>
      <c r="X178">
        <v>1175</v>
      </c>
      <c r="Y178">
        <v>73.95</v>
      </c>
      <c r="Z178">
        <v>-0.35</v>
      </c>
      <c r="AA178">
        <v>21.106999999999999</v>
      </c>
      <c r="AC178">
        <v>1675</v>
      </c>
      <c r="AD178">
        <v>78.84</v>
      </c>
      <c r="AE178">
        <v>39.479999999999997</v>
      </c>
      <c r="AF178">
        <v>21.106999999999999</v>
      </c>
    </row>
    <row r="179" spans="1:32" x14ac:dyDescent="0.35">
      <c r="A179">
        <v>176</v>
      </c>
      <c r="B179">
        <v>1.0189999999999999</v>
      </c>
      <c r="C179">
        <v>-0.35</v>
      </c>
      <c r="D179">
        <v>21.106999999999999</v>
      </c>
      <c r="E179">
        <f t="shared" si="24"/>
        <v>1.0189999999999999</v>
      </c>
      <c r="F179">
        <f t="shared" si="25"/>
        <v>52.99</v>
      </c>
      <c r="G179">
        <f t="shared" si="26"/>
        <v>21.106999999999999</v>
      </c>
      <c r="H179">
        <f t="shared" si="27"/>
        <v>691</v>
      </c>
      <c r="I179">
        <f t="shared" si="28"/>
        <v>84.55</v>
      </c>
      <c r="J179">
        <f t="shared" si="29"/>
        <v>-0.35</v>
      </c>
      <c r="K179">
        <f t="shared" si="30"/>
        <v>21.106999999999999</v>
      </c>
      <c r="L179">
        <f t="shared" si="31"/>
        <v>1181</v>
      </c>
      <c r="O179">
        <v>676</v>
      </c>
      <c r="P179">
        <v>5.4969999999999999</v>
      </c>
      <c r="Q179">
        <v>39.479999999999997</v>
      </c>
      <c r="R179">
        <v>21.106999999999999</v>
      </c>
      <c r="S179">
        <f t="shared" si="32"/>
        <v>80.069999999999993</v>
      </c>
      <c r="T179">
        <f t="shared" si="33"/>
        <v>39.479999999999997</v>
      </c>
      <c r="U179">
        <f t="shared" si="34"/>
        <v>21.106999999999999</v>
      </c>
      <c r="V179">
        <f t="shared" si="35"/>
        <v>1676</v>
      </c>
      <c r="X179">
        <v>1176</v>
      </c>
      <c r="Y179">
        <v>74.36</v>
      </c>
      <c r="Z179">
        <v>-0.35</v>
      </c>
      <c r="AA179">
        <v>21.106999999999999</v>
      </c>
      <c r="AC179">
        <v>1676</v>
      </c>
      <c r="AD179">
        <v>80.069999999999993</v>
      </c>
      <c r="AE179">
        <v>39.479999999999997</v>
      </c>
      <c r="AF179">
        <v>21.106999999999999</v>
      </c>
    </row>
    <row r="180" spans="1:32" x14ac:dyDescent="0.35">
      <c r="A180">
        <v>177</v>
      </c>
      <c r="B180">
        <v>3.056</v>
      </c>
      <c r="C180">
        <v>-0.35</v>
      </c>
      <c r="D180">
        <v>21.106999999999999</v>
      </c>
      <c r="E180">
        <f t="shared" si="24"/>
        <v>3.056</v>
      </c>
      <c r="F180">
        <f t="shared" si="25"/>
        <v>52.99</v>
      </c>
      <c r="G180">
        <f t="shared" si="26"/>
        <v>21.106999999999999</v>
      </c>
      <c r="H180">
        <f t="shared" si="27"/>
        <v>692</v>
      </c>
      <c r="I180">
        <f t="shared" si="28"/>
        <v>82.51</v>
      </c>
      <c r="J180">
        <f t="shared" si="29"/>
        <v>-0.35</v>
      </c>
      <c r="K180">
        <f t="shared" si="30"/>
        <v>21.106999999999999</v>
      </c>
      <c r="L180">
        <f t="shared" si="31"/>
        <v>1180</v>
      </c>
      <c r="O180">
        <v>677</v>
      </c>
      <c r="P180">
        <v>6.7270000000000003</v>
      </c>
      <c r="Q180">
        <v>39.479999999999997</v>
      </c>
      <c r="R180">
        <v>21.106999999999999</v>
      </c>
      <c r="S180">
        <f t="shared" si="32"/>
        <v>78.84</v>
      </c>
      <c r="T180">
        <f t="shared" si="33"/>
        <v>39.479999999999997</v>
      </c>
      <c r="U180">
        <f t="shared" si="34"/>
        <v>21.106999999999999</v>
      </c>
      <c r="V180">
        <f t="shared" si="35"/>
        <v>1675</v>
      </c>
      <c r="X180">
        <v>1177</v>
      </c>
      <c r="Y180">
        <v>76.400000000000006</v>
      </c>
      <c r="Z180">
        <v>-0.35</v>
      </c>
      <c r="AA180">
        <v>21.106999999999999</v>
      </c>
      <c r="AC180">
        <v>1677</v>
      </c>
      <c r="AD180">
        <v>84.55</v>
      </c>
      <c r="AE180">
        <v>39.479999999999997</v>
      </c>
      <c r="AF180">
        <v>21.106999999999999</v>
      </c>
    </row>
    <row r="181" spans="1:32" x14ac:dyDescent="0.35">
      <c r="A181">
        <v>178</v>
      </c>
      <c r="B181">
        <v>5.4969999999999999</v>
      </c>
      <c r="C181">
        <v>-0.35</v>
      </c>
      <c r="D181">
        <v>21.106999999999999</v>
      </c>
      <c r="E181">
        <f t="shared" si="24"/>
        <v>5.4969999999999999</v>
      </c>
      <c r="F181">
        <f t="shared" si="25"/>
        <v>52.99</v>
      </c>
      <c r="G181">
        <f t="shared" si="26"/>
        <v>21.106999999999999</v>
      </c>
      <c r="H181">
        <f t="shared" si="27"/>
        <v>693</v>
      </c>
      <c r="I181">
        <f t="shared" si="28"/>
        <v>80.069999999999993</v>
      </c>
      <c r="J181">
        <f t="shared" si="29"/>
        <v>-0.35</v>
      </c>
      <c r="K181">
        <f t="shared" si="30"/>
        <v>21.106999999999999</v>
      </c>
      <c r="L181">
        <f t="shared" si="31"/>
        <v>1179</v>
      </c>
      <c r="O181">
        <v>678</v>
      </c>
      <c r="P181">
        <v>11.206</v>
      </c>
      <c r="Q181">
        <v>39.479999999999997</v>
      </c>
      <c r="R181">
        <v>21.106999999999999</v>
      </c>
      <c r="S181">
        <f t="shared" si="32"/>
        <v>74.36</v>
      </c>
      <c r="T181">
        <f t="shared" si="33"/>
        <v>39.479999999999997</v>
      </c>
      <c r="U181">
        <f t="shared" si="34"/>
        <v>21.106999999999999</v>
      </c>
      <c r="V181">
        <f t="shared" si="35"/>
        <v>1674</v>
      </c>
      <c r="X181">
        <v>1178</v>
      </c>
      <c r="Y181">
        <v>78.84</v>
      </c>
      <c r="Z181">
        <v>-0.35</v>
      </c>
      <c r="AA181">
        <v>21.106999999999999</v>
      </c>
      <c r="AC181">
        <v>1678</v>
      </c>
      <c r="AD181">
        <v>86.97</v>
      </c>
      <c r="AE181">
        <v>39.479999999999997</v>
      </c>
      <c r="AF181">
        <v>21.106999999999999</v>
      </c>
    </row>
    <row r="182" spans="1:32" x14ac:dyDescent="0.35">
      <c r="A182">
        <v>179</v>
      </c>
      <c r="B182">
        <v>6.7270000000000003</v>
      </c>
      <c r="C182">
        <v>-0.35</v>
      </c>
      <c r="D182">
        <v>21.106999999999999</v>
      </c>
      <c r="E182">
        <f t="shared" si="24"/>
        <v>6.7270000000000003</v>
      </c>
      <c r="F182">
        <f t="shared" si="25"/>
        <v>52.99</v>
      </c>
      <c r="G182">
        <f t="shared" si="26"/>
        <v>21.106999999999999</v>
      </c>
      <c r="H182">
        <f t="shared" si="27"/>
        <v>694</v>
      </c>
      <c r="I182">
        <f t="shared" si="28"/>
        <v>78.84</v>
      </c>
      <c r="J182">
        <f t="shared" si="29"/>
        <v>-0.35</v>
      </c>
      <c r="K182">
        <f t="shared" si="30"/>
        <v>21.106999999999999</v>
      </c>
      <c r="L182">
        <f t="shared" si="31"/>
        <v>1178</v>
      </c>
      <c r="O182">
        <v>679</v>
      </c>
      <c r="P182">
        <v>-1.4</v>
      </c>
      <c r="Q182">
        <v>41.673999999999999</v>
      </c>
      <c r="R182">
        <v>21.106999999999999</v>
      </c>
      <c r="S182">
        <f t="shared" si="32"/>
        <v>86.97</v>
      </c>
      <c r="T182">
        <f t="shared" si="33"/>
        <v>41.673999999999999</v>
      </c>
      <c r="U182">
        <f t="shared" si="34"/>
        <v>21.106999999999999</v>
      </c>
      <c r="V182">
        <f t="shared" si="35"/>
        <v>1679</v>
      </c>
      <c r="X182">
        <v>1179</v>
      </c>
      <c r="Y182">
        <v>80.069999999999993</v>
      </c>
      <c r="Z182">
        <v>-0.35</v>
      </c>
      <c r="AA182">
        <v>21.106999999999999</v>
      </c>
      <c r="AC182">
        <v>1679</v>
      </c>
      <c r="AD182">
        <v>86.97</v>
      </c>
      <c r="AE182">
        <v>41.673999999999999</v>
      </c>
      <c r="AF182">
        <v>21.106999999999999</v>
      </c>
    </row>
    <row r="183" spans="1:32" x14ac:dyDescent="0.35">
      <c r="A183">
        <v>180</v>
      </c>
      <c r="B183">
        <v>9.1690000000000005</v>
      </c>
      <c r="C183">
        <v>-0.35</v>
      </c>
      <c r="D183">
        <v>21.106999999999999</v>
      </c>
      <c r="E183">
        <f t="shared" si="24"/>
        <v>9.1690000000000005</v>
      </c>
      <c r="F183">
        <f t="shared" si="25"/>
        <v>52.99</v>
      </c>
      <c r="G183">
        <f t="shared" si="26"/>
        <v>21.106999999999999</v>
      </c>
      <c r="H183">
        <f t="shared" si="27"/>
        <v>695</v>
      </c>
      <c r="I183">
        <f t="shared" si="28"/>
        <v>76.400000000000006</v>
      </c>
      <c r="J183">
        <f t="shared" si="29"/>
        <v>-0.35</v>
      </c>
      <c r="K183">
        <f t="shared" si="30"/>
        <v>21.106999999999999</v>
      </c>
      <c r="L183">
        <f t="shared" si="31"/>
        <v>1177</v>
      </c>
      <c r="O183">
        <v>680</v>
      </c>
      <c r="P183">
        <v>-1.4</v>
      </c>
      <c r="Q183">
        <v>43.866999999999997</v>
      </c>
      <c r="R183">
        <v>21.106999999999999</v>
      </c>
      <c r="S183">
        <f t="shared" si="32"/>
        <v>86.97</v>
      </c>
      <c r="T183">
        <f t="shared" si="33"/>
        <v>43.866999999999997</v>
      </c>
      <c r="U183">
        <f t="shared" si="34"/>
        <v>21.106999999999999</v>
      </c>
      <c r="V183">
        <f t="shared" si="35"/>
        <v>1680</v>
      </c>
      <c r="X183">
        <v>1180</v>
      </c>
      <c r="Y183">
        <v>82.51</v>
      </c>
      <c r="Z183">
        <v>-0.35</v>
      </c>
      <c r="AA183">
        <v>21.106999999999999</v>
      </c>
      <c r="AC183">
        <v>1680</v>
      </c>
      <c r="AD183">
        <v>86.97</v>
      </c>
      <c r="AE183">
        <v>43.866999999999997</v>
      </c>
      <c r="AF183">
        <v>21.106999999999999</v>
      </c>
    </row>
    <row r="184" spans="1:32" x14ac:dyDescent="0.35">
      <c r="A184">
        <v>181</v>
      </c>
      <c r="B184">
        <v>11.206</v>
      </c>
      <c r="C184">
        <v>-0.35</v>
      </c>
      <c r="D184">
        <v>21.106999999999999</v>
      </c>
      <c r="E184">
        <f t="shared" si="24"/>
        <v>11.206</v>
      </c>
      <c r="F184">
        <f t="shared" si="25"/>
        <v>52.99</v>
      </c>
      <c r="G184">
        <f t="shared" si="26"/>
        <v>21.106999999999999</v>
      </c>
      <c r="H184">
        <f t="shared" si="27"/>
        <v>696</v>
      </c>
      <c r="I184">
        <f t="shared" si="28"/>
        <v>74.36</v>
      </c>
      <c r="J184">
        <f t="shared" si="29"/>
        <v>-0.35</v>
      </c>
      <c r="K184">
        <f t="shared" si="30"/>
        <v>21.106999999999999</v>
      </c>
      <c r="L184">
        <f t="shared" si="31"/>
        <v>1176</v>
      </c>
      <c r="O184">
        <v>681</v>
      </c>
      <c r="P184">
        <v>-1.4</v>
      </c>
      <c r="Q184">
        <v>46.06</v>
      </c>
      <c r="R184">
        <v>21.106999999999999</v>
      </c>
      <c r="S184">
        <f t="shared" si="32"/>
        <v>86.97</v>
      </c>
      <c r="T184">
        <f t="shared" si="33"/>
        <v>46.06</v>
      </c>
      <c r="U184">
        <f t="shared" si="34"/>
        <v>21.106999999999999</v>
      </c>
      <c r="V184">
        <f t="shared" si="35"/>
        <v>1683</v>
      </c>
      <c r="X184">
        <v>1181</v>
      </c>
      <c r="Y184">
        <v>84.55</v>
      </c>
      <c r="Z184">
        <v>-0.35</v>
      </c>
      <c r="AA184">
        <v>21.106999999999999</v>
      </c>
      <c r="AC184">
        <v>1681</v>
      </c>
      <c r="AD184">
        <v>74.36</v>
      </c>
      <c r="AE184">
        <v>46.06</v>
      </c>
      <c r="AF184">
        <v>21.106999999999999</v>
      </c>
    </row>
    <row r="185" spans="1:32" x14ac:dyDescent="0.35">
      <c r="A185">
        <v>182</v>
      </c>
      <c r="B185">
        <v>11.625</v>
      </c>
      <c r="C185">
        <v>-0.35</v>
      </c>
      <c r="D185">
        <v>21.106999999999999</v>
      </c>
      <c r="E185">
        <f t="shared" si="24"/>
        <v>11.625</v>
      </c>
      <c r="F185">
        <f t="shared" si="25"/>
        <v>52.99</v>
      </c>
      <c r="G185">
        <f t="shared" si="26"/>
        <v>21.106999999999999</v>
      </c>
      <c r="H185">
        <f t="shared" si="27"/>
        <v>697</v>
      </c>
      <c r="I185">
        <f t="shared" si="28"/>
        <v>73.95</v>
      </c>
      <c r="J185">
        <f t="shared" si="29"/>
        <v>-0.35</v>
      </c>
      <c r="K185">
        <f t="shared" si="30"/>
        <v>21.106999999999999</v>
      </c>
      <c r="L185">
        <f t="shared" si="31"/>
        <v>1175</v>
      </c>
      <c r="O185">
        <v>682</v>
      </c>
      <c r="P185">
        <v>1.0189999999999999</v>
      </c>
      <c r="Q185">
        <v>46.06</v>
      </c>
      <c r="R185">
        <v>21.106999999999999</v>
      </c>
      <c r="S185">
        <f t="shared" si="32"/>
        <v>84.55</v>
      </c>
      <c r="T185">
        <f t="shared" si="33"/>
        <v>46.06</v>
      </c>
      <c r="U185">
        <f t="shared" si="34"/>
        <v>21.106999999999999</v>
      </c>
      <c r="V185">
        <f t="shared" si="35"/>
        <v>1682</v>
      </c>
      <c r="X185">
        <v>1182</v>
      </c>
      <c r="Y185">
        <v>85.57</v>
      </c>
      <c r="Z185">
        <v>-0.35</v>
      </c>
      <c r="AA185">
        <v>21.106999999999999</v>
      </c>
      <c r="AC185">
        <v>1682</v>
      </c>
      <c r="AD185">
        <v>84.55</v>
      </c>
      <c r="AE185">
        <v>46.06</v>
      </c>
      <c r="AF185">
        <v>21.106999999999999</v>
      </c>
    </row>
    <row r="186" spans="1:32" x14ac:dyDescent="0.35">
      <c r="A186">
        <v>183</v>
      </c>
      <c r="B186">
        <v>12.824999999999999</v>
      </c>
      <c r="C186">
        <v>-0.35</v>
      </c>
      <c r="D186">
        <v>21.106999999999999</v>
      </c>
      <c r="E186">
        <f t="shared" si="24"/>
        <v>12.824999999999999</v>
      </c>
      <c r="F186">
        <f t="shared" si="25"/>
        <v>52.99</v>
      </c>
      <c r="G186">
        <f t="shared" si="26"/>
        <v>21.106999999999999</v>
      </c>
      <c r="H186">
        <f t="shared" si="27"/>
        <v>698</v>
      </c>
      <c r="I186">
        <f t="shared" si="28"/>
        <v>72.75</v>
      </c>
      <c r="J186">
        <f t="shared" si="29"/>
        <v>-0.35</v>
      </c>
      <c r="K186">
        <f t="shared" si="30"/>
        <v>21.106999999999999</v>
      </c>
      <c r="L186">
        <f t="shared" si="31"/>
        <v>1174</v>
      </c>
      <c r="O186">
        <v>683</v>
      </c>
      <c r="P186">
        <v>11.206</v>
      </c>
      <c r="Q186">
        <v>46.06</v>
      </c>
      <c r="R186">
        <v>21.106999999999999</v>
      </c>
      <c r="S186">
        <f t="shared" si="32"/>
        <v>74.36</v>
      </c>
      <c r="T186">
        <f t="shared" si="33"/>
        <v>46.06</v>
      </c>
      <c r="U186">
        <f t="shared" si="34"/>
        <v>21.106999999999999</v>
      </c>
      <c r="V186">
        <f t="shared" si="35"/>
        <v>1681</v>
      </c>
      <c r="X186">
        <v>1183</v>
      </c>
      <c r="Y186">
        <v>86.97</v>
      </c>
      <c r="Z186">
        <v>-0.35</v>
      </c>
      <c r="AA186">
        <v>21.106999999999999</v>
      </c>
      <c r="AC186">
        <v>1683</v>
      </c>
      <c r="AD186">
        <v>86.97</v>
      </c>
      <c r="AE186">
        <v>46.06</v>
      </c>
      <c r="AF186">
        <v>21.106999999999999</v>
      </c>
    </row>
    <row r="187" spans="1:32" x14ac:dyDescent="0.35">
      <c r="A187">
        <v>184</v>
      </c>
      <c r="B187">
        <v>-1.4</v>
      </c>
      <c r="C187">
        <v>0</v>
      </c>
      <c r="D187">
        <v>21.106999999999999</v>
      </c>
      <c r="E187">
        <f t="shared" si="24"/>
        <v>-1.4</v>
      </c>
      <c r="F187">
        <f t="shared" si="25"/>
        <v>52.64</v>
      </c>
      <c r="G187">
        <f t="shared" si="26"/>
        <v>21.106999999999999</v>
      </c>
      <c r="H187">
        <f t="shared" si="27"/>
        <v>686</v>
      </c>
      <c r="I187">
        <f t="shared" si="28"/>
        <v>86.97</v>
      </c>
      <c r="J187">
        <f t="shared" si="29"/>
        <v>0</v>
      </c>
      <c r="K187">
        <f t="shared" si="30"/>
        <v>21.106999999999999</v>
      </c>
      <c r="L187">
        <f t="shared" si="31"/>
        <v>1186</v>
      </c>
      <c r="O187">
        <v>684</v>
      </c>
      <c r="P187">
        <v>-1.4</v>
      </c>
      <c r="Q187">
        <v>48.253</v>
      </c>
      <c r="R187">
        <v>21.106999999999999</v>
      </c>
      <c r="S187">
        <f t="shared" si="32"/>
        <v>86.97</v>
      </c>
      <c r="T187">
        <f t="shared" si="33"/>
        <v>48.253</v>
      </c>
      <c r="U187">
        <f t="shared" si="34"/>
        <v>21.106999999999999</v>
      </c>
      <c r="V187">
        <f t="shared" si="35"/>
        <v>1684</v>
      </c>
      <c r="X187">
        <v>1184</v>
      </c>
      <c r="Y187">
        <v>74.36</v>
      </c>
      <c r="Z187">
        <v>0</v>
      </c>
      <c r="AA187">
        <v>21.106999999999999</v>
      </c>
      <c r="AC187">
        <v>1684</v>
      </c>
      <c r="AD187">
        <v>86.97</v>
      </c>
      <c r="AE187">
        <v>48.253</v>
      </c>
      <c r="AF187">
        <v>21.106999999999999</v>
      </c>
    </row>
    <row r="188" spans="1:32" x14ac:dyDescent="0.35">
      <c r="A188">
        <v>185</v>
      </c>
      <c r="B188">
        <v>1.0189999999999999</v>
      </c>
      <c r="C188">
        <v>0</v>
      </c>
      <c r="D188">
        <v>21.106999999999999</v>
      </c>
      <c r="E188">
        <f t="shared" si="24"/>
        <v>1.0189999999999999</v>
      </c>
      <c r="F188">
        <f t="shared" si="25"/>
        <v>52.64</v>
      </c>
      <c r="G188">
        <f t="shared" si="26"/>
        <v>21.106999999999999</v>
      </c>
      <c r="H188">
        <f t="shared" si="27"/>
        <v>687</v>
      </c>
      <c r="I188">
        <f t="shared" si="28"/>
        <v>84.55</v>
      </c>
      <c r="J188">
        <f t="shared" si="29"/>
        <v>0</v>
      </c>
      <c r="K188">
        <f t="shared" si="30"/>
        <v>21.106999999999999</v>
      </c>
      <c r="L188">
        <f t="shared" si="31"/>
        <v>1185</v>
      </c>
      <c r="O188">
        <v>685</v>
      </c>
      <c r="P188">
        <v>-1.4</v>
      </c>
      <c r="Q188">
        <v>50.445999999999998</v>
      </c>
      <c r="R188">
        <v>21.106999999999999</v>
      </c>
      <c r="S188">
        <f t="shared" si="32"/>
        <v>86.97</v>
      </c>
      <c r="T188">
        <f t="shared" si="33"/>
        <v>50.445999999999998</v>
      </c>
      <c r="U188">
        <f t="shared" si="34"/>
        <v>21.106999999999999</v>
      </c>
      <c r="V188">
        <f t="shared" si="35"/>
        <v>1685</v>
      </c>
      <c r="X188">
        <v>1185</v>
      </c>
      <c r="Y188">
        <v>84.55</v>
      </c>
      <c r="Z188">
        <v>0</v>
      </c>
      <c r="AA188">
        <v>21.106999999999999</v>
      </c>
      <c r="AC188">
        <v>1685</v>
      </c>
      <c r="AD188">
        <v>86.97</v>
      </c>
      <c r="AE188">
        <v>50.445999999999998</v>
      </c>
      <c r="AF188">
        <v>21.106999999999999</v>
      </c>
    </row>
    <row r="189" spans="1:32" x14ac:dyDescent="0.35">
      <c r="A189">
        <v>186</v>
      </c>
      <c r="B189">
        <v>11.206</v>
      </c>
      <c r="C189">
        <v>0</v>
      </c>
      <c r="D189">
        <v>21.106999999999999</v>
      </c>
      <c r="E189">
        <f t="shared" si="24"/>
        <v>11.206</v>
      </c>
      <c r="F189">
        <f t="shared" si="25"/>
        <v>52.64</v>
      </c>
      <c r="G189">
        <f t="shared" si="26"/>
        <v>21.106999999999999</v>
      </c>
      <c r="H189">
        <f t="shared" si="27"/>
        <v>688</v>
      </c>
      <c r="I189">
        <f t="shared" si="28"/>
        <v>74.36</v>
      </c>
      <c r="J189">
        <f t="shared" si="29"/>
        <v>0</v>
      </c>
      <c r="K189">
        <f t="shared" si="30"/>
        <v>21.106999999999999</v>
      </c>
      <c r="L189">
        <f t="shared" si="31"/>
        <v>1184</v>
      </c>
      <c r="O189">
        <v>686</v>
      </c>
      <c r="P189">
        <v>-1.4</v>
      </c>
      <c r="Q189">
        <v>52.64</v>
      </c>
      <c r="R189">
        <v>21.106999999999999</v>
      </c>
      <c r="S189">
        <f t="shared" si="32"/>
        <v>86.97</v>
      </c>
      <c r="T189">
        <f t="shared" si="33"/>
        <v>52.64</v>
      </c>
      <c r="U189">
        <f t="shared" si="34"/>
        <v>21.106999999999999</v>
      </c>
      <c r="V189">
        <f t="shared" si="35"/>
        <v>1688</v>
      </c>
      <c r="X189">
        <v>1186</v>
      </c>
      <c r="Y189">
        <v>86.97</v>
      </c>
      <c r="Z189">
        <v>0</v>
      </c>
      <c r="AA189">
        <v>21.106999999999999</v>
      </c>
      <c r="AC189">
        <v>1686</v>
      </c>
      <c r="AD189">
        <v>74.36</v>
      </c>
      <c r="AE189">
        <v>52.64</v>
      </c>
      <c r="AF189">
        <v>21.106999999999999</v>
      </c>
    </row>
    <row r="190" spans="1:32" x14ac:dyDescent="0.35">
      <c r="A190">
        <v>187</v>
      </c>
      <c r="B190">
        <v>-1.4</v>
      </c>
      <c r="C190">
        <v>2.194</v>
      </c>
      <c r="D190">
        <v>21.106999999999999</v>
      </c>
      <c r="E190">
        <f t="shared" si="24"/>
        <v>-1.4</v>
      </c>
      <c r="F190">
        <f t="shared" si="25"/>
        <v>50.445999999999998</v>
      </c>
      <c r="G190">
        <f t="shared" si="26"/>
        <v>21.106999999999999</v>
      </c>
      <c r="H190">
        <f t="shared" si="27"/>
        <v>685</v>
      </c>
      <c r="I190">
        <f t="shared" si="28"/>
        <v>86.97</v>
      </c>
      <c r="J190">
        <f t="shared" si="29"/>
        <v>2.194</v>
      </c>
      <c r="K190">
        <f t="shared" si="30"/>
        <v>21.106999999999999</v>
      </c>
      <c r="L190">
        <f t="shared" si="31"/>
        <v>1187</v>
      </c>
      <c r="O190">
        <v>687</v>
      </c>
      <c r="P190">
        <v>1.0189999999999999</v>
      </c>
      <c r="Q190">
        <v>52.64</v>
      </c>
      <c r="R190">
        <v>21.106999999999999</v>
      </c>
      <c r="S190">
        <f t="shared" si="32"/>
        <v>84.55</v>
      </c>
      <c r="T190">
        <f t="shared" si="33"/>
        <v>52.64</v>
      </c>
      <c r="U190">
        <f t="shared" si="34"/>
        <v>21.106999999999999</v>
      </c>
      <c r="V190">
        <f t="shared" si="35"/>
        <v>1687</v>
      </c>
      <c r="X190">
        <v>1187</v>
      </c>
      <c r="Y190">
        <v>86.97</v>
      </c>
      <c r="Z190">
        <v>2.194</v>
      </c>
      <c r="AA190">
        <v>21.106999999999999</v>
      </c>
      <c r="AC190">
        <v>1687</v>
      </c>
      <c r="AD190">
        <v>84.55</v>
      </c>
      <c r="AE190">
        <v>52.64</v>
      </c>
      <c r="AF190">
        <v>21.106999999999999</v>
      </c>
    </row>
    <row r="191" spans="1:32" x14ac:dyDescent="0.35">
      <c r="A191">
        <v>188</v>
      </c>
      <c r="B191">
        <v>-1.4</v>
      </c>
      <c r="C191">
        <v>4.3869999999999996</v>
      </c>
      <c r="D191">
        <v>21.106999999999999</v>
      </c>
      <c r="E191">
        <f t="shared" si="24"/>
        <v>-1.4</v>
      </c>
      <c r="F191">
        <f t="shared" si="25"/>
        <v>48.253</v>
      </c>
      <c r="G191">
        <f t="shared" si="26"/>
        <v>21.106999999999999</v>
      </c>
      <c r="H191">
        <f t="shared" si="27"/>
        <v>684</v>
      </c>
      <c r="I191">
        <f t="shared" si="28"/>
        <v>86.97</v>
      </c>
      <c r="J191">
        <f t="shared" si="29"/>
        <v>4.3869999999999996</v>
      </c>
      <c r="K191">
        <f t="shared" si="30"/>
        <v>21.106999999999999</v>
      </c>
      <c r="L191">
        <f t="shared" si="31"/>
        <v>1188</v>
      </c>
      <c r="O191">
        <v>688</v>
      </c>
      <c r="P191">
        <v>11.206</v>
      </c>
      <c r="Q191">
        <v>52.64</v>
      </c>
      <c r="R191">
        <v>21.106999999999999</v>
      </c>
      <c r="S191">
        <f t="shared" si="32"/>
        <v>74.36</v>
      </c>
      <c r="T191">
        <f t="shared" si="33"/>
        <v>52.64</v>
      </c>
      <c r="U191">
        <f t="shared" si="34"/>
        <v>21.106999999999999</v>
      </c>
      <c r="V191">
        <f t="shared" si="35"/>
        <v>1686</v>
      </c>
      <c r="X191">
        <v>1188</v>
      </c>
      <c r="Y191">
        <v>86.97</v>
      </c>
      <c r="Z191">
        <v>4.3869999999999996</v>
      </c>
      <c r="AA191">
        <v>21.106999999999999</v>
      </c>
      <c r="AC191">
        <v>1688</v>
      </c>
      <c r="AD191">
        <v>86.97</v>
      </c>
      <c r="AE191">
        <v>52.64</v>
      </c>
      <c r="AF191">
        <v>21.106999999999999</v>
      </c>
    </row>
    <row r="192" spans="1:32" x14ac:dyDescent="0.35">
      <c r="A192">
        <v>189</v>
      </c>
      <c r="B192">
        <v>-1.4</v>
      </c>
      <c r="C192">
        <v>6.58</v>
      </c>
      <c r="D192">
        <v>21.106999999999999</v>
      </c>
      <c r="E192">
        <f t="shared" si="24"/>
        <v>-1.4</v>
      </c>
      <c r="F192">
        <f t="shared" si="25"/>
        <v>46.06</v>
      </c>
      <c r="G192">
        <f t="shared" si="26"/>
        <v>21.106999999999999</v>
      </c>
      <c r="H192">
        <f t="shared" si="27"/>
        <v>681</v>
      </c>
      <c r="I192">
        <f t="shared" si="28"/>
        <v>86.97</v>
      </c>
      <c r="J192">
        <f t="shared" si="29"/>
        <v>6.58</v>
      </c>
      <c r="K192">
        <f t="shared" si="30"/>
        <v>21.106999999999999</v>
      </c>
      <c r="L192">
        <f t="shared" si="31"/>
        <v>1191</v>
      </c>
      <c r="O192">
        <v>689</v>
      </c>
      <c r="P192">
        <v>-1.4</v>
      </c>
      <c r="Q192">
        <v>52.99</v>
      </c>
      <c r="R192">
        <v>21.106999999999999</v>
      </c>
      <c r="S192">
        <f t="shared" si="32"/>
        <v>86.97</v>
      </c>
      <c r="T192">
        <f t="shared" si="33"/>
        <v>52.99</v>
      </c>
      <c r="U192">
        <f t="shared" si="34"/>
        <v>21.106999999999999</v>
      </c>
      <c r="V192">
        <f t="shared" si="35"/>
        <v>1698</v>
      </c>
      <c r="X192">
        <v>1189</v>
      </c>
      <c r="Y192">
        <v>74.36</v>
      </c>
      <c r="Z192">
        <v>6.58</v>
      </c>
      <c r="AA192">
        <v>21.106999999999999</v>
      </c>
      <c r="AC192">
        <v>1689</v>
      </c>
      <c r="AD192">
        <v>72.75</v>
      </c>
      <c r="AE192">
        <v>52.99</v>
      </c>
      <c r="AF192">
        <v>21.106999999999999</v>
      </c>
    </row>
    <row r="193" spans="1:32" x14ac:dyDescent="0.35">
      <c r="A193">
        <v>190</v>
      </c>
      <c r="B193">
        <v>1.0189999999999999</v>
      </c>
      <c r="C193">
        <v>6.58</v>
      </c>
      <c r="D193">
        <v>21.106999999999999</v>
      </c>
      <c r="E193">
        <f t="shared" si="24"/>
        <v>1.0189999999999999</v>
      </c>
      <c r="F193">
        <f t="shared" si="25"/>
        <v>46.06</v>
      </c>
      <c r="G193">
        <f t="shared" si="26"/>
        <v>21.106999999999999</v>
      </c>
      <c r="H193">
        <f t="shared" si="27"/>
        <v>682</v>
      </c>
      <c r="I193">
        <f t="shared" si="28"/>
        <v>84.55</v>
      </c>
      <c r="J193">
        <f t="shared" si="29"/>
        <v>6.58</v>
      </c>
      <c r="K193">
        <f t="shared" si="30"/>
        <v>21.106999999999999</v>
      </c>
      <c r="L193">
        <f t="shared" si="31"/>
        <v>1190</v>
      </c>
      <c r="O193">
        <v>690</v>
      </c>
      <c r="P193">
        <v>0</v>
      </c>
      <c r="Q193">
        <v>52.99</v>
      </c>
      <c r="R193">
        <v>21.106999999999999</v>
      </c>
      <c r="S193">
        <f t="shared" si="32"/>
        <v>85.57</v>
      </c>
      <c r="T193">
        <f t="shared" si="33"/>
        <v>52.99</v>
      </c>
      <c r="U193">
        <f t="shared" si="34"/>
        <v>21.106999999999999</v>
      </c>
      <c r="V193">
        <f t="shared" si="35"/>
        <v>1697</v>
      </c>
      <c r="X193">
        <v>1190</v>
      </c>
      <c r="Y193">
        <v>84.55</v>
      </c>
      <c r="Z193">
        <v>6.58</v>
      </c>
      <c r="AA193">
        <v>21.106999999999999</v>
      </c>
      <c r="AC193">
        <v>1690</v>
      </c>
      <c r="AD193">
        <v>73.95</v>
      </c>
      <c r="AE193">
        <v>52.99</v>
      </c>
      <c r="AF193">
        <v>21.106999999999999</v>
      </c>
    </row>
    <row r="194" spans="1:32" x14ac:dyDescent="0.35">
      <c r="A194">
        <v>191</v>
      </c>
      <c r="B194">
        <v>11.206</v>
      </c>
      <c r="C194">
        <v>6.58</v>
      </c>
      <c r="D194">
        <v>21.106999999999999</v>
      </c>
      <c r="E194">
        <f t="shared" si="24"/>
        <v>11.206</v>
      </c>
      <c r="F194">
        <f t="shared" si="25"/>
        <v>46.06</v>
      </c>
      <c r="G194">
        <f t="shared" si="26"/>
        <v>21.106999999999999</v>
      </c>
      <c r="H194">
        <f t="shared" si="27"/>
        <v>683</v>
      </c>
      <c r="I194">
        <f t="shared" si="28"/>
        <v>74.36</v>
      </c>
      <c r="J194">
        <f t="shared" si="29"/>
        <v>6.58</v>
      </c>
      <c r="K194">
        <f t="shared" si="30"/>
        <v>21.106999999999999</v>
      </c>
      <c r="L194">
        <f t="shared" si="31"/>
        <v>1189</v>
      </c>
      <c r="O194">
        <v>691</v>
      </c>
      <c r="P194">
        <v>1.0189999999999999</v>
      </c>
      <c r="Q194">
        <v>52.99</v>
      </c>
      <c r="R194">
        <v>21.106999999999999</v>
      </c>
      <c r="S194">
        <f t="shared" si="32"/>
        <v>84.55</v>
      </c>
      <c r="T194">
        <f t="shared" si="33"/>
        <v>52.99</v>
      </c>
      <c r="U194">
        <f t="shared" si="34"/>
        <v>21.106999999999999</v>
      </c>
      <c r="V194">
        <f t="shared" si="35"/>
        <v>1696</v>
      </c>
      <c r="X194">
        <v>1191</v>
      </c>
      <c r="Y194">
        <v>86.97</v>
      </c>
      <c r="Z194">
        <v>6.58</v>
      </c>
      <c r="AA194">
        <v>21.106999999999999</v>
      </c>
      <c r="AC194">
        <v>1691</v>
      </c>
      <c r="AD194">
        <v>74.36</v>
      </c>
      <c r="AE194">
        <v>52.99</v>
      </c>
      <c r="AF194">
        <v>21.106999999999999</v>
      </c>
    </row>
    <row r="195" spans="1:32" x14ac:dyDescent="0.35">
      <c r="A195">
        <v>192</v>
      </c>
      <c r="B195">
        <v>-1.4</v>
      </c>
      <c r="C195">
        <v>8.7729999999999997</v>
      </c>
      <c r="D195">
        <v>21.106999999999999</v>
      </c>
      <c r="E195">
        <f t="shared" si="24"/>
        <v>-1.4</v>
      </c>
      <c r="F195">
        <f t="shared" si="25"/>
        <v>43.867000000000004</v>
      </c>
      <c r="G195">
        <f t="shared" si="26"/>
        <v>21.106999999999999</v>
      </c>
      <c r="H195">
        <f t="shared" si="27"/>
        <v>680</v>
      </c>
      <c r="I195">
        <f t="shared" si="28"/>
        <v>86.97</v>
      </c>
      <c r="J195">
        <f t="shared" si="29"/>
        <v>8.7729999999999997</v>
      </c>
      <c r="K195">
        <f t="shared" si="30"/>
        <v>21.106999999999999</v>
      </c>
      <c r="L195">
        <f t="shared" si="31"/>
        <v>1192</v>
      </c>
      <c r="O195">
        <v>692</v>
      </c>
      <c r="P195">
        <v>3.056</v>
      </c>
      <c r="Q195">
        <v>52.99</v>
      </c>
      <c r="R195">
        <v>21.106999999999999</v>
      </c>
      <c r="S195">
        <f t="shared" si="32"/>
        <v>82.51</v>
      </c>
      <c r="T195">
        <f t="shared" si="33"/>
        <v>52.99</v>
      </c>
      <c r="U195">
        <f t="shared" si="34"/>
        <v>21.106999999999999</v>
      </c>
      <c r="V195">
        <f t="shared" si="35"/>
        <v>1695</v>
      </c>
      <c r="X195">
        <v>1192</v>
      </c>
      <c r="Y195">
        <v>86.97</v>
      </c>
      <c r="Z195">
        <v>8.7729999999999997</v>
      </c>
      <c r="AA195">
        <v>21.106999999999999</v>
      </c>
      <c r="AC195">
        <v>1692</v>
      </c>
      <c r="AD195">
        <v>76.400000000000006</v>
      </c>
      <c r="AE195">
        <v>52.99</v>
      </c>
      <c r="AF195">
        <v>21.106999999999999</v>
      </c>
    </row>
    <row r="196" spans="1:32" x14ac:dyDescent="0.35">
      <c r="A196">
        <v>193</v>
      </c>
      <c r="B196">
        <v>-1.4</v>
      </c>
      <c r="C196">
        <v>10.965999999999999</v>
      </c>
      <c r="D196">
        <v>21.106999999999999</v>
      </c>
      <c r="E196">
        <f t="shared" si="24"/>
        <v>-1.4</v>
      </c>
      <c r="F196">
        <f t="shared" si="25"/>
        <v>41.673999999999999</v>
      </c>
      <c r="G196">
        <f t="shared" si="26"/>
        <v>21.106999999999999</v>
      </c>
      <c r="H196">
        <f t="shared" si="27"/>
        <v>679</v>
      </c>
      <c r="I196">
        <f t="shared" si="28"/>
        <v>86.97</v>
      </c>
      <c r="J196">
        <f t="shared" si="29"/>
        <v>10.965999999999999</v>
      </c>
      <c r="K196">
        <f t="shared" si="30"/>
        <v>21.106999999999999</v>
      </c>
      <c r="L196">
        <f t="shared" si="31"/>
        <v>1193</v>
      </c>
      <c r="O196">
        <v>693</v>
      </c>
      <c r="P196">
        <v>5.4969999999999999</v>
      </c>
      <c r="Q196">
        <v>52.99</v>
      </c>
      <c r="R196">
        <v>21.106999999999999</v>
      </c>
      <c r="S196">
        <f t="shared" si="32"/>
        <v>80.069999999999993</v>
      </c>
      <c r="T196">
        <f t="shared" si="33"/>
        <v>52.99</v>
      </c>
      <c r="U196">
        <f t="shared" si="34"/>
        <v>21.106999999999999</v>
      </c>
      <c r="V196">
        <f t="shared" si="35"/>
        <v>1694</v>
      </c>
      <c r="X196">
        <v>1193</v>
      </c>
      <c r="Y196">
        <v>86.97</v>
      </c>
      <c r="Z196">
        <v>10.965999999999999</v>
      </c>
      <c r="AA196">
        <v>21.106999999999999</v>
      </c>
      <c r="AC196">
        <v>1693</v>
      </c>
      <c r="AD196">
        <v>78.84</v>
      </c>
      <c r="AE196">
        <v>52.99</v>
      </c>
      <c r="AF196">
        <v>21.106999999999999</v>
      </c>
    </row>
    <row r="197" spans="1:32" x14ac:dyDescent="0.35">
      <c r="A197">
        <v>194</v>
      </c>
      <c r="B197">
        <v>-1.4</v>
      </c>
      <c r="C197">
        <v>13.16</v>
      </c>
      <c r="D197">
        <v>21.106999999999999</v>
      </c>
      <c r="E197">
        <f t="shared" ref="E197:E260" si="36">B197</f>
        <v>-1.4</v>
      </c>
      <c r="F197">
        <f t="shared" ref="F197:F260" si="37">2*$P$1-C197</f>
        <v>39.480000000000004</v>
      </c>
      <c r="G197">
        <f t="shared" ref="G197:G260" si="38">D197</f>
        <v>21.106999999999999</v>
      </c>
      <c r="H197">
        <f t="shared" ref="H197:H260" si="39">SUMIFS($O:$O,$P:$P,E197,$Q:$Q,F197,$R:$R,G197)</f>
        <v>674</v>
      </c>
      <c r="I197">
        <f t="shared" ref="I197:I260" si="40">TRUNC(2*$Z$1-B197,2)</f>
        <v>86.97</v>
      </c>
      <c r="J197">
        <f t="shared" ref="J197:J260" si="41">C197</f>
        <v>13.16</v>
      </c>
      <c r="K197">
        <f t="shared" ref="K197:K260" si="42">D197</f>
        <v>21.106999999999999</v>
      </c>
      <c r="L197">
        <f t="shared" ref="L197:L260" si="43">SUMIFS($X:$X,$Y:$Y,I197,$Z:$Z,J197,$AA:$AA,K197)</f>
        <v>1198</v>
      </c>
      <c r="O197">
        <v>694</v>
      </c>
      <c r="P197">
        <v>6.7270000000000003</v>
      </c>
      <c r="Q197">
        <v>52.99</v>
      </c>
      <c r="R197">
        <v>21.106999999999999</v>
      </c>
      <c r="S197">
        <f t="shared" ref="S197:S260" si="44">TRUNC(2*$Z$1-P197,2)</f>
        <v>78.84</v>
      </c>
      <c r="T197">
        <f t="shared" ref="T197:T260" si="45">Q197</f>
        <v>52.99</v>
      </c>
      <c r="U197">
        <f t="shared" ref="U197:U260" si="46">R197</f>
        <v>21.106999999999999</v>
      </c>
      <c r="V197">
        <f t="shared" ref="V197:V260" si="47">SUMIFS($AC:$AC,$AD:$AD,S197,$AE:$AE,T197,$AF:$AF,U197)</f>
        <v>1693</v>
      </c>
      <c r="X197">
        <v>1194</v>
      </c>
      <c r="Y197">
        <v>74.36</v>
      </c>
      <c r="Z197">
        <v>13.16</v>
      </c>
      <c r="AA197">
        <v>21.106999999999999</v>
      </c>
      <c r="AC197">
        <v>1694</v>
      </c>
      <c r="AD197">
        <v>80.069999999999993</v>
      </c>
      <c r="AE197">
        <v>52.99</v>
      </c>
      <c r="AF197">
        <v>21.106999999999999</v>
      </c>
    </row>
    <row r="198" spans="1:32" x14ac:dyDescent="0.35">
      <c r="A198">
        <v>195</v>
      </c>
      <c r="B198">
        <v>1.0189999999999999</v>
      </c>
      <c r="C198">
        <v>13.16</v>
      </c>
      <c r="D198">
        <v>21.106999999999999</v>
      </c>
      <c r="E198">
        <f t="shared" si="36"/>
        <v>1.0189999999999999</v>
      </c>
      <c r="F198">
        <f t="shared" si="37"/>
        <v>39.480000000000004</v>
      </c>
      <c r="G198">
        <f t="shared" si="38"/>
        <v>21.106999999999999</v>
      </c>
      <c r="H198">
        <f t="shared" si="39"/>
        <v>675</v>
      </c>
      <c r="I198">
        <f t="shared" si="40"/>
        <v>84.55</v>
      </c>
      <c r="J198">
        <f t="shared" si="41"/>
        <v>13.16</v>
      </c>
      <c r="K198">
        <f t="shared" si="42"/>
        <v>21.106999999999999</v>
      </c>
      <c r="L198">
        <f t="shared" si="43"/>
        <v>1197</v>
      </c>
      <c r="O198">
        <v>695</v>
      </c>
      <c r="P198">
        <v>9.1690000000000005</v>
      </c>
      <c r="Q198">
        <v>52.99</v>
      </c>
      <c r="R198">
        <v>21.106999999999999</v>
      </c>
      <c r="S198">
        <f t="shared" si="44"/>
        <v>76.400000000000006</v>
      </c>
      <c r="T198">
        <f t="shared" si="45"/>
        <v>52.99</v>
      </c>
      <c r="U198">
        <f t="shared" si="46"/>
        <v>21.106999999999999</v>
      </c>
      <c r="V198">
        <f t="shared" si="47"/>
        <v>1692</v>
      </c>
      <c r="X198">
        <v>1195</v>
      </c>
      <c r="Y198">
        <v>78.84</v>
      </c>
      <c r="Z198">
        <v>13.16</v>
      </c>
      <c r="AA198">
        <v>21.106999999999999</v>
      </c>
      <c r="AC198">
        <v>1695</v>
      </c>
      <c r="AD198">
        <v>82.51</v>
      </c>
      <c r="AE198">
        <v>52.99</v>
      </c>
      <c r="AF198">
        <v>21.106999999999999</v>
      </c>
    </row>
    <row r="199" spans="1:32" x14ac:dyDescent="0.35">
      <c r="A199">
        <v>196</v>
      </c>
      <c r="B199">
        <v>5.4969999999999999</v>
      </c>
      <c r="C199">
        <v>13.16</v>
      </c>
      <c r="D199">
        <v>21.106999999999999</v>
      </c>
      <c r="E199">
        <f t="shared" si="36"/>
        <v>5.4969999999999999</v>
      </c>
      <c r="F199">
        <f t="shared" si="37"/>
        <v>39.480000000000004</v>
      </c>
      <c r="G199">
        <f t="shared" si="38"/>
        <v>21.106999999999999</v>
      </c>
      <c r="H199">
        <f t="shared" si="39"/>
        <v>676</v>
      </c>
      <c r="I199">
        <f t="shared" si="40"/>
        <v>80.069999999999993</v>
      </c>
      <c r="J199">
        <f t="shared" si="41"/>
        <v>13.16</v>
      </c>
      <c r="K199">
        <f t="shared" si="42"/>
        <v>21.106999999999999</v>
      </c>
      <c r="L199">
        <f t="shared" si="43"/>
        <v>1196</v>
      </c>
      <c r="O199">
        <v>696</v>
      </c>
      <c r="P199">
        <v>11.206</v>
      </c>
      <c r="Q199">
        <v>52.99</v>
      </c>
      <c r="R199">
        <v>21.106999999999999</v>
      </c>
      <c r="S199">
        <f t="shared" si="44"/>
        <v>74.36</v>
      </c>
      <c r="T199">
        <f t="shared" si="45"/>
        <v>52.99</v>
      </c>
      <c r="U199">
        <f t="shared" si="46"/>
        <v>21.106999999999999</v>
      </c>
      <c r="V199">
        <f t="shared" si="47"/>
        <v>1691</v>
      </c>
      <c r="X199">
        <v>1196</v>
      </c>
      <c r="Y199">
        <v>80.069999999999993</v>
      </c>
      <c r="Z199">
        <v>13.16</v>
      </c>
      <c r="AA199">
        <v>21.106999999999999</v>
      </c>
      <c r="AC199">
        <v>1696</v>
      </c>
      <c r="AD199">
        <v>84.55</v>
      </c>
      <c r="AE199">
        <v>52.99</v>
      </c>
      <c r="AF199">
        <v>21.106999999999999</v>
      </c>
    </row>
    <row r="200" spans="1:32" x14ac:dyDescent="0.35">
      <c r="A200">
        <v>197</v>
      </c>
      <c r="B200">
        <v>6.7270000000000003</v>
      </c>
      <c r="C200">
        <v>13.16</v>
      </c>
      <c r="D200">
        <v>21.106999999999999</v>
      </c>
      <c r="E200">
        <f t="shared" si="36"/>
        <v>6.7270000000000003</v>
      </c>
      <c r="F200">
        <f t="shared" si="37"/>
        <v>39.480000000000004</v>
      </c>
      <c r="G200">
        <f t="shared" si="38"/>
        <v>21.106999999999999</v>
      </c>
      <c r="H200">
        <f t="shared" si="39"/>
        <v>677</v>
      </c>
      <c r="I200">
        <f t="shared" si="40"/>
        <v>78.84</v>
      </c>
      <c r="J200">
        <f t="shared" si="41"/>
        <v>13.16</v>
      </c>
      <c r="K200">
        <f t="shared" si="42"/>
        <v>21.106999999999999</v>
      </c>
      <c r="L200">
        <f t="shared" si="43"/>
        <v>1195</v>
      </c>
      <c r="O200">
        <v>697</v>
      </c>
      <c r="P200">
        <v>11.625</v>
      </c>
      <c r="Q200">
        <v>52.99</v>
      </c>
      <c r="R200">
        <v>21.106999999999999</v>
      </c>
      <c r="S200">
        <f t="shared" si="44"/>
        <v>73.95</v>
      </c>
      <c r="T200">
        <f t="shared" si="45"/>
        <v>52.99</v>
      </c>
      <c r="U200">
        <f t="shared" si="46"/>
        <v>21.106999999999999</v>
      </c>
      <c r="V200">
        <f t="shared" si="47"/>
        <v>1690</v>
      </c>
      <c r="X200">
        <v>1197</v>
      </c>
      <c r="Y200">
        <v>84.55</v>
      </c>
      <c r="Z200">
        <v>13.16</v>
      </c>
      <c r="AA200">
        <v>21.106999999999999</v>
      </c>
      <c r="AC200">
        <v>1697</v>
      </c>
      <c r="AD200">
        <v>85.57</v>
      </c>
      <c r="AE200">
        <v>52.99</v>
      </c>
      <c r="AF200">
        <v>21.106999999999999</v>
      </c>
    </row>
    <row r="201" spans="1:32" x14ac:dyDescent="0.35">
      <c r="A201">
        <v>198</v>
      </c>
      <c r="B201">
        <v>11.206</v>
      </c>
      <c r="C201">
        <v>13.16</v>
      </c>
      <c r="D201">
        <v>21.106999999999999</v>
      </c>
      <c r="E201">
        <f t="shared" si="36"/>
        <v>11.206</v>
      </c>
      <c r="F201">
        <f t="shared" si="37"/>
        <v>39.480000000000004</v>
      </c>
      <c r="G201">
        <f t="shared" si="38"/>
        <v>21.106999999999999</v>
      </c>
      <c r="H201">
        <f t="shared" si="39"/>
        <v>678</v>
      </c>
      <c r="I201">
        <f t="shared" si="40"/>
        <v>74.36</v>
      </c>
      <c r="J201">
        <f t="shared" si="41"/>
        <v>13.16</v>
      </c>
      <c r="K201">
        <f t="shared" si="42"/>
        <v>21.106999999999999</v>
      </c>
      <c r="L201">
        <f t="shared" si="43"/>
        <v>1194</v>
      </c>
      <c r="O201">
        <v>698</v>
      </c>
      <c r="P201">
        <v>12.824999999999999</v>
      </c>
      <c r="Q201">
        <v>52.99</v>
      </c>
      <c r="R201">
        <v>21.106999999999999</v>
      </c>
      <c r="S201">
        <f t="shared" si="44"/>
        <v>72.75</v>
      </c>
      <c r="T201">
        <f t="shared" si="45"/>
        <v>52.99</v>
      </c>
      <c r="U201">
        <f t="shared" si="46"/>
        <v>21.106999999999999</v>
      </c>
      <c r="V201">
        <f t="shared" si="47"/>
        <v>1689</v>
      </c>
      <c r="X201">
        <v>1198</v>
      </c>
      <c r="Y201">
        <v>86.97</v>
      </c>
      <c r="Z201">
        <v>13.16</v>
      </c>
      <c r="AA201">
        <v>21.106999999999999</v>
      </c>
      <c r="AC201">
        <v>1698</v>
      </c>
      <c r="AD201">
        <v>86.97</v>
      </c>
      <c r="AE201">
        <v>52.99</v>
      </c>
      <c r="AF201">
        <v>21.106999999999999</v>
      </c>
    </row>
    <row r="202" spans="1:32" x14ac:dyDescent="0.35">
      <c r="A202">
        <v>199</v>
      </c>
      <c r="B202">
        <v>5.4969999999999999</v>
      </c>
      <c r="C202">
        <v>-0.35</v>
      </c>
      <c r="D202">
        <v>22.565000000000001</v>
      </c>
      <c r="E202">
        <f t="shared" si="36"/>
        <v>5.4969999999999999</v>
      </c>
      <c r="F202">
        <f t="shared" si="37"/>
        <v>52.99</v>
      </c>
      <c r="G202">
        <f t="shared" si="38"/>
        <v>22.565000000000001</v>
      </c>
      <c r="H202">
        <f t="shared" si="39"/>
        <v>701</v>
      </c>
      <c r="I202">
        <f t="shared" si="40"/>
        <v>80.069999999999993</v>
      </c>
      <c r="J202">
        <f t="shared" si="41"/>
        <v>-0.35</v>
      </c>
      <c r="K202">
        <f t="shared" si="42"/>
        <v>22.565000000000001</v>
      </c>
      <c r="L202">
        <f t="shared" si="43"/>
        <v>1200</v>
      </c>
      <c r="O202">
        <v>699</v>
      </c>
      <c r="P202">
        <v>5.4969999999999999</v>
      </c>
      <c r="Q202">
        <v>39.479999999999997</v>
      </c>
      <c r="R202">
        <v>22.565000000000001</v>
      </c>
      <c r="S202">
        <f t="shared" si="44"/>
        <v>80.069999999999993</v>
      </c>
      <c r="T202">
        <f t="shared" si="45"/>
        <v>39.479999999999997</v>
      </c>
      <c r="U202">
        <f t="shared" si="46"/>
        <v>22.565000000000001</v>
      </c>
      <c r="V202">
        <f t="shared" si="47"/>
        <v>1700</v>
      </c>
      <c r="X202">
        <v>1199</v>
      </c>
      <c r="Y202">
        <v>78.84</v>
      </c>
      <c r="Z202">
        <v>-0.35</v>
      </c>
      <c r="AA202">
        <v>22.565000000000001</v>
      </c>
      <c r="AC202">
        <v>1699</v>
      </c>
      <c r="AD202">
        <v>78.84</v>
      </c>
      <c r="AE202">
        <v>39.479999999999997</v>
      </c>
      <c r="AF202">
        <v>22.565000000000001</v>
      </c>
    </row>
    <row r="203" spans="1:32" x14ac:dyDescent="0.35">
      <c r="A203">
        <v>200</v>
      </c>
      <c r="B203">
        <v>6.7270000000000003</v>
      </c>
      <c r="C203">
        <v>-0.35</v>
      </c>
      <c r="D203">
        <v>22.565000000000001</v>
      </c>
      <c r="E203">
        <f t="shared" si="36"/>
        <v>6.7270000000000003</v>
      </c>
      <c r="F203">
        <f t="shared" si="37"/>
        <v>52.99</v>
      </c>
      <c r="G203">
        <f t="shared" si="38"/>
        <v>22.565000000000001</v>
      </c>
      <c r="H203">
        <f t="shared" si="39"/>
        <v>702</v>
      </c>
      <c r="I203">
        <f t="shared" si="40"/>
        <v>78.84</v>
      </c>
      <c r="J203">
        <f t="shared" si="41"/>
        <v>-0.35</v>
      </c>
      <c r="K203">
        <f t="shared" si="42"/>
        <v>22.565000000000001</v>
      </c>
      <c r="L203">
        <f t="shared" si="43"/>
        <v>1199</v>
      </c>
      <c r="O203">
        <v>700</v>
      </c>
      <c r="P203">
        <v>6.7270000000000003</v>
      </c>
      <c r="Q203">
        <v>39.479999999999997</v>
      </c>
      <c r="R203">
        <v>22.565000000000001</v>
      </c>
      <c r="S203">
        <f t="shared" si="44"/>
        <v>78.84</v>
      </c>
      <c r="T203">
        <f t="shared" si="45"/>
        <v>39.479999999999997</v>
      </c>
      <c r="U203">
        <f t="shared" si="46"/>
        <v>22.565000000000001</v>
      </c>
      <c r="V203">
        <f t="shared" si="47"/>
        <v>1699</v>
      </c>
      <c r="X203">
        <v>1200</v>
      </c>
      <c r="Y203">
        <v>80.069999999999993</v>
      </c>
      <c r="Z203">
        <v>-0.35</v>
      </c>
      <c r="AA203">
        <v>22.565000000000001</v>
      </c>
      <c r="AC203">
        <v>1700</v>
      </c>
      <c r="AD203">
        <v>80.069999999999993</v>
      </c>
      <c r="AE203">
        <v>39.479999999999997</v>
      </c>
      <c r="AF203">
        <v>22.565000000000001</v>
      </c>
    </row>
    <row r="204" spans="1:32" x14ac:dyDescent="0.35">
      <c r="A204">
        <v>201</v>
      </c>
      <c r="B204">
        <v>5.4969999999999999</v>
      </c>
      <c r="C204">
        <v>13.16</v>
      </c>
      <c r="D204">
        <v>22.565000000000001</v>
      </c>
      <c r="E204">
        <f t="shared" si="36"/>
        <v>5.4969999999999999</v>
      </c>
      <c r="F204">
        <f t="shared" si="37"/>
        <v>39.480000000000004</v>
      </c>
      <c r="G204">
        <f t="shared" si="38"/>
        <v>22.565000000000001</v>
      </c>
      <c r="H204">
        <f t="shared" si="39"/>
        <v>699</v>
      </c>
      <c r="I204">
        <f t="shared" si="40"/>
        <v>80.069999999999993</v>
      </c>
      <c r="J204">
        <f t="shared" si="41"/>
        <v>13.16</v>
      </c>
      <c r="K204">
        <f t="shared" si="42"/>
        <v>22.565000000000001</v>
      </c>
      <c r="L204">
        <f t="shared" si="43"/>
        <v>1202</v>
      </c>
      <c r="O204">
        <v>701</v>
      </c>
      <c r="P204">
        <v>5.4969999999999999</v>
      </c>
      <c r="Q204">
        <v>52.99</v>
      </c>
      <c r="R204">
        <v>22.565000000000001</v>
      </c>
      <c r="S204">
        <f t="shared" si="44"/>
        <v>80.069999999999993</v>
      </c>
      <c r="T204">
        <f t="shared" si="45"/>
        <v>52.99</v>
      </c>
      <c r="U204">
        <f t="shared" si="46"/>
        <v>22.565000000000001</v>
      </c>
      <c r="V204">
        <f t="shared" si="47"/>
        <v>1702</v>
      </c>
      <c r="X204">
        <v>1201</v>
      </c>
      <c r="Y204">
        <v>78.84</v>
      </c>
      <c r="Z204">
        <v>13.16</v>
      </c>
      <c r="AA204">
        <v>22.565000000000001</v>
      </c>
      <c r="AC204">
        <v>1701</v>
      </c>
      <c r="AD204">
        <v>78.84</v>
      </c>
      <c r="AE204">
        <v>52.99</v>
      </c>
      <c r="AF204">
        <v>22.565000000000001</v>
      </c>
    </row>
    <row r="205" spans="1:32" x14ac:dyDescent="0.35">
      <c r="A205">
        <v>202</v>
      </c>
      <c r="B205">
        <v>6.7270000000000003</v>
      </c>
      <c r="C205">
        <v>13.16</v>
      </c>
      <c r="D205">
        <v>22.565000000000001</v>
      </c>
      <c r="E205">
        <f t="shared" si="36"/>
        <v>6.7270000000000003</v>
      </c>
      <c r="F205">
        <f t="shared" si="37"/>
        <v>39.480000000000004</v>
      </c>
      <c r="G205">
        <f t="shared" si="38"/>
        <v>22.565000000000001</v>
      </c>
      <c r="H205">
        <f t="shared" si="39"/>
        <v>700</v>
      </c>
      <c r="I205">
        <f t="shared" si="40"/>
        <v>78.84</v>
      </c>
      <c r="J205">
        <f t="shared" si="41"/>
        <v>13.16</v>
      </c>
      <c r="K205">
        <f t="shared" si="42"/>
        <v>22.565000000000001</v>
      </c>
      <c r="L205">
        <f t="shared" si="43"/>
        <v>1201</v>
      </c>
      <c r="O205">
        <v>702</v>
      </c>
      <c r="P205">
        <v>6.7270000000000003</v>
      </c>
      <c r="Q205">
        <v>52.99</v>
      </c>
      <c r="R205">
        <v>22.565000000000001</v>
      </c>
      <c r="S205">
        <f t="shared" si="44"/>
        <v>78.84</v>
      </c>
      <c r="T205">
        <f t="shared" si="45"/>
        <v>52.99</v>
      </c>
      <c r="U205">
        <f t="shared" si="46"/>
        <v>22.565000000000001</v>
      </c>
      <c r="V205">
        <f t="shared" si="47"/>
        <v>1701</v>
      </c>
      <c r="X205">
        <v>1202</v>
      </c>
      <c r="Y205">
        <v>80.069999999999993</v>
      </c>
      <c r="Z205">
        <v>13.16</v>
      </c>
      <c r="AA205">
        <v>22.565000000000001</v>
      </c>
      <c r="AC205">
        <v>1702</v>
      </c>
      <c r="AD205">
        <v>80.069999999999993</v>
      </c>
      <c r="AE205">
        <v>52.99</v>
      </c>
      <c r="AF205">
        <v>22.565000000000001</v>
      </c>
    </row>
    <row r="206" spans="1:32" x14ac:dyDescent="0.35">
      <c r="A206">
        <v>203</v>
      </c>
      <c r="B206">
        <v>-1.4</v>
      </c>
      <c r="C206">
        <v>-0.35</v>
      </c>
      <c r="D206">
        <v>23.064</v>
      </c>
      <c r="E206">
        <f t="shared" si="36"/>
        <v>-1.4</v>
      </c>
      <c r="F206">
        <f t="shared" si="37"/>
        <v>52.99</v>
      </c>
      <c r="G206">
        <f t="shared" si="38"/>
        <v>23.064</v>
      </c>
      <c r="H206">
        <f t="shared" si="39"/>
        <v>718</v>
      </c>
      <c r="I206">
        <f t="shared" si="40"/>
        <v>86.97</v>
      </c>
      <c r="J206">
        <f t="shared" si="41"/>
        <v>-0.35</v>
      </c>
      <c r="K206">
        <f t="shared" si="42"/>
        <v>23.064</v>
      </c>
      <c r="L206">
        <f t="shared" si="43"/>
        <v>1210</v>
      </c>
      <c r="O206">
        <v>703</v>
      </c>
      <c r="P206">
        <v>-1.4</v>
      </c>
      <c r="Q206">
        <v>39.479999999999997</v>
      </c>
      <c r="R206">
        <v>23.064</v>
      </c>
      <c r="S206">
        <f t="shared" si="44"/>
        <v>86.97</v>
      </c>
      <c r="T206">
        <f t="shared" si="45"/>
        <v>39.479999999999997</v>
      </c>
      <c r="U206">
        <f t="shared" si="46"/>
        <v>23.064</v>
      </c>
      <c r="V206">
        <f t="shared" si="47"/>
        <v>1707</v>
      </c>
      <c r="X206">
        <v>1203</v>
      </c>
      <c r="Y206">
        <v>73.95</v>
      </c>
      <c r="Z206">
        <v>-0.35</v>
      </c>
      <c r="AA206">
        <v>23.064</v>
      </c>
      <c r="AC206">
        <v>1703</v>
      </c>
      <c r="AD206">
        <v>75.38</v>
      </c>
      <c r="AE206">
        <v>39.479999999999997</v>
      </c>
      <c r="AF206">
        <v>23.064</v>
      </c>
    </row>
    <row r="207" spans="1:32" x14ac:dyDescent="0.35">
      <c r="A207">
        <v>204</v>
      </c>
      <c r="B207">
        <v>2.0369999999999999</v>
      </c>
      <c r="C207">
        <v>-0.35</v>
      </c>
      <c r="D207">
        <v>23.064</v>
      </c>
      <c r="E207">
        <f t="shared" si="36"/>
        <v>2.0369999999999999</v>
      </c>
      <c r="F207">
        <f t="shared" si="37"/>
        <v>52.99</v>
      </c>
      <c r="G207">
        <f t="shared" si="38"/>
        <v>23.064</v>
      </c>
      <c r="H207">
        <f t="shared" si="39"/>
        <v>719</v>
      </c>
      <c r="I207">
        <f t="shared" si="40"/>
        <v>83.53</v>
      </c>
      <c r="J207">
        <f t="shared" si="41"/>
        <v>-0.35</v>
      </c>
      <c r="K207">
        <f t="shared" si="42"/>
        <v>23.064</v>
      </c>
      <c r="L207">
        <f t="shared" si="43"/>
        <v>1209</v>
      </c>
      <c r="O207">
        <v>704</v>
      </c>
      <c r="P207">
        <v>2.0369999999999999</v>
      </c>
      <c r="Q207">
        <v>39.479999999999997</v>
      </c>
      <c r="R207">
        <v>23.064</v>
      </c>
      <c r="S207">
        <f t="shared" si="44"/>
        <v>83.53</v>
      </c>
      <c r="T207">
        <f t="shared" si="45"/>
        <v>39.479999999999997</v>
      </c>
      <c r="U207">
        <f t="shared" si="46"/>
        <v>23.064</v>
      </c>
      <c r="V207">
        <f t="shared" si="47"/>
        <v>1706</v>
      </c>
      <c r="X207">
        <v>1204</v>
      </c>
      <c r="Y207">
        <v>75.38</v>
      </c>
      <c r="Z207">
        <v>-0.35</v>
      </c>
      <c r="AA207">
        <v>23.064</v>
      </c>
      <c r="AC207">
        <v>1704</v>
      </c>
      <c r="AD207">
        <v>78.84</v>
      </c>
      <c r="AE207">
        <v>39.479999999999997</v>
      </c>
      <c r="AF207">
        <v>23.064</v>
      </c>
    </row>
    <row r="208" spans="1:32" x14ac:dyDescent="0.35">
      <c r="A208">
        <v>205</v>
      </c>
      <c r="B208">
        <v>3.056</v>
      </c>
      <c r="C208">
        <v>-0.35</v>
      </c>
      <c r="D208">
        <v>23.064</v>
      </c>
      <c r="E208">
        <f t="shared" si="36"/>
        <v>3.056</v>
      </c>
      <c r="F208">
        <f t="shared" si="37"/>
        <v>52.99</v>
      </c>
      <c r="G208">
        <f t="shared" si="38"/>
        <v>23.064</v>
      </c>
      <c r="H208">
        <f t="shared" si="39"/>
        <v>720</v>
      </c>
      <c r="I208">
        <f t="shared" si="40"/>
        <v>82.51</v>
      </c>
      <c r="J208">
        <f t="shared" si="41"/>
        <v>-0.35</v>
      </c>
      <c r="K208">
        <f t="shared" si="42"/>
        <v>23.064</v>
      </c>
      <c r="L208">
        <f t="shared" si="43"/>
        <v>1208</v>
      </c>
      <c r="O208">
        <v>705</v>
      </c>
      <c r="P208">
        <v>5.4969999999999999</v>
      </c>
      <c r="Q208">
        <v>39.479999999999997</v>
      </c>
      <c r="R208">
        <v>23.064</v>
      </c>
      <c r="S208">
        <f t="shared" si="44"/>
        <v>80.069999999999993</v>
      </c>
      <c r="T208">
        <f t="shared" si="45"/>
        <v>39.479999999999997</v>
      </c>
      <c r="U208">
        <f t="shared" si="46"/>
        <v>23.064</v>
      </c>
      <c r="V208">
        <f t="shared" si="47"/>
        <v>1705</v>
      </c>
      <c r="X208">
        <v>1205</v>
      </c>
      <c r="Y208">
        <v>76.400000000000006</v>
      </c>
      <c r="Z208">
        <v>-0.35</v>
      </c>
      <c r="AA208">
        <v>23.064</v>
      </c>
      <c r="AC208">
        <v>1705</v>
      </c>
      <c r="AD208">
        <v>80.069999999999993</v>
      </c>
      <c r="AE208">
        <v>39.479999999999997</v>
      </c>
      <c r="AF208">
        <v>23.064</v>
      </c>
    </row>
    <row r="209" spans="1:32" x14ac:dyDescent="0.35">
      <c r="A209">
        <v>206</v>
      </c>
      <c r="B209">
        <v>5.4969999999999999</v>
      </c>
      <c r="C209">
        <v>-0.35</v>
      </c>
      <c r="D209">
        <v>23.064</v>
      </c>
      <c r="E209">
        <f t="shared" si="36"/>
        <v>5.4969999999999999</v>
      </c>
      <c r="F209">
        <f t="shared" si="37"/>
        <v>52.99</v>
      </c>
      <c r="G209">
        <f t="shared" si="38"/>
        <v>23.064</v>
      </c>
      <c r="H209">
        <f t="shared" si="39"/>
        <v>721</v>
      </c>
      <c r="I209">
        <f t="shared" si="40"/>
        <v>80.069999999999993</v>
      </c>
      <c r="J209">
        <f t="shared" si="41"/>
        <v>-0.35</v>
      </c>
      <c r="K209">
        <f t="shared" si="42"/>
        <v>23.064</v>
      </c>
      <c r="L209">
        <f t="shared" si="43"/>
        <v>1207</v>
      </c>
      <c r="O209">
        <v>706</v>
      </c>
      <c r="P209">
        <v>6.7270000000000003</v>
      </c>
      <c r="Q209">
        <v>39.479999999999997</v>
      </c>
      <c r="R209">
        <v>23.064</v>
      </c>
      <c r="S209">
        <f t="shared" si="44"/>
        <v>78.84</v>
      </c>
      <c r="T209">
        <f t="shared" si="45"/>
        <v>39.479999999999997</v>
      </c>
      <c r="U209">
        <f t="shared" si="46"/>
        <v>23.064</v>
      </c>
      <c r="V209">
        <f t="shared" si="47"/>
        <v>1704</v>
      </c>
      <c r="X209">
        <v>1206</v>
      </c>
      <c r="Y209">
        <v>78.84</v>
      </c>
      <c r="Z209">
        <v>-0.35</v>
      </c>
      <c r="AA209">
        <v>23.064</v>
      </c>
      <c r="AC209">
        <v>1706</v>
      </c>
      <c r="AD209">
        <v>83.53</v>
      </c>
      <c r="AE209">
        <v>39.479999999999997</v>
      </c>
      <c r="AF209">
        <v>23.064</v>
      </c>
    </row>
    <row r="210" spans="1:32" x14ac:dyDescent="0.35">
      <c r="A210">
        <v>207</v>
      </c>
      <c r="B210">
        <v>6.7270000000000003</v>
      </c>
      <c r="C210">
        <v>-0.35</v>
      </c>
      <c r="D210">
        <v>23.064</v>
      </c>
      <c r="E210">
        <f t="shared" si="36"/>
        <v>6.7270000000000003</v>
      </c>
      <c r="F210">
        <f t="shared" si="37"/>
        <v>52.99</v>
      </c>
      <c r="G210">
        <f t="shared" si="38"/>
        <v>23.064</v>
      </c>
      <c r="H210">
        <f t="shared" si="39"/>
        <v>722</v>
      </c>
      <c r="I210">
        <f t="shared" si="40"/>
        <v>78.84</v>
      </c>
      <c r="J210">
        <f t="shared" si="41"/>
        <v>-0.35</v>
      </c>
      <c r="K210">
        <f t="shared" si="42"/>
        <v>23.064</v>
      </c>
      <c r="L210">
        <f t="shared" si="43"/>
        <v>1206</v>
      </c>
      <c r="O210">
        <v>707</v>
      </c>
      <c r="P210">
        <v>10.188000000000001</v>
      </c>
      <c r="Q210">
        <v>39.479999999999997</v>
      </c>
      <c r="R210">
        <v>23.064</v>
      </c>
      <c r="S210">
        <f t="shared" si="44"/>
        <v>75.38</v>
      </c>
      <c r="T210">
        <f t="shared" si="45"/>
        <v>39.479999999999997</v>
      </c>
      <c r="U210">
        <f t="shared" si="46"/>
        <v>23.064</v>
      </c>
      <c r="V210">
        <f t="shared" si="47"/>
        <v>1703</v>
      </c>
      <c r="X210">
        <v>1207</v>
      </c>
      <c r="Y210">
        <v>80.069999999999993</v>
      </c>
      <c r="Z210">
        <v>-0.35</v>
      </c>
      <c r="AA210">
        <v>23.064</v>
      </c>
      <c r="AC210">
        <v>1707</v>
      </c>
      <c r="AD210">
        <v>86.97</v>
      </c>
      <c r="AE210">
        <v>39.479999999999997</v>
      </c>
      <c r="AF210">
        <v>23.064</v>
      </c>
    </row>
    <row r="211" spans="1:32" x14ac:dyDescent="0.35">
      <c r="A211">
        <v>208</v>
      </c>
      <c r="B211">
        <v>9.1690000000000005</v>
      </c>
      <c r="C211">
        <v>-0.35</v>
      </c>
      <c r="D211">
        <v>23.064</v>
      </c>
      <c r="E211">
        <f t="shared" si="36"/>
        <v>9.1690000000000005</v>
      </c>
      <c r="F211">
        <f t="shared" si="37"/>
        <v>52.99</v>
      </c>
      <c r="G211">
        <f t="shared" si="38"/>
        <v>23.064</v>
      </c>
      <c r="H211">
        <f t="shared" si="39"/>
        <v>723</v>
      </c>
      <c r="I211">
        <f t="shared" si="40"/>
        <v>76.400000000000006</v>
      </c>
      <c r="J211">
        <f t="shared" si="41"/>
        <v>-0.35</v>
      </c>
      <c r="K211">
        <f t="shared" si="42"/>
        <v>23.064</v>
      </c>
      <c r="L211">
        <f t="shared" si="43"/>
        <v>1205</v>
      </c>
      <c r="O211">
        <v>708</v>
      </c>
      <c r="P211">
        <v>-1.4</v>
      </c>
      <c r="Q211">
        <v>41.673999999999999</v>
      </c>
      <c r="R211">
        <v>23.064</v>
      </c>
      <c r="S211">
        <f t="shared" si="44"/>
        <v>86.97</v>
      </c>
      <c r="T211">
        <f t="shared" si="45"/>
        <v>41.673999999999999</v>
      </c>
      <c r="U211">
        <f t="shared" si="46"/>
        <v>23.064</v>
      </c>
      <c r="V211">
        <f t="shared" si="47"/>
        <v>1708</v>
      </c>
      <c r="X211">
        <v>1208</v>
      </c>
      <c r="Y211">
        <v>82.51</v>
      </c>
      <c r="Z211">
        <v>-0.35</v>
      </c>
      <c r="AA211">
        <v>23.064</v>
      </c>
      <c r="AC211">
        <v>1708</v>
      </c>
      <c r="AD211">
        <v>86.97</v>
      </c>
      <c r="AE211">
        <v>41.673999999999999</v>
      </c>
      <c r="AF211">
        <v>23.064</v>
      </c>
    </row>
    <row r="212" spans="1:32" x14ac:dyDescent="0.35">
      <c r="A212">
        <v>209</v>
      </c>
      <c r="B212">
        <v>10.188000000000001</v>
      </c>
      <c r="C212">
        <v>-0.35</v>
      </c>
      <c r="D212">
        <v>23.064</v>
      </c>
      <c r="E212">
        <f t="shared" si="36"/>
        <v>10.188000000000001</v>
      </c>
      <c r="F212">
        <f t="shared" si="37"/>
        <v>52.99</v>
      </c>
      <c r="G212">
        <f t="shared" si="38"/>
        <v>23.064</v>
      </c>
      <c r="H212">
        <f t="shared" si="39"/>
        <v>724</v>
      </c>
      <c r="I212">
        <f t="shared" si="40"/>
        <v>75.38</v>
      </c>
      <c r="J212">
        <f t="shared" si="41"/>
        <v>-0.35</v>
      </c>
      <c r="K212">
        <f t="shared" si="42"/>
        <v>23.064</v>
      </c>
      <c r="L212">
        <f t="shared" si="43"/>
        <v>1204</v>
      </c>
      <c r="O212">
        <v>709</v>
      </c>
      <c r="P212">
        <v>-1.4</v>
      </c>
      <c r="Q212">
        <v>43.866999999999997</v>
      </c>
      <c r="R212">
        <v>23.064</v>
      </c>
      <c r="S212">
        <f t="shared" si="44"/>
        <v>86.97</v>
      </c>
      <c r="T212">
        <f t="shared" si="45"/>
        <v>43.866999999999997</v>
      </c>
      <c r="U212">
        <f t="shared" si="46"/>
        <v>23.064</v>
      </c>
      <c r="V212">
        <f t="shared" si="47"/>
        <v>1709</v>
      </c>
      <c r="X212">
        <v>1209</v>
      </c>
      <c r="Y212">
        <v>83.53</v>
      </c>
      <c r="Z212">
        <v>-0.35</v>
      </c>
      <c r="AA212">
        <v>23.064</v>
      </c>
      <c r="AC212">
        <v>1709</v>
      </c>
      <c r="AD212">
        <v>86.97</v>
      </c>
      <c r="AE212">
        <v>43.866999999999997</v>
      </c>
      <c r="AF212">
        <v>23.064</v>
      </c>
    </row>
    <row r="213" spans="1:32" x14ac:dyDescent="0.35">
      <c r="A213">
        <v>210</v>
      </c>
      <c r="B213">
        <v>11.625</v>
      </c>
      <c r="C213">
        <v>-0.35</v>
      </c>
      <c r="D213">
        <v>23.064</v>
      </c>
      <c r="E213">
        <f t="shared" si="36"/>
        <v>11.625</v>
      </c>
      <c r="F213">
        <f t="shared" si="37"/>
        <v>52.99</v>
      </c>
      <c r="G213">
        <f t="shared" si="38"/>
        <v>23.064</v>
      </c>
      <c r="H213">
        <f t="shared" si="39"/>
        <v>725</v>
      </c>
      <c r="I213">
        <f t="shared" si="40"/>
        <v>73.95</v>
      </c>
      <c r="J213">
        <f t="shared" si="41"/>
        <v>-0.35</v>
      </c>
      <c r="K213">
        <f t="shared" si="42"/>
        <v>23.064</v>
      </c>
      <c r="L213">
        <f t="shared" si="43"/>
        <v>1203</v>
      </c>
      <c r="O213">
        <v>710</v>
      </c>
      <c r="P213">
        <v>-1.4</v>
      </c>
      <c r="Q213">
        <v>46.06</v>
      </c>
      <c r="R213">
        <v>23.064</v>
      </c>
      <c r="S213">
        <f t="shared" si="44"/>
        <v>86.97</v>
      </c>
      <c r="T213">
        <f t="shared" si="45"/>
        <v>46.06</v>
      </c>
      <c r="U213">
        <f t="shared" si="46"/>
        <v>23.064</v>
      </c>
      <c r="V213">
        <f t="shared" si="47"/>
        <v>1712</v>
      </c>
      <c r="X213">
        <v>1210</v>
      </c>
      <c r="Y213">
        <v>86.97</v>
      </c>
      <c r="Z213">
        <v>-0.35</v>
      </c>
      <c r="AA213">
        <v>23.064</v>
      </c>
      <c r="AC213">
        <v>1710</v>
      </c>
      <c r="AD213">
        <v>75.38</v>
      </c>
      <c r="AE213">
        <v>46.06</v>
      </c>
      <c r="AF213">
        <v>23.064</v>
      </c>
    </row>
    <row r="214" spans="1:32" x14ac:dyDescent="0.35">
      <c r="A214">
        <v>211</v>
      </c>
      <c r="B214">
        <v>-1.4</v>
      </c>
      <c r="C214">
        <v>0</v>
      </c>
      <c r="D214">
        <v>23.064</v>
      </c>
      <c r="E214">
        <f t="shared" si="36"/>
        <v>-1.4</v>
      </c>
      <c r="F214">
        <f t="shared" si="37"/>
        <v>52.64</v>
      </c>
      <c r="G214">
        <f t="shared" si="38"/>
        <v>23.064</v>
      </c>
      <c r="H214">
        <f t="shared" si="39"/>
        <v>715</v>
      </c>
      <c r="I214">
        <f t="shared" si="40"/>
        <v>86.97</v>
      </c>
      <c r="J214">
        <f t="shared" si="41"/>
        <v>0</v>
      </c>
      <c r="K214">
        <f t="shared" si="42"/>
        <v>23.064</v>
      </c>
      <c r="L214">
        <f t="shared" si="43"/>
        <v>1213</v>
      </c>
      <c r="O214">
        <v>711</v>
      </c>
      <c r="P214">
        <v>2.0369999999999999</v>
      </c>
      <c r="Q214">
        <v>46.06</v>
      </c>
      <c r="R214">
        <v>23.064</v>
      </c>
      <c r="S214">
        <f t="shared" si="44"/>
        <v>83.53</v>
      </c>
      <c r="T214">
        <f t="shared" si="45"/>
        <v>46.06</v>
      </c>
      <c r="U214">
        <f t="shared" si="46"/>
        <v>23.064</v>
      </c>
      <c r="V214">
        <f t="shared" si="47"/>
        <v>1711</v>
      </c>
      <c r="X214">
        <v>1211</v>
      </c>
      <c r="Y214">
        <v>75.38</v>
      </c>
      <c r="Z214">
        <v>0</v>
      </c>
      <c r="AA214">
        <v>23.064</v>
      </c>
      <c r="AC214">
        <v>1711</v>
      </c>
      <c r="AD214">
        <v>83.53</v>
      </c>
      <c r="AE214">
        <v>46.06</v>
      </c>
      <c r="AF214">
        <v>23.064</v>
      </c>
    </row>
    <row r="215" spans="1:32" x14ac:dyDescent="0.35">
      <c r="A215">
        <v>212</v>
      </c>
      <c r="B215">
        <v>2.0369999999999999</v>
      </c>
      <c r="C215">
        <v>0</v>
      </c>
      <c r="D215">
        <v>23.064</v>
      </c>
      <c r="E215">
        <f t="shared" si="36"/>
        <v>2.0369999999999999</v>
      </c>
      <c r="F215">
        <f t="shared" si="37"/>
        <v>52.64</v>
      </c>
      <c r="G215">
        <f t="shared" si="38"/>
        <v>23.064</v>
      </c>
      <c r="H215">
        <f t="shared" si="39"/>
        <v>716</v>
      </c>
      <c r="I215">
        <f t="shared" si="40"/>
        <v>83.53</v>
      </c>
      <c r="J215">
        <f t="shared" si="41"/>
        <v>0</v>
      </c>
      <c r="K215">
        <f t="shared" si="42"/>
        <v>23.064</v>
      </c>
      <c r="L215">
        <f t="shared" si="43"/>
        <v>1212</v>
      </c>
      <c r="O215">
        <v>712</v>
      </c>
      <c r="P215">
        <v>10.188000000000001</v>
      </c>
      <c r="Q215">
        <v>46.06</v>
      </c>
      <c r="R215">
        <v>23.064</v>
      </c>
      <c r="S215">
        <f t="shared" si="44"/>
        <v>75.38</v>
      </c>
      <c r="T215">
        <f t="shared" si="45"/>
        <v>46.06</v>
      </c>
      <c r="U215">
        <f t="shared" si="46"/>
        <v>23.064</v>
      </c>
      <c r="V215">
        <f t="shared" si="47"/>
        <v>1710</v>
      </c>
      <c r="X215">
        <v>1212</v>
      </c>
      <c r="Y215">
        <v>83.53</v>
      </c>
      <c r="Z215">
        <v>0</v>
      </c>
      <c r="AA215">
        <v>23.064</v>
      </c>
      <c r="AC215">
        <v>1712</v>
      </c>
      <c r="AD215">
        <v>86.97</v>
      </c>
      <c r="AE215">
        <v>46.06</v>
      </c>
      <c r="AF215">
        <v>23.064</v>
      </c>
    </row>
    <row r="216" spans="1:32" x14ac:dyDescent="0.35">
      <c r="A216">
        <v>213</v>
      </c>
      <c r="B216">
        <v>10.188000000000001</v>
      </c>
      <c r="C216">
        <v>0</v>
      </c>
      <c r="D216">
        <v>23.064</v>
      </c>
      <c r="E216">
        <f t="shared" si="36"/>
        <v>10.188000000000001</v>
      </c>
      <c r="F216">
        <f t="shared" si="37"/>
        <v>52.64</v>
      </c>
      <c r="G216">
        <f t="shared" si="38"/>
        <v>23.064</v>
      </c>
      <c r="H216">
        <f t="shared" si="39"/>
        <v>717</v>
      </c>
      <c r="I216">
        <f t="shared" si="40"/>
        <v>75.38</v>
      </c>
      <c r="J216">
        <f t="shared" si="41"/>
        <v>0</v>
      </c>
      <c r="K216">
        <f t="shared" si="42"/>
        <v>23.064</v>
      </c>
      <c r="L216">
        <f t="shared" si="43"/>
        <v>1211</v>
      </c>
      <c r="O216">
        <v>713</v>
      </c>
      <c r="P216">
        <v>-1.4</v>
      </c>
      <c r="Q216">
        <v>48.253</v>
      </c>
      <c r="R216">
        <v>23.064</v>
      </c>
      <c r="S216">
        <f t="shared" si="44"/>
        <v>86.97</v>
      </c>
      <c r="T216">
        <f t="shared" si="45"/>
        <v>48.253</v>
      </c>
      <c r="U216">
        <f t="shared" si="46"/>
        <v>23.064</v>
      </c>
      <c r="V216">
        <f t="shared" si="47"/>
        <v>1713</v>
      </c>
      <c r="X216">
        <v>1213</v>
      </c>
      <c r="Y216">
        <v>86.97</v>
      </c>
      <c r="Z216">
        <v>0</v>
      </c>
      <c r="AA216">
        <v>23.064</v>
      </c>
      <c r="AC216">
        <v>1713</v>
      </c>
      <c r="AD216">
        <v>86.97</v>
      </c>
      <c r="AE216">
        <v>48.253</v>
      </c>
      <c r="AF216">
        <v>23.064</v>
      </c>
    </row>
    <row r="217" spans="1:32" x14ac:dyDescent="0.35">
      <c r="A217">
        <v>214</v>
      </c>
      <c r="B217">
        <v>-1.4</v>
      </c>
      <c r="C217">
        <v>2.194</v>
      </c>
      <c r="D217">
        <v>23.064</v>
      </c>
      <c r="E217">
        <f t="shared" si="36"/>
        <v>-1.4</v>
      </c>
      <c r="F217">
        <f t="shared" si="37"/>
        <v>50.445999999999998</v>
      </c>
      <c r="G217">
        <f t="shared" si="38"/>
        <v>23.064</v>
      </c>
      <c r="H217">
        <f t="shared" si="39"/>
        <v>714</v>
      </c>
      <c r="I217">
        <f t="shared" si="40"/>
        <v>86.97</v>
      </c>
      <c r="J217">
        <f t="shared" si="41"/>
        <v>2.194</v>
      </c>
      <c r="K217">
        <f t="shared" si="42"/>
        <v>23.064</v>
      </c>
      <c r="L217">
        <f t="shared" si="43"/>
        <v>1214</v>
      </c>
      <c r="O217">
        <v>714</v>
      </c>
      <c r="P217">
        <v>-1.4</v>
      </c>
      <c r="Q217">
        <v>50.445999999999998</v>
      </c>
      <c r="R217">
        <v>23.064</v>
      </c>
      <c r="S217">
        <f t="shared" si="44"/>
        <v>86.97</v>
      </c>
      <c r="T217">
        <f t="shared" si="45"/>
        <v>50.445999999999998</v>
      </c>
      <c r="U217">
        <f t="shared" si="46"/>
        <v>23.064</v>
      </c>
      <c r="V217">
        <f t="shared" si="47"/>
        <v>1714</v>
      </c>
      <c r="X217">
        <v>1214</v>
      </c>
      <c r="Y217">
        <v>86.97</v>
      </c>
      <c r="Z217">
        <v>2.194</v>
      </c>
      <c r="AA217">
        <v>23.064</v>
      </c>
      <c r="AC217">
        <v>1714</v>
      </c>
      <c r="AD217">
        <v>86.97</v>
      </c>
      <c r="AE217">
        <v>50.445999999999998</v>
      </c>
      <c r="AF217">
        <v>23.064</v>
      </c>
    </row>
    <row r="218" spans="1:32" x14ac:dyDescent="0.35">
      <c r="A218">
        <v>215</v>
      </c>
      <c r="B218">
        <v>-1.4</v>
      </c>
      <c r="C218">
        <v>4.3869999999999996</v>
      </c>
      <c r="D218">
        <v>23.064</v>
      </c>
      <c r="E218">
        <f t="shared" si="36"/>
        <v>-1.4</v>
      </c>
      <c r="F218">
        <f t="shared" si="37"/>
        <v>48.253</v>
      </c>
      <c r="G218">
        <f t="shared" si="38"/>
        <v>23.064</v>
      </c>
      <c r="H218">
        <f t="shared" si="39"/>
        <v>713</v>
      </c>
      <c r="I218">
        <f t="shared" si="40"/>
        <v>86.97</v>
      </c>
      <c r="J218">
        <f t="shared" si="41"/>
        <v>4.3869999999999996</v>
      </c>
      <c r="K218">
        <f t="shared" si="42"/>
        <v>23.064</v>
      </c>
      <c r="L218">
        <f t="shared" si="43"/>
        <v>1215</v>
      </c>
      <c r="O218">
        <v>715</v>
      </c>
      <c r="P218">
        <v>-1.4</v>
      </c>
      <c r="Q218">
        <v>52.64</v>
      </c>
      <c r="R218">
        <v>23.064</v>
      </c>
      <c r="S218">
        <f t="shared" si="44"/>
        <v>86.97</v>
      </c>
      <c r="T218">
        <f t="shared" si="45"/>
        <v>52.64</v>
      </c>
      <c r="U218">
        <f t="shared" si="46"/>
        <v>23.064</v>
      </c>
      <c r="V218">
        <f t="shared" si="47"/>
        <v>1717</v>
      </c>
      <c r="X218">
        <v>1215</v>
      </c>
      <c r="Y218">
        <v>86.97</v>
      </c>
      <c r="Z218">
        <v>4.3869999999999996</v>
      </c>
      <c r="AA218">
        <v>23.064</v>
      </c>
      <c r="AC218">
        <v>1715</v>
      </c>
      <c r="AD218">
        <v>75.38</v>
      </c>
      <c r="AE218">
        <v>52.64</v>
      </c>
      <c r="AF218">
        <v>23.064</v>
      </c>
    </row>
    <row r="219" spans="1:32" x14ac:dyDescent="0.35">
      <c r="A219">
        <v>216</v>
      </c>
      <c r="B219">
        <v>-1.4</v>
      </c>
      <c r="C219">
        <v>6.58</v>
      </c>
      <c r="D219">
        <v>23.064</v>
      </c>
      <c r="E219">
        <f t="shared" si="36"/>
        <v>-1.4</v>
      </c>
      <c r="F219">
        <f t="shared" si="37"/>
        <v>46.06</v>
      </c>
      <c r="G219">
        <f t="shared" si="38"/>
        <v>23.064</v>
      </c>
      <c r="H219">
        <f t="shared" si="39"/>
        <v>710</v>
      </c>
      <c r="I219">
        <f t="shared" si="40"/>
        <v>86.97</v>
      </c>
      <c r="J219">
        <f t="shared" si="41"/>
        <v>6.58</v>
      </c>
      <c r="K219">
        <f t="shared" si="42"/>
        <v>23.064</v>
      </c>
      <c r="L219">
        <f t="shared" si="43"/>
        <v>1218</v>
      </c>
      <c r="O219">
        <v>716</v>
      </c>
      <c r="P219">
        <v>2.0369999999999999</v>
      </c>
      <c r="Q219">
        <v>52.64</v>
      </c>
      <c r="R219">
        <v>23.064</v>
      </c>
      <c r="S219">
        <f t="shared" si="44"/>
        <v>83.53</v>
      </c>
      <c r="T219">
        <f t="shared" si="45"/>
        <v>52.64</v>
      </c>
      <c r="U219">
        <f t="shared" si="46"/>
        <v>23.064</v>
      </c>
      <c r="V219">
        <f t="shared" si="47"/>
        <v>1716</v>
      </c>
      <c r="X219">
        <v>1216</v>
      </c>
      <c r="Y219">
        <v>75.38</v>
      </c>
      <c r="Z219">
        <v>6.58</v>
      </c>
      <c r="AA219">
        <v>23.064</v>
      </c>
      <c r="AC219">
        <v>1716</v>
      </c>
      <c r="AD219">
        <v>83.53</v>
      </c>
      <c r="AE219">
        <v>52.64</v>
      </c>
      <c r="AF219">
        <v>23.064</v>
      </c>
    </row>
    <row r="220" spans="1:32" x14ac:dyDescent="0.35">
      <c r="A220">
        <v>217</v>
      </c>
      <c r="B220">
        <v>2.0369999999999999</v>
      </c>
      <c r="C220">
        <v>6.58</v>
      </c>
      <c r="D220">
        <v>23.064</v>
      </c>
      <c r="E220">
        <f t="shared" si="36"/>
        <v>2.0369999999999999</v>
      </c>
      <c r="F220">
        <f t="shared" si="37"/>
        <v>46.06</v>
      </c>
      <c r="G220">
        <f t="shared" si="38"/>
        <v>23.064</v>
      </c>
      <c r="H220">
        <f t="shared" si="39"/>
        <v>711</v>
      </c>
      <c r="I220">
        <f t="shared" si="40"/>
        <v>83.53</v>
      </c>
      <c r="J220">
        <f t="shared" si="41"/>
        <v>6.58</v>
      </c>
      <c r="K220">
        <f t="shared" si="42"/>
        <v>23.064</v>
      </c>
      <c r="L220">
        <f t="shared" si="43"/>
        <v>1217</v>
      </c>
      <c r="O220">
        <v>717</v>
      </c>
      <c r="P220">
        <v>10.188000000000001</v>
      </c>
      <c r="Q220">
        <v>52.64</v>
      </c>
      <c r="R220">
        <v>23.064</v>
      </c>
      <c r="S220">
        <f t="shared" si="44"/>
        <v>75.38</v>
      </c>
      <c r="T220">
        <f t="shared" si="45"/>
        <v>52.64</v>
      </c>
      <c r="U220">
        <f t="shared" si="46"/>
        <v>23.064</v>
      </c>
      <c r="V220">
        <f t="shared" si="47"/>
        <v>1715</v>
      </c>
      <c r="X220">
        <v>1217</v>
      </c>
      <c r="Y220">
        <v>83.53</v>
      </c>
      <c r="Z220">
        <v>6.58</v>
      </c>
      <c r="AA220">
        <v>23.064</v>
      </c>
      <c r="AC220">
        <v>1717</v>
      </c>
      <c r="AD220">
        <v>86.97</v>
      </c>
      <c r="AE220">
        <v>52.64</v>
      </c>
      <c r="AF220">
        <v>23.064</v>
      </c>
    </row>
    <row r="221" spans="1:32" x14ac:dyDescent="0.35">
      <c r="A221">
        <v>218</v>
      </c>
      <c r="B221">
        <v>10.188000000000001</v>
      </c>
      <c r="C221">
        <v>6.58</v>
      </c>
      <c r="D221">
        <v>23.064</v>
      </c>
      <c r="E221">
        <f t="shared" si="36"/>
        <v>10.188000000000001</v>
      </c>
      <c r="F221">
        <f t="shared" si="37"/>
        <v>46.06</v>
      </c>
      <c r="G221">
        <f t="shared" si="38"/>
        <v>23.064</v>
      </c>
      <c r="H221">
        <f t="shared" si="39"/>
        <v>712</v>
      </c>
      <c r="I221">
        <f t="shared" si="40"/>
        <v>75.38</v>
      </c>
      <c r="J221">
        <f t="shared" si="41"/>
        <v>6.58</v>
      </c>
      <c r="K221">
        <f t="shared" si="42"/>
        <v>23.064</v>
      </c>
      <c r="L221">
        <f t="shared" si="43"/>
        <v>1216</v>
      </c>
      <c r="O221">
        <v>718</v>
      </c>
      <c r="P221">
        <v>-1.4</v>
      </c>
      <c r="Q221">
        <v>52.99</v>
      </c>
      <c r="R221">
        <v>23.064</v>
      </c>
      <c r="S221">
        <f t="shared" si="44"/>
        <v>86.97</v>
      </c>
      <c r="T221">
        <f t="shared" si="45"/>
        <v>52.99</v>
      </c>
      <c r="U221">
        <f t="shared" si="46"/>
        <v>23.064</v>
      </c>
      <c r="V221">
        <f t="shared" si="47"/>
        <v>1725</v>
      </c>
      <c r="X221">
        <v>1218</v>
      </c>
      <c r="Y221">
        <v>86.97</v>
      </c>
      <c r="Z221">
        <v>6.58</v>
      </c>
      <c r="AA221">
        <v>23.064</v>
      </c>
      <c r="AC221">
        <v>1718</v>
      </c>
      <c r="AD221">
        <v>73.95</v>
      </c>
      <c r="AE221">
        <v>52.99</v>
      </c>
      <c r="AF221">
        <v>23.064</v>
      </c>
    </row>
    <row r="222" spans="1:32" x14ac:dyDescent="0.35">
      <c r="A222">
        <v>219</v>
      </c>
      <c r="B222">
        <v>-1.4</v>
      </c>
      <c r="C222">
        <v>8.7729999999999997</v>
      </c>
      <c r="D222">
        <v>23.064</v>
      </c>
      <c r="E222">
        <f t="shared" si="36"/>
        <v>-1.4</v>
      </c>
      <c r="F222">
        <f t="shared" si="37"/>
        <v>43.867000000000004</v>
      </c>
      <c r="G222">
        <f t="shared" si="38"/>
        <v>23.064</v>
      </c>
      <c r="H222">
        <f t="shared" si="39"/>
        <v>709</v>
      </c>
      <c r="I222">
        <f t="shared" si="40"/>
        <v>86.97</v>
      </c>
      <c r="J222">
        <f t="shared" si="41"/>
        <v>8.7729999999999997</v>
      </c>
      <c r="K222">
        <f t="shared" si="42"/>
        <v>23.064</v>
      </c>
      <c r="L222">
        <f t="shared" si="43"/>
        <v>1219</v>
      </c>
      <c r="O222">
        <v>719</v>
      </c>
      <c r="P222">
        <v>2.0369999999999999</v>
      </c>
      <c r="Q222">
        <v>52.99</v>
      </c>
      <c r="R222">
        <v>23.064</v>
      </c>
      <c r="S222">
        <f t="shared" si="44"/>
        <v>83.53</v>
      </c>
      <c r="T222">
        <f t="shared" si="45"/>
        <v>52.99</v>
      </c>
      <c r="U222">
        <f t="shared" si="46"/>
        <v>23.064</v>
      </c>
      <c r="V222">
        <f t="shared" si="47"/>
        <v>1724</v>
      </c>
      <c r="X222">
        <v>1219</v>
      </c>
      <c r="Y222">
        <v>86.97</v>
      </c>
      <c r="Z222">
        <v>8.7729999999999997</v>
      </c>
      <c r="AA222">
        <v>23.064</v>
      </c>
      <c r="AC222">
        <v>1719</v>
      </c>
      <c r="AD222">
        <v>75.38</v>
      </c>
      <c r="AE222">
        <v>52.99</v>
      </c>
      <c r="AF222">
        <v>23.064</v>
      </c>
    </row>
    <row r="223" spans="1:32" x14ac:dyDescent="0.35">
      <c r="A223">
        <v>220</v>
      </c>
      <c r="B223">
        <v>-1.4</v>
      </c>
      <c r="C223">
        <v>10.965999999999999</v>
      </c>
      <c r="D223">
        <v>23.064</v>
      </c>
      <c r="E223">
        <f t="shared" si="36"/>
        <v>-1.4</v>
      </c>
      <c r="F223">
        <f t="shared" si="37"/>
        <v>41.673999999999999</v>
      </c>
      <c r="G223">
        <f t="shared" si="38"/>
        <v>23.064</v>
      </c>
      <c r="H223">
        <f t="shared" si="39"/>
        <v>708</v>
      </c>
      <c r="I223">
        <f t="shared" si="40"/>
        <v>86.97</v>
      </c>
      <c r="J223">
        <f t="shared" si="41"/>
        <v>10.965999999999999</v>
      </c>
      <c r="K223">
        <f t="shared" si="42"/>
        <v>23.064</v>
      </c>
      <c r="L223">
        <f t="shared" si="43"/>
        <v>1220</v>
      </c>
      <c r="O223">
        <v>720</v>
      </c>
      <c r="P223">
        <v>3.056</v>
      </c>
      <c r="Q223">
        <v>52.99</v>
      </c>
      <c r="R223">
        <v>23.064</v>
      </c>
      <c r="S223">
        <f t="shared" si="44"/>
        <v>82.51</v>
      </c>
      <c r="T223">
        <f t="shared" si="45"/>
        <v>52.99</v>
      </c>
      <c r="U223">
        <f t="shared" si="46"/>
        <v>23.064</v>
      </c>
      <c r="V223">
        <f t="shared" si="47"/>
        <v>1723</v>
      </c>
      <c r="X223">
        <v>1220</v>
      </c>
      <c r="Y223">
        <v>86.97</v>
      </c>
      <c r="Z223">
        <v>10.965999999999999</v>
      </c>
      <c r="AA223">
        <v>23.064</v>
      </c>
      <c r="AC223">
        <v>1720</v>
      </c>
      <c r="AD223">
        <v>76.400000000000006</v>
      </c>
      <c r="AE223">
        <v>52.99</v>
      </c>
      <c r="AF223">
        <v>23.064</v>
      </c>
    </row>
    <row r="224" spans="1:32" x14ac:dyDescent="0.35">
      <c r="A224">
        <v>221</v>
      </c>
      <c r="B224">
        <v>-1.4</v>
      </c>
      <c r="C224">
        <v>13.16</v>
      </c>
      <c r="D224">
        <v>23.064</v>
      </c>
      <c r="E224">
        <f t="shared" si="36"/>
        <v>-1.4</v>
      </c>
      <c r="F224">
        <f t="shared" si="37"/>
        <v>39.480000000000004</v>
      </c>
      <c r="G224">
        <f t="shared" si="38"/>
        <v>23.064</v>
      </c>
      <c r="H224">
        <f t="shared" si="39"/>
        <v>703</v>
      </c>
      <c r="I224">
        <f t="shared" si="40"/>
        <v>86.97</v>
      </c>
      <c r="J224">
        <f t="shared" si="41"/>
        <v>13.16</v>
      </c>
      <c r="K224">
        <f t="shared" si="42"/>
        <v>23.064</v>
      </c>
      <c r="L224">
        <f t="shared" si="43"/>
        <v>1225</v>
      </c>
      <c r="O224">
        <v>721</v>
      </c>
      <c r="P224">
        <v>5.4969999999999999</v>
      </c>
      <c r="Q224">
        <v>52.99</v>
      </c>
      <c r="R224">
        <v>23.064</v>
      </c>
      <c r="S224">
        <f t="shared" si="44"/>
        <v>80.069999999999993</v>
      </c>
      <c r="T224">
        <f t="shared" si="45"/>
        <v>52.99</v>
      </c>
      <c r="U224">
        <f t="shared" si="46"/>
        <v>23.064</v>
      </c>
      <c r="V224">
        <f t="shared" si="47"/>
        <v>1722</v>
      </c>
      <c r="X224">
        <v>1221</v>
      </c>
      <c r="Y224">
        <v>75.38</v>
      </c>
      <c r="Z224">
        <v>13.16</v>
      </c>
      <c r="AA224">
        <v>23.064</v>
      </c>
      <c r="AC224">
        <v>1721</v>
      </c>
      <c r="AD224">
        <v>78.84</v>
      </c>
      <c r="AE224">
        <v>52.99</v>
      </c>
      <c r="AF224">
        <v>23.064</v>
      </c>
    </row>
    <row r="225" spans="1:32" x14ac:dyDescent="0.35">
      <c r="A225">
        <v>222</v>
      </c>
      <c r="B225">
        <v>2.0369999999999999</v>
      </c>
      <c r="C225">
        <v>13.16</v>
      </c>
      <c r="D225">
        <v>23.064</v>
      </c>
      <c r="E225">
        <f t="shared" si="36"/>
        <v>2.0369999999999999</v>
      </c>
      <c r="F225">
        <f t="shared" si="37"/>
        <v>39.480000000000004</v>
      </c>
      <c r="G225">
        <f t="shared" si="38"/>
        <v>23.064</v>
      </c>
      <c r="H225">
        <f t="shared" si="39"/>
        <v>704</v>
      </c>
      <c r="I225">
        <f t="shared" si="40"/>
        <v>83.53</v>
      </c>
      <c r="J225">
        <f t="shared" si="41"/>
        <v>13.16</v>
      </c>
      <c r="K225">
        <f t="shared" si="42"/>
        <v>23.064</v>
      </c>
      <c r="L225">
        <f t="shared" si="43"/>
        <v>1224</v>
      </c>
      <c r="O225">
        <v>722</v>
      </c>
      <c r="P225">
        <v>6.7270000000000003</v>
      </c>
      <c r="Q225">
        <v>52.99</v>
      </c>
      <c r="R225">
        <v>23.064</v>
      </c>
      <c r="S225">
        <f t="shared" si="44"/>
        <v>78.84</v>
      </c>
      <c r="T225">
        <f t="shared" si="45"/>
        <v>52.99</v>
      </c>
      <c r="U225">
        <f t="shared" si="46"/>
        <v>23.064</v>
      </c>
      <c r="V225">
        <f t="shared" si="47"/>
        <v>1721</v>
      </c>
      <c r="X225">
        <v>1222</v>
      </c>
      <c r="Y225">
        <v>78.84</v>
      </c>
      <c r="Z225">
        <v>13.16</v>
      </c>
      <c r="AA225">
        <v>23.064</v>
      </c>
      <c r="AC225">
        <v>1722</v>
      </c>
      <c r="AD225">
        <v>80.069999999999993</v>
      </c>
      <c r="AE225">
        <v>52.99</v>
      </c>
      <c r="AF225">
        <v>23.064</v>
      </c>
    </row>
    <row r="226" spans="1:32" x14ac:dyDescent="0.35">
      <c r="A226">
        <v>223</v>
      </c>
      <c r="B226">
        <v>5.4969999999999999</v>
      </c>
      <c r="C226">
        <v>13.16</v>
      </c>
      <c r="D226">
        <v>23.064</v>
      </c>
      <c r="E226">
        <f t="shared" si="36"/>
        <v>5.4969999999999999</v>
      </c>
      <c r="F226">
        <f t="shared" si="37"/>
        <v>39.480000000000004</v>
      </c>
      <c r="G226">
        <f t="shared" si="38"/>
        <v>23.064</v>
      </c>
      <c r="H226">
        <f t="shared" si="39"/>
        <v>705</v>
      </c>
      <c r="I226">
        <f t="shared" si="40"/>
        <v>80.069999999999993</v>
      </c>
      <c r="J226">
        <f t="shared" si="41"/>
        <v>13.16</v>
      </c>
      <c r="K226">
        <f t="shared" si="42"/>
        <v>23.064</v>
      </c>
      <c r="L226">
        <f t="shared" si="43"/>
        <v>1223</v>
      </c>
      <c r="O226">
        <v>723</v>
      </c>
      <c r="P226">
        <v>9.1690000000000005</v>
      </c>
      <c r="Q226">
        <v>52.99</v>
      </c>
      <c r="R226">
        <v>23.064</v>
      </c>
      <c r="S226">
        <f t="shared" si="44"/>
        <v>76.400000000000006</v>
      </c>
      <c r="T226">
        <f t="shared" si="45"/>
        <v>52.99</v>
      </c>
      <c r="U226">
        <f t="shared" si="46"/>
        <v>23.064</v>
      </c>
      <c r="V226">
        <f t="shared" si="47"/>
        <v>1720</v>
      </c>
      <c r="X226">
        <v>1223</v>
      </c>
      <c r="Y226">
        <v>80.069999999999993</v>
      </c>
      <c r="Z226">
        <v>13.16</v>
      </c>
      <c r="AA226">
        <v>23.064</v>
      </c>
      <c r="AC226">
        <v>1723</v>
      </c>
      <c r="AD226">
        <v>82.51</v>
      </c>
      <c r="AE226">
        <v>52.99</v>
      </c>
      <c r="AF226">
        <v>23.064</v>
      </c>
    </row>
    <row r="227" spans="1:32" x14ac:dyDescent="0.35">
      <c r="A227">
        <v>224</v>
      </c>
      <c r="B227">
        <v>6.7270000000000003</v>
      </c>
      <c r="C227">
        <v>13.16</v>
      </c>
      <c r="D227">
        <v>23.064</v>
      </c>
      <c r="E227">
        <f t="shared" si="36"/>
        <v>6.7270000000000003</v>
      </c>
      <c r="F227">
        <f t="shared" si="37"/>
        <v>39.480000000000004</v>
      </c>
      <c r="G227">
        <f t="shared" si="38"/>
        <v>23.064</v>
      </c>
      <c r="H227">
        <f t="shared" si="39"/>
        <v>706</v>
      </c>
      <c r="I227">
        <f t="shared" si="40"/>
        <v>78.84</v>
      </c>
      <c r="J227">
        <f t="shared" si="41"/>
        <v>13.16</v>
      </c>
      <c r="K227">
        <f t="shared" si="42"/>
        <v>23.064</v>
      </c>
      <c r="L227">
        <f t="shared" si="43"/>
        <v>1222</v>
      </c>
      <c r="O227">
        <v>724</v>
      </c>
      <c r="P227">
        <v>10.188000000000001</v>
      </c>
      <c r="Q227">
        <v>52.99</v>
      </c>
      <c r="R227">
        <v>23.064</v>
      </c>
      <c r="S227">
        <f t="shared" si="44"/>
        <v>75.38</v>
      </c>
      <c r="T227">
        <f t="shared" si="45"/>
        <v>52.99</v>
      </c>
      <c r="U227">
        <f t="shared" si="46"/>
        <v>23.064</v>
      </c>
      <c r="V227">
        <f t="shared" si="47"/>
        <v>1719</v>
      </c>
      <c r="X227">
        <v>1224</v>
      </c>
      <c r="Y227">
        <v>83.53</v>
      </c>
      <c r="Z227">
        <v>13.16</v>
      </c>
      <c r="AA227">
        <v>23.064</v>
      </c>
      <c r="AC227">
        <v>1724</v>
      </c>
      <c r="AD227">
        <v>83.53</v>
      </c>
      <c r="AE227">
        <v>52.99</v>
      </c>
      <c r="AF227">
        <v>23.064</v>
      </c>
    </row>
    <row r="228" spans="1:32" x14ac:dyDescent="0.35">
      <c r="A228">
        <v>225</v>
      </c>
      <c r="B228">
        <v>10.188000000000001</v>
      </c>
      <c r="C228">
        <v>13.16</v>
      </c>
      <c r="D228">
        <v>23.064</v>
      </c>
      <c r="E228">
        <f t="shared" si="36"/>
        <v>10.188000000000001</v>
      </c>
      <c r="F228">
        <f t="shared" si="37"/>
        <v>39.480000000000004</v>
      </c>
      <c r="G228">
        <f t="shared" si="38"/>
        <v>23.064</v>
      </c>
      <c r="H228">
        <f t="shared" si="39"/>
        <v>707</v>
      </c>
      <c r="I228">
        <f t="shared" si="40"/>
        <v>75.38</v>
      </c>
      <c r="J228">
        <f t="shared" si="41"/>
        <v>13.16</v>
      </c>
      <c r="K228">
        <f t="shared" si="42"/>
        <v>23.064</v>
      </c>
      <c r="L228">
        <f t="shared" si="43"/>
        <v>1221</v>
      </c>
      <c r="O228">
        <v>725</v>
      </c>
      <c r="P228">
        <v>11.625</v>
      </c>
      <c r="Q228">
        <v>52.99</v>
      </c>
      <c r="R228">
        <v>23.064</v>
      </c>
      <c r="S228">
        <f t="shared" si="44"/>
        <v>73.95</v>
      </c>
      <c r="T228">
        <f t="shared" si="45"/>
        <v>52.99</v>
      </c>
      <c r="U228">
        <f t="shared" si="46"/>
        <v>23.064</v>
      </c>
      <c r="V228">
        <f t="shared" si="47"/>
        <v>1718</v>
      </c>
      <c r="X228">
        <v>1225</v>
      </c>
      <c r="Y228">
        <v>86.97</v>
      </c>
      <c r="Z228">
        <v>13.16</v>
      </c>
      <c r="AA228">
        <v>23.064</v>
      </c>
      <c r="AC228">
        <v>1725</v>
      </c>
      <c r="AD228">
        <v>86.97</v>
      </c>
      <c r="AE228">
        <v>52.99</v>
      </c>
      <c r="AF228">
        <v>23.064</v>
      </c>
    </row>
    <row r="229" spans="1:32" x14ac:dyDescent="0.35">
      <c r="A229">
        <v>226</v>
      </c>
      <c r="B229">
        <v>-1.4</v>
      </c>
      <c r="C229">
        <v>-0.35</v>
      </c>
      <c r="D229">
        <v>25.021000000000001</v>
      </c>
      <c r="E229">
        <f t="shared" si="36"/>
        <v>-1.4</v>
      </c>
      <c r="F229">
        <f t="shared" si="37"/>
        <v>52.99</v>
      </c>
      <c r="G229">
        <f t="shared" si="38"/>
        <v>25.021000000000001</v>
      </c>
      <c r="H229">
        <f t="shared" si="39"/>
        <v>750</v>
      </c>
      <c r="I229">
        <f t="shared" si="40"/>
        <v>86.97</v>
      </c>
      <c r="J229">
        <f t="shared" si="41"/>
        <v>-0.35</v>
      </c>
      <c r="K229">
        <f t="shared" si="42"/>
        <v>25.021000000000001</v>
      </c>
      <c r="L229">
        <f t="shared" si="43"/>
        <v>1232</v>
      </c>
      <c r="O229">
        <v>726</v>
      </c>
      <c r="P229">
        <v>-1.4</v>
      </c>
      <c r="Q229">
        <v>39.479999999999997</v>
      </c>
      <c r="R229">
        <v>25.021000000000001</v>
      </c>
      <c r="S229">
        <f t="shared" si="44"/>
        <v>86.97</v>
      </c>
      <c r="T229">
        <f t="shared" si="45"/>
        <v>39.479999999999997</v>
      </c>
      <c r="U229">
        <f t="shared" si="46"/>
        <v>25.021000000000001</v>
      </c>
      <c r="V229">
        <f t="shared" si="47"/>
        <v>1731</v>
      </c>
      <c r="X229">
        <v>1226</v>
      </c>
      <c r="Y229">
        <v>72.75</v>
      </c>
      <c r="Z229">
        <v>-0.35</v>
      </c>
      <c r="AA229">
        <v>25.021000000000001</v>
      </c>
      <c r="AC229">
        <v>1726</v>
      </c>
      <c r="AD229">
        <v>76.400000000000006</v>
      </c>
      <c r="AE229">
        <v>39.479999999999997</v>
      </c>
      <c r="AF229">
        <v>25.021000000000001</v>
      </c>
    </row>
    <row r="230" spans="1:32" x14ac:dyDescent="0.35">
      <c r="A230">
        <v>227</v>
      </c>
      <c r="B230">
        <v>3.056</v>
      </c>
      <c r="C230">
        <v>-0.35</v>
      </c>
      <c r="D230">
        <v>25.021000000000001</v>
      </c>
      <c r="E230">
        <f t="shared" si="36"/>
        <v>3.056</v>
      </c>
      <c r="F230">
        <f t="shared" si="37"/>
        <v>52.99</v>
      </c>
      <c r="G230">
        <f t="shared" si="38"/>
        <v>25.021000000000001</v>
      </c>
      <c r="H230">
        <f t="shared" si="39"/>
        <v>751</v>
      </c>
      <c r="I230">
        <f t="shared" si="40"/>
        <v>82.51</v>
      </c>
      <c r="J230">
        <f t="shared" si="41"/>
        <v>-0.35</v>
      </c>
      <c r="K230">
        <f t="shared" si="42"/>
        <v>25.021000000000001</v>
      </c>
      <c r="L230">
        <f t="shared" si="43"/>
        <v>1231</v>
      </c>
      <c r="O230">
        <v>727</v>
      </c>
      <c r="P230">
        <v>3.056</v>
      </c>
      <c r="Q230">
        <v>39.479999999999997</v>
      </c>
      <c r="R230">
        <v>25.021000000000001</v>
      </c>
      <c r="S230">
        <f t="shared" si="44"/>
        <v>82.51</v>
      </c>
      <c r="T230">
        <f t="shared" si="45"/>
        <v>39.479999999999997</v>
      </c>
      <c r="U230">
        <f t="shared" si="46"/>
        <v>25.021000000000001</v>
      </c>
      <c r="V230">
        <f t="shared" si="47"/>
        <v>1730</v>
      </c>
      <c r="X230">
        <v>1227</v>
      </c>
      <c r="Y230">
        <v>73.95</v>
      </c>
      <c r="Z230">
        <v>-0.35</v>
      </c>
      <c r="AA230">
        <v>25.021000000000001</v>
      </c>
      <c r="AC230">
        <v>1727</v>
      </c>
      <c r="AD230">
        <v>78.84</v>
      </c>
      <c r="AE230">
        <v>39.479999999999997</v>
      </c>
      <c r="AF230">
        <v>25.021000000000001</v>
      </c>
    </row>
    <row r="231" spans="1:32" x14ac:dyDescent="0.35">
      <c r="A231">
        <v>228</v>
      </c>
      <c r="B231">
        <v>5.4969999999999999</v>
      </c>
      <c r="C231">
        <v>-0.35</v>
      </c>
      <c r="D231">
        <v>25.021000000000001</v>
      </c>
      <c r="E231">
        <f t="shared" si="36"/>
        <v>5.4969999999999999</v>
      </c>
      <c r="F231">
        <f t="shared" si="37"/>
        <v>52.99</v>
      </c>
      <c r="G231">
        <f t="shared" si="38"/>
        <v>25.021000000000001</v>
      </c>
      <c r="H231">
        <f t="shared" si="39"/>
        <v>752</v>
      </c>
      <c r="I231">
        <f t="shared" si="40"/>
        <v>80.069999999999993</v>
      </c>
      <c r="J231">
        <f t="shared" si="41"/>
        <v>-0.35</v>
      </c>
      <c r="K231">
        <f t="shared" si="42"/>
        <v>25.021000000000001</v>
      </c>
      <c r="L231">
        <f t="shared" si="43"/>
        <v>1230</v>
      </c>
      <c r="O231">
        <v>728</v>
      </c>
      <c r="P231">
        <v>5.4969999999999999</v>
      </c>
      <c r="Q231">
        <v>39.479999999999997</v>
      </c>
      <c r="R231">
        <v>25.021000000000001</v>
      </c>
      <c r="S231">
        <f t="shared" si="44"/>
        <v>80.069999999999993</v>
      </c>
      <c r="T231">
        <f t="shared" si="45"/>
        <v>39.479999999999997</v>
      </c>
      <c r="U231">
        <f t="shared" si="46"/>
        <v>25.021000000000001</v>
      </c>
      <c r="V231">
        <f t="shared" si="47"/>
        <v>1729</v>
      </c>
      <c r="X231">
        <v>1228</v>
      </c>
      <c r="Y231">
        <v>76.400000000000006</v>
      </c>
      <c r="Z231">
        <v>-0.35</v>
      </c>
      <c r="AA231">
        <v>25.021000000000001</v>
      </c>
      <c r="AC231">
        <v>1728</v>
      </c>
      <c r="AD231">
        <v>79.459999999999994</v>
      </c>
      <c r="AE231">
        <v>39.479999999999997</v>
      </c>
      <c r="AF231">
        <v>25.021000000000001</v>
      </c>
    </row>
    <row r="232" spans="1:32" x14ac:dyDescent="0.35">
      <c r="A232">
        <v>229</v>
      </c>
      <c r="B232">
        <v>6.7270000000000003</v>
      </c>
      <c r="C232">
        <v>-0.35</v>
      </c>
      <c r="D232">
        <v>25.021000000000001</v>
      </c>
      <c r="E232">
        <f t="shared" si="36"/>
        <v>6.7270000000000003</v>
      </c>
      <c r="F232">
        <f t="shared" si="37"/>
        <v>52.99</v>
      </c>
      <c r="G232">
        <f t="shared" si="38"/>
        <v>25.021000000000001</v>
      </c>
      <c r="H232">
        <f t="shared" si="39"/>
        <v>753</v>
      </c>
      <c r="I232">
        <f t="shared" si="40"/>
        <v>78.84</v>
      </c>
      <c r="J232">
        <f t="shared" si="41"/>
        <v>-0.35</v>
      </c>
      <c r="K232">
        <f t="shared" si="42"/>
        <v>25.021000000000001</v>
      </c>
      <c r="L232">
        <f t="shared" si="43"/>
        <v>1229</v>
      </c>
      <c r="O232">
        <v>729</v>
      </c>
      <c r="P232">
        <v>6.1120000000000001</v>
      </c>
      <c r="Q232">
        <v>39.479999999999997</v>
      </c>
      <c r="R232">
        <v>25.021000000000001</v>
      </c>
      <c r="S232">
        <f t="shared" si="44"/>
        <v>79.459999999999994</v>
      </c>
      <c r="T232">
        <f t="shared" si="45"/>
        <v>39.479999999999997</v>
      </c>
      <c r="U232">
        <f t="shared" si="46"/>
        <v>25.021000000000001</v>
      </c>
      <c r="V232">
        <f t="shared" si="47"/>
        <v>1728</v>
      </c>
      <c r="X232">
        <v>1229</v>
      </c>
      <c r="Y232">
        <v>78.84</v>
      </c>
      <c r="Z232">
        <v>-0.35</v>
      </c>
      <c r="AA232">
        <v>25.021000000000001</v>
      </c>
      <c r="AC232">
        <v>1729</v>
      </c>
      <c r="AD232">
        <v>80.069999999999993</v>
      </c>
      <c r="AE232">
        <v>39.479999999999997</v>
      </c>
      <c r="AF232">
        <v>25.021000000000001</v>
      </c>
    </row>
    <row r="233" spans="1:32" x14ac:dyDescent="0.35">
      <c r="A233">
        <v>230</v>
      </c>
      <c r="B233">
        <v>9.1690000000000005</v>
      </c>
      <c r="C233">
        <v>-0.35</v>
      </c>
      <c r="D233">
        <v>25.021000000000001</v>
      </c>
      <c r="E233">
        <f t="shared" si="36"/>
        <v>9.1690000000000005</v>
      </c>
      <c r="F233">
        <f t="shared" si="37"/>
        <v>52.99</v>
      </c>
      <c r="G233">
        <f t="shared" si="38"/>
        <v>25.021000000000001</v>
      </c>
      <c r="H233">
        <f t="shared" si="39"/>
        <v>754</v>
      </c>
      <c r="I233">
        <f t="shared" si="40"/>
        <v>76.400000000000006</v>
      </c>
      <c r="J233">
        <f t="shared" si="41"/>
        <v>-0.35</v>
      </c>
      <c r="K233">
        <f t="shared" si="42"/>
        <v>25.021000000000001</v>
      </c>
      <c r="L233">
        <f t="shared" si="43"/>
        <v>1228</v>
      </c>
      <c r="O233">
        <v>730</v>
      </c>
      <c r="P233">
        <v>6.7270000000000003</v>
      </c>
      <c r="Q233">
        <v>39.479999999999997</v>
      </c>
      <c r="R233">
        <v>25.021000000000001</v>
      </c>
      <c r="S233">
        <f t="shared" si="44"/>
        <v>78.84</v>
      </c>
      <c r="T233">
        <f t="shared" si="45"/>
        <v>39.479999999999997</v>
      </c>
      <c r="U233">
        <f t="shared" si="46"/>
        <v>25.021000000000001</v>
      </c>
      <c r="V233">
        <f t="shared" si="47"/>
        <v>1727</v>
      </c>
      <c r="X233">
        <v>1230</v>
      </c>
      <c r="Y233">
        <v>80.069999999999993</v>
      </c>
      <c r="Z233">
        <v>-0.35</v>
      </c>
      <c r="AA233">
        <v>25.021000000000001</v>
      </c>
      <c r="AC233">
        <v>1730</v>
      </c>
      <c r="AD233">
        <v>82.51</v>
      </c>
      <c r="AE233">
        <v>39.479999999999997</v>
      </c>
      <c r="AF233">
        <v>25.021000000000001</v>
      </c>
    </row>
    <row r="234" spans="1:32" x14ac:dyDescent="0.35">
      <c r="A234">
        <v>231</v>
      </c>
      <c r="B234">
        <v>11.625</v>
      </c>
      <c r="C234">
        <v>-0.35</v>
      </c>
      <c r="D234">
        <v>25.021000000000001</v>
      </c>
      <c r="E234">
        <f t="shared" si="36"/>
        <v>11.625</v>
      </c>
      <c r="F234">
        <f t="shared" si="37"/>
        <v>52.99</v>
      </c>
      <c r="G234">
        <f t="shared" si="38"/>
        <v>25.021000000000001</v>
      </c>
      <c r="H234">
        <f t="shared" si="39"/>
        <v>755</v>
      </c>
      <c r="I234">
        <f t="shared" si="40"/>
        <v>73.95</v>
      </c>
      <c r="J234">
        <f t="shared" si="41"/>
        <v>-0.35</v>
      </c>
      <c r="K234">
        <f t="shared" si="42"/>
        <v>25.021000000000001</v>
      </c>
      <c r="L234">
        <f t="shared" si="43"/>
        <v>1227</v>
      </c>
      <c r="O234">
        <v>731</v>
      </c>
      <c r="P234">
        <v>9.1690000000000005</v>
      </c>
      <c r="Q234">
        <v>39.479999999999997</v>
      </c>
      <c r="R234">
        <v>25.021000000000001</v>
      </c>
      <c r="S234">
        <f t="shared" si="44"/>
        <v>76.400000000000006</v>
      </c>
      <c r="T234">
        <f t="shared" si="45"/>
        <v>39.479999999999997</v>
      </c>
      <c r="U234">
        <f t="shared" si="46"/>
        <v>25.021000000000001</v>
      </c>
      <c r="V234">
        <f t="shared" si="47"/>
        <v>1726</v>
      </c>
      <c r="X234">
        <v>1231</v>
      </c>
      <c r="Y234">
        <v>82.51</v>
      </c>
      <c r="Z234">
        <v>-0.35</v>
      </c>
      <c r="AA234">
        <v>25.021000000000001</v>
      </c>
      <c r="AC234">
        <v>1731</v>
      </c>
      <c r="AD234">
        <v>86.97</v>
      </c>
      <c r="AE234">
        <v>39.479999999999997</v>
      </c>
      <c r="AF234">
        <v>25.021000000000001</v>
      </c>
    </row>
    <row r="235" spans="1:32" x14ac:dyDescent="0.35">
      <c r="A235">
        <v>232</v>
      </c>
      <c r="B235">
        <v>12.824999999999999</v>
      </c>
      <c r="C235">
        <v>-0.35</v>
      </c>
      <c r="D235">
        <v>25.021000000000001</v>
      </c>
      <c r="E235">
        <f t="shared" si="36"/>
        <v>12.824999999999999</v>
      </c>
      <c r="F235">
        <f t="shared" si="37"/>
        <v>52.99</v>
      </c>
      <c r="G235">
        <f t="shared" si="38"/>
        <v>25.021000000000001</v>
      </c>
      <c r="H235">
        <f t="shared" si="39"/>
        <v>756</v>
      </c>
      <c r="I235">
        <f t="shared" si="40"/>
        <v>72.75</v>
      </c>
      <c r="J235">
        <f t="shared" si="41"/>
        <v>-0.35</v>
      </c>
      <c r="K235">
        <f t="shared" si="42"/>
        <v>25.021000000000001</v>
      </c>
      <c r="L235">
        <f t="shared" si="43"/>
        <v>1226</v>
      </c>
      <c r="O235">
        <v>732</v>
      </c>
      <c r="P235">
        <v>-1.4</v>
      </c>
      <c r="Q235">
        <v>41.673999999999999</v>
      </c>
      <c r="R235">
        <v>25.021000000000001</v>
      </c>
      <c r="S235">
        <f t="shared" si="44"/>
        <v>86.97</v>
      </c>
      <c r="T235">
        <f t="shared" si="45"/>
        <v>41.673999999999999</v>
      </c>
      <c r="U235">
        <f t="shared" si="46"/>
        <v>25.021000000000001</v>
      </c>
      <c r="V235">
        <f t="shared" si="47"/>
        <v>1732</v>
      </c>
      <c r="X235">
        <v>1232</v>
      </c>
      <c r="Y235">
        <v>86.97</v>
      </c>
      <c r="Z235">
        <v>-0.35</v>
      </c>
      <c r="AA235">
        <v>25.021000000000001</v>
      </c>
      <c r="AC235">
        <v>1732</v>
      </c>
      <c r="AD235">
        <v>86.97</v>
      </c>
      <c r="AE235">
        <v>41.673999999999999</v>
      </c>
      <c r="AF235">
        <v>25.021000000000001</v>
      </c>
    </row>
    <row r="236" spans="1:32" x14ac:dyDescent="0.35">
      <c r="A236">
        <v>233</v>
      </c>
      <c r="B236">
        <v>-1.4</v>
      </c>
      <c r="C236">
        <v>0</v>
      </c>
      <c r="D236">
        <v>25.021000000000001</v>
      </c>
      <c r="E236">
        <f t="shared" si="36"/>
        <v>-1.4</v>
      </c>
      <c r="F236">
        <f t="shared" si="37"/>
        <v>52.64</v>
      </c>
      <c r="G236">
        <f t="shared" si="38"/>
        <v>25.021000000000001</v>
      </c>
      <c r="H236">
        <f t="shared" si="39"/>
        <v>744</v>
      </c>
      <c r="I236">
        <f t="shared" si="40"/>
        <v>86.97</v>
      </c>
      <c r="J236">
        <f t="shared" si="41"/>
        <v>0</v>
      </c>
      <c r="K236">
        <f t="shared" si="42"/>
        <v>25.021000000000001</v>
      </c>
      <c r="L236">
        <f t="shared" si="43"/>
        <v>1238</v>
      </c>
      <c r="O236">
        <v>733</v>
      </c>
      <c r="P236">
        <v>6.1120000000000001</v>
      </c>
      <c r="Q236">
        <v>42.77</v>
      </c>
      <c r="R236">
        <v>25.021000000000001</v>
      </c>
      <c r="S236">
        <f t="shared" si="44"/>
        <v>79.459999999999994</v>
      </c>
      <c r="T236">
        <f t="shared" si="45"/>
        <v>42.77</v>
      </c>
      <c r="U236">
        <f t="shared" si="46"/>
        <v>25.021000000000001</v>
      </c>
      <c r="V236">
        <f t="shared" si="47"/>
        <v>1733</v>
      </c>
      <c r="X236">
        <v>1233</v>
      </c>
      <c r="Y236">
        <v>76.400000000000006</v>
      </c>
      <c r="Z236">
        <v>0</v>
      </c>
      <c r="AA236">
        <v>25.021000000000001</v>
      </c>
      <c r="AC236">
        <v>1733</v>
      </c>
      <c r="AD236">
        <v>79.459999999999994</v>
      </c>
      <c r="AE236">
        <v>42.77</v>
      </c>
      <c r="AF236">
        <v>25.021000000000001</v>
      </c>
    </row>
    <row r="237" spans="1:32" x14ac:dyDescent="0.35">
      <c r="A237">
        <v>234</v>
      </c>
      <c r="B237">
        <v>3.056</v>
      </c>
      <c r="C237">
        <v>0</v>
      </c>
      <c r="D237">
        <v>25.021000000000001</v>
      </c>
      <c r="E237">
        <f t="shared" si="36"/>
        <v>3.056</v>
      </c>
      <c r="F237">
        <f t="shared" si="37"/>
        <v>52.64</v>
      </c>
      <c r="G237">
        <f t="shared" si="38"/>
        <v>25.021000000000001</v>
      </c>
      <c r="H237">
        <f t="shared" si="39"/>
        <v>745</v>
      </c>
      <c r="I237">
        <f t="shared" si="40"/>
        <v>82.51</v>
      </c>
      <c r="J237">
        <f t="shared" si="41"/>
        <v>0</v>
      </c>
      <c r="K237">
        <f t="shared" si="42"/>
        <v>25.021000000000001</v>
      </c>
      <c r="L237">
        <f t="shared" si="43"/>
        <v>1237</v>
      </c>
      <c r="O237">
        <v>734</v>
      </c>
      <c r="P237">
        <v>-1.4</v>
      </c>
      <c r="Q237">
        <v>43.866999999999997</v>
      </c>
      <c r="R237">
        <v>25.021000000000001</v>
      </c>
      <c r="S237">
        <f t="shared" si="44"/>
        <v>86.97</v>
      </c>
      <c r="T237">
        <f t="shared" si="45"/>
        <v>43.866999999999997</v>
      </c>
      <c r="U237">
        <f t="shared" si="46"/>
        <v>25.021000000000001</v>
      </c>
      <c r="V237">
        <f t="shared" si="47"/>
        <v>1734</v>
      </c>
      <c r="X237">
        <v>1234</v>
      </c>
      <c r="Y237">
        <v>78.84</v>
      </c>
      <c r="Z237">
        <v>0</v>
      </c>
      <c r="AA237">
        <v>25.021000000000001</v>
      </c>
      <c r="AC237">
        <v>1734</v>
      </c>
      <c r="AD237">
        <v>86.97</v>
      </c>
      <c r="AE237">
        <v>43.866999999999997</v>
      </c>
      <c r="AF237">
        <v>25.021000000000001</v>
      </c>
    </row>
    <row r="238" spans="1:32" x14ac:dyDescent="0.35">
      <c r="A238">
        <v>235</v>
      </c>
      <c r="B238">
        <v>5.4969999999999999</v>
      </c>
      <c r="C238">
        <v>0</v>
      </c>
      <c r="D238">
        <v>25.021000000000001</v>
      </c>
      <c r="E238">
        <f t="shared" si="36"/>
        <v>5.4969999999999999</v>
      </c>
      <c r="F238">
        <f t="shared" si="37"/>
        <v>52.64</v>
      </c>
      <c r="G238">
        <f t="shared" si="38"/>
        <v>25.021000000000001</v>
      </c>
      <c r="H238">
        <f t="shared" si="39"/>
        <v>746</v>
      </c>
      <c r="I238">
        <f t="shared" si="40"/>
        <v>80.069999999999993</v>
      </c>
      <c r="J238">
        <f t="shared" si="41"/>
        <v>0</v>
      </c>
      <c r="K238">
        <f t="shared" si="42"/>
        <v>25.021000000000001</v>
      </c>
      <c r="L238">
        <f t="shared" si="43"/>
        <v>1236</v>
      </c>
      <c r="O238">
        <v>735</v>
      </c>
      <c r="P238">
        <v>-1.4</v>
      </c>
      <c r="Q238">
        <v>46.06</v>
      </c>
      <c r="R238">
        <v>25.021000000000001</v>
      </c>
      <c r="S238">
        <f t="shared" si="44"/>
        <v>86.97</v>
      </c>
      <c r="T238">
        <f t="shared" si="45"/>
        <v>46.06</v>
      </c>
      <c r="U238">
        <f t="shared" si="46"/>
        <v>25.021000000000001</v>
      </c>
      <c r="V238">
        <f t="shared" si="47"/>
        <v>1740</v>
      </c>
      <c r="X238">
        <v>1235</v>
      </c>
      <c r="Y238">
        <v>79.459999999999994</v>
      </c>
      <c r="Z238">
        <v>0</v>
      </c>
      <c r="AA238">
        <v>25.021000000000001</v>
      </c>
      <c r="AC238">
        <v>1735</v>
      </c>
      <c r="AD238">
        <v>76.400000000000006</v>
      </c>
      <c r="AE238">
        <v>46.06</v>
      </c>
      <c r="AF238">
        <v>25.021000000000001</v>
      </c>
    </row>
    <row r="239" spans="1:32" x14ac:dyDescent="0.35">
      <c r="A239">
        <v>236</v>
      </c>
      <c r="B239">
        <v>6.1120000000000001</v>
      </c>
      <c r="C239">
        <v>0</v>
      </c>
      <c r="D239">
        <v>25.021000000000001</v>
      </c>
      <c r="E239">
        <f t="shared" si="36"/>
        <v>6.1120000000000001</v>
      </c>
      <c r="F239">
        <f t="shared" si="37"/>
        <v>52.64</v>
      </c>
      <c r="G239">
        <f t="shared" si="38"/>
        <v>25.021000000000001</v>
      </c>
      <c r="H239">
        <f t="shared" si="39"/>
        <v>747</v>
      </c>
      <c r="I239">
        <f t="shared" si="40"/>
        <v>79.459999999999994</v>
      </c>
      <c r="J239">
        <f t="shared" si="41"/>
        <v>0</v>
      </c>
      <c r="K239">
        <f t="shared" si="42"/>
        <v>25.021000000000001</v>
      </c>
      <c r="L239">
        <f t="shared" si="43"/>
        <v>1235</v>
      </c>
      <c r="O239">
        <v>736</v>
      </c>
      <c r="P239">
        <v>3.056</v>
      </c>
      <c r="Q239">
        <v>46.06</v>
      </c>
      <c r="R239">
        <v>25.021000000000001</v>
      </c>
      <c r="S239">
        <f t="shared" si="44"/>
        <v>82.51</v>
      </c>
      <c r="T239">
        <f t="shared" si="45"/>
        <v>46.06</v>
      </c>
      <c r="U239">
        <f t="shared" si="46"/>
        <v>25.021000000000001</v>
      </c>
      <c r="V239">
        <f t="shared" si="47"/>
        <v>1739</v>
      </c>
      <c r="X239">
        <v>1236</v>
      </c>
      <c r="Y239">
        <v>80.069999999999993</v>
      </c>
      <c r="Z239">
        <v>0</v>
      </c>
      <c r="AA239">
        <v>25.021000000000001</v>
      </c>
      <c r="AC239">
        <v>1736</v>
      </c>
      <c r="AD239">
        <v>78.84</v>
      </c>
      <c r="AE239">
        <v>46.06</v>
      </c>
      <c r="AF239">
        <v>25.021000000000001</v>
      </c>
    </row>
    <row r="240" spans="1:32" x14ac:dyDescent="0.35">
      <c r="A240">
        <v>237</v>
      </c>
      <c r="B240">
        <v>6.7270000000000003</v>
      </c>
      <c r="C240">
        <v>0</v>
      </c>
      <c r="D240">
        <v>25.021000000000001</v>
      </c>
      <c r="E240">
        <f t="shared" si="36"/>
        <v>6.7270000000000003</v>
      </c>
      <c r="F240">
        <f t="shared" si="37"/>
        <v>52.64</v>
      </c>
      <c r="G240">
        <f t="shared" si="38"/>
        <v>25.021000000000001</v>
      </c>
      <c r="H240">
        <f t="shared" si="39"/>
        <v>748</v>
      </c>
      <c r="I240">
        <f t="shared" si="40"/>
        <v>78.84</v>
      </c>
      <c r="J240">
        <f t="shared" si="41"/>
        <v>0</v>
      </c>
      <c r="K240">
        <f t="shared" si="42"/>
        <v>25.021000000000001</v>
      </c>
      <c r="L240">
        <f t="shared" si="43"/>
        <v>1234</v>
      </c>
      <c r="O240">
        <v>737</v>
      </c>
      <c r="P240">
        <v>5.4969999999999999</v>
      </c>
      <c r="Q240">
        <v>46.06</v>
      </c>
      <c r="R240">
        <v>25.021000000000001</v>
      </c>
      <c r="S240">
        <f t="shared" si="44"/>
        <v>80.069999999999993</v>
      </c>
      <c r="T240">
        <f t="shared" si="45"/>
        <v>46.06</v>
      </c>
      <c r="U240">
        <f t="shared" si="46"/>
        <v>25.021000000000001</v>
      </c>
      <c r="V240">
        <f t="shared" si="47"/>
        <v>1738</v>
      </c>
      <c r="X240">
        <v>1237</v>
      </c>
      <c r="Y240">
        <v>82.51</v>
      </c>
      <c r="Z240">
        <v>0</v>
      </c>
      <c r="AA240">
        <v>25.021000000000001</v>
      </c>
      <c r="AC240">
        <v>1737</v>
      </c>
      <c r="AD240">
        <v>79.459999999999994</v>
      </c>
      <c r="AE240">
        <v>46.06</v>
      </c>
      <c r="AF240">
        <v>25.021000000000001</v>
      </c>
    </row>
    <row r="241" spans="1:32" x14ac:dyDescent="0.35">
      <c r="A241">
        <v>238</v>
      </c>
      <c r="B241">
        <v>9.1690000000000005</v>
      </c>
      <c r="C241">
        <v>0</v>
      </c>
      <c r="D241">
        <v>25.021000000000001</v>
      </c>
      <c r="E241">
        <f t="shared" si="36"/>
        <v>9.1690000000000005</v>
      </c>
      <c r="F241">
        <f t="shared" si="37"/>
        <v>52.64</v>
      </c>
      <c r="G241">
        <f t="shared" si="38"/>
        <v>25.021000000000001</v>
      </c>
      <c r="H241">
        <f t="shared" si="39"/>
        <v>749</v>
      </c>
      <c r="I241">
        <f t="shared" si="40"/>
        <v>76.400000000000006</v>
      </c>
      <c r="J241">
        <f t="shared" si="41"/>
        <v>0</v>
      </c>
      <c r="K241">
        <f t="shared" si="42"/>
        <v>25.021000000000001</v>
      </c>
      <c r="L241">
        <f t="shared" si="43"/>
        <v>1233</v>
      </c>
      <c r="O241">
        <v>738</v>
      </c>
      <c r="P241">
        <v>6.1120000000000001</v>
      </c>
      <c r="Q241">
        <v>46.06</v>
      </c>
      <c r="R241">
        <v>25.021000000000001</v>
      </c>
      <c r="S241">
        <f t="shared" si="44"/>
        <v>79.459999999999994</v>
      </c>
      <c r="T241">
        <f t="shared" si="45"/>
        <v>46.06</v>
      </c>
      <c r="U241">
        <f t="shared" si="46"/>
        <v>25.021000000000001</v>
      </c>
      <c r="V241">
        <f t="shared" si="47"/>
        <v>1737</v>
      </c>
      <c r="X241">
        <v>1238</v>
      </c>
      <c r="Y241">
        <v>86.97</v>
      </c>
      <c r="Z241">
        <v>0</v>
      </c>
      <c r="AA241">
        <v>25.021000000000001</v>
      </c>
      <c r="AC241">
        <v>1738</v>
      </c>
      <c r="AD241">
        <v>80.069999999999993</v>
      </c>
      <c r="AE241">
        <v>46.06</v>
      </c>
      <c r="AF241">
        <v>25.021000000000001</v>
      </c>
    </row>
    <row r="242" spans="1:32" x14ac:dyDescent="0.35">
      <c r="A242">
        <v>239</v>
      </c>
      <c r="B242">
        <v>-1.4</v>
      </c>
      <c r="C242">
        <v>2.194</v>
      </c>
      <c r="D242">
        <v>25.021000000000001</v>
      </c>
      <c r="E242">
        <f t="shared" si="36"/>
        <v>-1.4</v>
      </c>
      <c r="F242">
        <f t="shared" si="37"/>
        <v>50.445999999999998</v>
      </c>
      <c r="G242">
        <f t="shared" si="38"/>
        <v>25.021000000000001</v>
      </c>
      <c r="H242">
        <f t="shared" si="39"/>
        <v>743</v>
      </c>
      <c r="I242">
        <f t="shared" si="40"/>
        <v>86.97</v>
      </c>
      <c r="J242">
        <f t="shared" si="41"/>
        <v>2.194</v>
      </c>
      <c r="K242">
        <f t="shared" si="42"/>
        <v>25.021000000000001</v>
      </c>
      <c r="L242">
        <f t="shared" si="43"/>
        <v>1239</v>
      </c>
      <c r="O242">
        <v>739</v>
      </c>
      <c r="P242">
        <v>6.7270000000000003</v>
      </c>
      <c r="Q242">
        <v>46.06</v>
      </c>
      <c r="R242">
        <v>25.021000000000001</v>
      </c>
      <c r="S242">
        <f t="shared" si="44"/>
        <v>78.84</v>
      </c>
      <c r="T242">
        <f t="shared" si="45"/>
        <v>46.06</v>
      </c>
      <c r="U242">
        <f t="shared" si="46"/>
        <v>25.021000000000001</v>
      </c>
      <c r="V242">
        <f t="shared" si="47"/>
        <v>1736</v>
      </c>
      <c r="X242">
        <v>1239</v>
      </c>
      <c r="Y242">
        <v>86.97</v>
      </c>
      <c r="Z242">
        <v>2.194</v>
      </c>
      <c r="AA242">
        <v>25.021000000000001</v>
      </c>
      <c r="AC242">
        <v>1739</v>
      </c>
      <c r="AD242">
        <v>82.51</v>
      </c>
      <c r="AE242">
        <v>46.06</v>
      </c>
      <c r="AF242">
        <v>25.021000000000001</v>
      </c>
    </row>
    <row r="243" spans="1:32" x14ac:dyDescent="0.35">
      <c r="A243">
        <v>240</v>
      </c>
      <c r="B243">
        <v>6.1120000000000001</v>
      </c>
      <c r="C243">
        <v>3.29</v>
      </c>
      <c r="D243">
        <v>25.021000000000001</v>
      </c>
      <c r="E243">
        <f t="shared" si="36"/>
        <v>6.1120000000000001</v>
      </c>
      <c r="F243">
        <f t="shared" si="37"/>
        <v>49.35</v>
      </c>
      <c r="G243">
        <f t="shared" si="38"/>
        <v>25.021000000000001</v>
      </c>
      <c r="H243">
        <f t="shared" si="39"/>
        <v>742</v>
      </c>
      <c r="I243">
        <f t="shared" si="40"/>
        <v>79.459999999999994</v>
      </c>
      <c r="J243">
        <f t="shared" si="41"/>
        <v>3.29</v>
      </c>
      <c r="K243">
        <f t="shared" si="42"/>
        <v>25.021000000000001</v>
      </c>
      <c r="L243">
        <f t="shared" si="43"/>
        <v>1240</v>
      </c>
      <c r="O243">
        <v>740</v>
      </c>
      <c r="P243">
        <v>9.1690000000000005</v>
      </c>
      <c r="Q243">
        <v>46.06</v>
      </c>
      <c r="R243">
        <v>25.021000000000001</v>
      </c>
      <c r="S243">
        <f t="shared" si="44"/>
        <v>76.400000000000006</v>
      </c>
      <c r="T243">
        <f t="shared" si="45"/>
        <v>46.06</v>
      </c>
      <c r="U243">
        <f t="shared" si="46"/>
        <v>25.021000000000001</v>
      </c>
      <c r="V243">
        <f t="shared" si="47"/>
        <v>1735</v>
      </c>
      <c r="X243">
        <v>1240</v>
      </c>
      <c r="Y243">
        <v>79.459999999999994</v>
      </c>
      <c r="Z243">
        <v>3.29</v>
      </c>
      <c r="AA243">
        <v>25.021000000000001</v>
      </c>
      <c r="AC243">
        <v>1740</v>
      </c>
      <c r="AD243">
        <v>86.97</v>
      </c>
      <c r="AE243">
        <v>46.06</v>
      </c>
      <c r="AF243">
        <v>25.021000000000001</v>
      </c>
    </row>
    <row r="244" spans="1:32" x14ac:dyDescent="0.35">
      <c r="A244">
        <v>241</v>
      </c>
      <c r="B244">
        <v>-1.4</v>
      </c>
      <c r="C244">
        <v>4.3869999999999996</v>
      </c>
      <c r="D244">
        <v>25.021000000000001</v>
      </c>
      <c r="E244">
        <f t="shared" si="36"/>
        <v>-1.4</v>
      </c>
      <c r="F244">
        <f t="shared" si="37"/>
        <v>48.253</v>
      </c>
      <c r="G244">
        <f t="shared" si="38"/>
        <v>25.021000000000001</v>
      </c>
      <c r="H244">
        <f t="shared" si="39"/>
        <v>741</v>
      </c>
      <c r="I244">
        <f t="shared" si="40"/>
        <v>86.97</v>
      </c>
      <c r="J244">
        <f t="shared" si="41"/>
        <v>4.3869999999999996</v>
      </c>
      <c r="K244">
        <f t="shared" si="42"/>
        <v>25.021000000000001</v>
      </c>
      <c r="L244">
        <f t="shared" si="43"/>
        <v>1241</v>
      </c>
      <c r="O244">
        <v>741</v>
      </c>
      <c r="P244">
        <v>-1.4</v>
      </c>
      <c r="Q244">
        <v>48.253</v>
      </c>
      <c r="R244">
        <v>25.021000000000001</v>
      </c>
      <c r="S244">
        <f t="shared" si="44"/>
        <v>86.97</v>
      </c>
      <c r="T244">
        <f t="shared" si="45"/>
        <v>48.253</v>
      </c>
      <c r="U244">
        <f t="shared" si="46"/>
        <v>25.021000000000001</v>
      </c>
      <c r="V244">
        <f t="shared" si="47"/>
        <v>1741</v>
      </c>
      <c r="X244">
        <v>1241</v>
      </c>
      <c r="Y244">
        <v>86.97</v>
      </c>
      <c r="Z244">
        <v>4.3869999999999996</v>
      </c>
      <c r="AA244">
        <v>25.021000000000001</v>
      </c>
      <c r="AC244">
        <v>1741</v>
      </c>
      <c r="AD244">
        <v>86.97</v>
      </c>
      <c r="AE244">
        <v>48.253</v>
      </c>
      <c r="AF244">
        <v>25.021000000000001</v>
      </c>
    </row>
    <row r="245" spans="1:32" x14ac:dyDescent="0.35">
      <c r="A245">
        <v>242</v>
      </c>
      <c r="B245">
        <v>-1.4</v>
      </c>
      <c r="C245">
        <v>6.58</v>
      </c>
      <c r="D245">
        <v>25.021000000000001</v>
      </c>
      <c r="E245">
        <f t="shared" si="36"/>
        <v>-1.4</v>
      </c>
      <c r="F245">
        <f t="shared" si="37"/>
        <v>46.06</v>
      </c>
      <c r="G245">
        <f t="shared" si="38"/>
        <v>25.021000000000001</v>
      </c>
      <c r="H245">
        <f t="shared" si="39"/>
        <v>735</v>
      </c>
      <c r="I245">
        <f t="shared" si="40"/>
        <v>86.97</v>
      </c>
      <c r="J245">
        <f t="shared" si="41"/>
        <v>6.58</v>
      </c>
      <c r="K245">
        <f t="shared" si="42"/>
        <v>25.021000000000001</v>
      </c>
      <c r="L245">
        <f t="shared" si="43"/>
        <v>1247</v>
      </c>
      <c r="O245">
        <v>742</v>
      </c>
      <c r="P245">
        <v>6.1120000000000001</v>
      </c>
      <c r="Q245">
        <v>49.35</v>
      </c>
      <c r="R245">
        <v>25.021000000000001</v>
      </c>
      <c r="S245">
        <f t="shared" si="44"/>
        <v>79.459999999999994</v>
      </c>
      <c r="T245">
        <f t="shared" si="45"/>
        <v>49.35</v>
      </c>
      <c r="U245">
        <f t="shared" si="46"/>
        <v>25.021000000000001</v>
      </c>
      <c r="V245">
        <f t="shared" si="47"/>
        <v>1742</v>
      </c>
      <c r="X245">
        <v>1242</v>
      </c>
      <c r="Y245">
        <v>76.400000000000006</v>
      </c>
      <c r="Z245">
        <v>6.58</v>
      </c>
      <c r="AA245">
        <v>25.021000000000001</v>
      </c>
      <c r="AC245">
        <v>1742</v>
      </c>
      <c r="AD245">
        <v>79.459999999999994</v>
      </c>
      <c r="AE245">
        <v>49.35</v>
      </c>
      <c r="AF245">
        <v>25.021000000000001</v>
      </c>
    </row>
    <row r="246" spans="1:32" x14ac:dyDescent="0.35">
      <c r="A246">
        <v>243</v>
      </c>
      <c r="B246">
        <v>3.056</v>
      </c>
      <c r="C246">
        <v>6.58</v>
      </c>
      <c r="D246">
        <v>25.021000000000001</v>
      </c>
      <c r="E246">
        <f t="shared" si="36"/>
        <v>3.056</v>
      </c>
      <c r="F246">
        <f t="shared" si="37"/>
        <v>46.06</v>
      </c>
      <c r="G246">
        <f t="shared" si="38"/>
        <v>25.021000000000001</v>
      </c>
      <c r="H246">
        <f t="shared" si="39"/>
        <v>736</v>
      </c>
      <c r="I246">
        <f t="shared" si="40"/>
        <v>82.51</v>
      </c>
      <c r="J246">
        <f t="shared" si="41"/>
        <v>6.58</v>
      </c>
      <c r="K246">
        <f t="shared" si="42"/>
        <v>25.021000000000001</v>
      </c>
      <c r="L246">
        <f t="shared" si="43"/>
        <v>1246</v>
      </c>
      <c r="O246">
        <v>743</v>
      </c>
      <c r="P246">
        <v>-1.4</v>
      </c>
      <c r="Q246">
        <v>50.445999999999998</v>
      </c>
      <c r="R246">
        <v>25.021000000000001</v>
      </c>
      <c r="S246">
        <f t="shared" si="44"/>
        <v>86.97</v>
      </c>
      <c r="T246">
        <f t="shared" si="45"/>
        <v>50.445999999999998</v>
      </c>
      <c r="U246">
        <f t="shared" si="46"/>
        <v>25.021000000000001</v>
      </c>
      <c r="V246">
        <f t="shared" si="47"/>
        <v>1743</v>
      </c>
      <c r="X246">
        <v>1243</v>
      </c>
      <c r="Y246">
        <v>78.84</v>
      </c>
      <c r="Z246">
        <v>6.58</v>
      </c>
      <c r="AA246">
        <v>25.021000000000001</v>
      </c>
      <c r="AC246">
        <v>1743</v>
      </c>
      <c r="AD246">
        <v>86.97</v>
      </c>
      <c r="AE246">
        <v>50.445999999999998</v>
      </c>
      <c r="AF246">
        <v>25.021000000000001</v>
      </c>
    </row>
    <row r="247" spans="1:32" x14ac:dyDescent="0.35">
      <c r="A247">
        <v>244</v>
      </c>
      <c r="B247">
        <v>5.4969999999999999</v>
      </c>
      <c r="C247">
        <v>6.58</v>
      </c>
      <c r="D247">
        <v>25.021000000000001</v>
      </c>
      <c r="E247">
        <f t="shared" si="36"/>
        <v>5.4969999999999999</v>
      </c>
      <c r="F247">
        <f t="shared" si="37"/>
        <v>46.06</v>
      </c>
      <c r="G247">
        <f t="shared" si="38"/>
        <v>25.021000000000001</v>
      </c>
      <c r="H247">
        <f t="shared" si="39"/>
        <v>737</v>
      </c>
      <c r="I247">
        <f t="shared" si="40"/>
        <v>80.069999999999993</v>
      </c>
      <c r="J247">
        <f t="shared" si="41"/>
        <v>6.58</v>
      </c>
      <c r="K247">
        <f t="shared" si="42"/>
        <v>25.021000000000001</v>
      </c>
      <c r="L247">
        <f t="shared" si="43"/>
        <v>1245</v>
      </c>
      <c r="O247">
        <v>744</v>
      </c>
      <c r="P247">
        <v>-1.4</v>
      </c>
      <c r="Q247">
        <v>52.64</v>
      </c>
      <c r="R247">
        <v>25.021000000000001</v>
      </c>
      <c r="S247">
        <f t="shared" si="44"/>
        <v>86.97</v>
      </c>
      <c r="T247">
        <f t="shared" si="45"/>
        <v>52.64</v>
      </c>
      <c r="U247">
        <f t="shared" si="46"/>
        <v>25.021000000000001</v>
      </c>
      <c r="V247">
        <f t="shared" si="47"/>
        <v>1749</v>
      </c>
      <c r="X247">
        <v>1244</v>
      </c>
      <c r="Y247">
        <v>79.459999999999994</v>
      </c>
      <c r="Z247">
        <v>6.58</v>
      </c>
      <c r="AA247">
        <v>25.021000000000001</v>
      </c>
      <c r="AC247">
        <v>1744</v>
      </c>
      <c r="AD247">
        <v>76.400000000000006</v>
      </c>
      <c r="AE247">
        <v>52.64</v>
      </c>
      <c r="AF247">
        <v>25.021000000000001</v>
      </c>
    </row>
    <row r="248" spans="1:32" x14ac:dyDescent="0.35">
      <c r="A248">
        <v>245</v>
      </c>
      <c r="B248">
        <v>6.1120000000000001</v>
      </c>
      <c r="C248">
        <v>6.58</v>
      </c>
      <c r="D248">
        <v>25.021000000000001</v>
      </c>
      <c r="E248">
        <f t="shared" si="36"/>
        <v>6.1120000000000001</v>
      </c>
      <c r="F248">
        <f t="shared" si="37"/>
        <v>46.06</v>
      </c>
      <c r="G248">
        <f t="shared" si="38"/>
        <v>25.021000000000001</v>
      </c>
      <c r="H248">
        <f t="shared" si="39"/>
        <v>738</v>
      </c>
      <c r="I248">
        <f t="shared" si="40"/>
        <v>79.459999999999994</v>
      </c>
      <c r="J248">
        <f t="shared" si="41"/>
        <v>6.58</v>
      </c>
      <c r="K248">
        <f t="shared" si="42"/>
        <v>25.021000000000001</v>
      </c>
      <c r="L248">
        <f t="shared" si="43"/>
        <v>1244</v>
      </c>
      <c r="O248">
        <v>745</v>
      </c>
      <c r="P248">
        <v>3.056</v>
      </c>
      <c r="Q248">
        <v>52.64</v>
      </c>
      <c r="R248">
        <v>25.021000000000001</v>
      </c>
      <c r="S248">
        <f t="shared" si="44"/>
        <v>82.51</v>
      </c>
      <c r="T248">
        <f t="shared" si="45"/>
        <v>52.64</v>
      </c>
      <c r="U248">
        <f t="shared" si="46"/>
        <v>25.021000000000001</v>
      </c>
      <c r="V248">
        <f t="shared" si="47"/>
        <v>1748</v>
      </c>
      <c r="X248">
        <v>1245</v>
      </c>
      <c r="Y248">
        <v>80.069999999999993</v>
      </c>
      <c r="Z248">
        <v>6.58</v>
      </c>
      <c r="AA248">
        <v>25.021000000000001</v>
      </c>
      <c r="AC248">
        <v>1745</v>
      </c>
      <c r="AD248">
        <v>78.84</v>
      </c>
      <c r="AE248">
        <v>52.64</v>
      </c>
      <c r="AF248">
        <v>25.021000000000001</v>
      </c>
    </row>
    <row r="249" spans="1:32" x14ac:dyDescent="0.35">
      <c r="A249">
        <v>246</v>
      </c>
      <c r="B249">
        <v>6.7270000000000003</v>
      </c>
      <c r="C249">
        <v>6.58</v>
      </c>
      <c r="D249">
        <v>25.021000000000001</v>
      </c>
      <c r="E249">
        <f t="shared" si="36"/>
        <v>6.7270000000000003</v>
      </c>
      <c r="F249">
        <f t="shared" si="37"/>
        <v>46.06</v>
      </c>
      <c r="G249">
        <f t="shared" si="38"/>
        <v>25.021000000000001</v>
      </c>
      <c r="H249">
        <f t="shared" si="39"/>
        <v>739</v>
      </c>
      <c r="I249">
        <f t="shared" si="40"/>
        <v>78.84</v>
      </c>
      <c r="J249">
        <f t="shared" si="41"/>
        <v>6.58</v>
      </c>
      <c r="K249">
        <f t="shared" si="42"/>
        <v>25.021000000000001</v>
      </c>
      <c r="L249">
        <f t="shared" si="43"/>
        <v>1243</v>
      </c>
      <c r="O249">
        <v>746</v>
      </c>
      <c r="P249">
        <v>5.4969999999999999</v>
      </c>
      <c r="Q249">
        <v>52.64</v>
      </c>
      <c r="R249">
        <v>25.021000000000001</v>
      </c>
      <c r="S249">
        <f t="shared" si="44"/>
        <v>80.069999999999993</v>
      </c>
      <c r="T249">
        <f t="shared" si="45"/>
        <v>52.64</v>
      </c>
      <c r="U249">
        <f t="shared" si="46"/>
        <v>25.021000000000001</v>
      </c>
      <c r="V249">
        <f t="shared" si="47"/>
        <v>1747</v>
      </c>
      <c r="X249">
        <v>1246</v>
      </c>
      <c r="Y249">
        <v>82.51</v>
      </c>
      <c r="Z249">
        <v>6.58</v>
      </c>
      <c r="AA249">
        <v>25.021000000000001</v>
      </c>
      <c r="AC249">
        <v>1746</v>
      </c>
      <c r="AD249">
        <v>79.459999999999994</v>
      </c>
      <c r="AE249">
        <v>52.64</v>
      </c>
      <c r="AF249">
        <v>25.021000000000001</v>
      </c>
    </row>
    <row r="250" spans="1:32" x14ac:dyDescent="0.35">
      <c r="A250">
        <v>247</v>
      </c>
      <c r="B250">
        <v>9.1690000000000005</v>
      </c>
      <c r="C250">
        <v>6.58</v>
      </c>
      <c r="D250">
        <v>25.021000000000001</v>
      </c>
      <c r="E250">
        <f t="shared" si="36"/>
        <v>9.1690000000000005</v>
      </c>
      <c r="F250">
        <f t="shared" si="37"/>
        <v>46.06</v>
      </c>
      <c r="G250">
        <f t="shared" si="38"/>
        <v>25.021000000000001</v>
      </c>
      <c r="H250">
        <f t="shared" si="39"/>
        <v>740</v>
      </c>
      <c r="I250">
        <f t="shared" si="40"/>
        <v>76.400000000000006</v>
      </c>
      <c r="J250">
        <f t="shared" si="41"/>
        <v>6.58</v>
      </c>
      <c r="K250">
        <f t="shared" si="42"/>
        <v>25.021000000000001</v>
      </c>
      <c r="L250">
        <f t="shared" si="43"/>
        <v>1242</v>
      </c>
      <c r="O250">
        <v>747</v>
      </c>
      <c r="P250">
        <v>6.1120000000000001</v>
      </c>
      <c r="Q250">
        <v>52.64</v>
      </c>
      <c r="R250">
        <v>25.021000000000001</v>
      </c>
      <c r="S250">
        <f t="shared" si="44"/>
        <v>79.459999999999994</v>
      </c>
      <c r="T250">
        <f t="shared" si="45"/>
        <v>52.64</v>
      </c>
      <c r="U250">
        <f t="shared" si="46"/>
        <v>25.021000000000001</v>
      </c>
      <c r="V250">
        <f t="shared" si="47"/>
        <v>1746</v>
      </c>
      <c r="X250">
        <v>1247</v>
      </c>
      <c r="Y250">
        <v>86.97</v>
      </c>
      <c r="Z250">
        <v>6.58</v>
      </c>
      <c r="AA250">
        <v>25.021000000000001</v>
      </c>
      <c r="AC250">
        <v>1747</v>
      </c>
      <c r="AD250">
        <v>80.069999999999993</v>
      </c>
      <c r="AE250">
        <v>52.64</v>
      </c>
      <c r="AF250">
        <v>25.021000000000001</v>
      </c>
    </row>
    <row r="251" spans="1:32" x14ac:dyDescent="0.35">
      <c r="A251">
        <v>248</v>
      </c>
      <c r="B251">
        <v>-1.4</v>
      </c>
      <c r="C251">
        <v>8.7729999999999997</v>
      </c>
      <c r="D251">
        <v>25.021000000000001</v>
      </c>
      <c r="E251">
        <f t="shared" si="36"/>
        <v>-1.4</v>
      </c>
      <c r="F251">
        <f t="shared" si="37"/>
        <v>43.867000000000004</v>
      </c>
      <c r="G251">
        <f t="shared" si="38"/>
        <v>25.021000000000001</v>
      </c>
      <c r="H251">
        <f t="shared" si="39"/>
        <v>734</v>
      </c>
      <c r="I251">
        <f t="shared" si="40"/>
        <v>86.97</v>
      </c>
      <c r="J251">
        <f t="shared" si="41"/>
        <v>8.7729999999999997</v>
      </c>
      <c r="K251">
        <f t="shared" si="42"/>
        <v>25.021000000000001</v>
      </c>
      <c r="L251">
        <f t="shared" si="43"/>
        <v>1248</v>
      </c>
      <c r="O251">
        <v>748</v>
      </c>
      <c r="P251">
        <v>6.7270000000000003</v>
      </c>
      <c r="Q251">
        <v>52.64</v>
      </c>
      <c r="R251">
        <v>25.021000000000001</v>
      </c>
      <c r="S251">
        <f t="shared" si="44"/>
        <v>78.84</v>
      </c>
      <c r="T251">
        <f t="shared" si="45"/>
        <v>52.64</v>
      </c>
      <c r="U251">
        <f t="shared" si="46"/>
        <v>25.021000000000001</v>
      </c>
      <c r="V251">
        <f t="shared" si="47"/>
        <v>1745</v>
      </c>
      <c r="X251">
        <v>1248</v>
      </c>
      <c r="Y251">
        <v>86.97</v>
      </c>
      <c r="Z251">
        <v>8.7729999999999997</v>
      </c>
      <c r="AA251">
        <v>25.021000000000001</v>
      </c>
      <c r="AC251">
        <v>1748</v>
      </c>
      <c r="AD251">
        <v>82.51</v>
      </c>
      <c r="AE251">
        <v>52.64</v>
      </c>
      <c r="AF251">
        <v>25.021000000000001</v>
      </c>
    </row>
    <row r="252" spans="1:32" x14ac:dyDescent="0.35">
      <c r="A252">
        <v>249</v>
      </c>
      <c r="B252">
        <v>6.1120000000000001</v>
      </c>
      <c r="C252">
        <v>9.8699999999999992</v>
      </c>
      <c r="D252">
        <v>25.021000000000001</v>
      </c>
      <c r="E252">
        <f t="shared" si="36"/>
        <v>6.1120000000000001</v>
      </c>
      <c r="F252">
        <f t="shared" si="37"/>
        <v>42.77</v>
      </c>
      <c r="G252">
        <f t="shared" si="38"/>
        <v>25.021000000000001</v>
      </c>
      <c r="H252">
        <f t="shared" si="39"/>
        <v>733</v>
      </c>
      <c r="I252">
        <f t="shared" si="40"/>
        <v>79.459999999999994</v>
      </c>
      <c r="J252">
        <f t="shared" si="41"/>
        <v>9.8699999999999992</v>
      </c>
      <c r="K252">
        <f t="shared" si="42"/>
        <v>25.021000000000001</v>
      </c>
      <c r="L252">
        <f t="shared" si="43"/>
        <v>1249</v>
      </c>
      <c r="O252">
        <v>749</v>
      </c>
      <c r="P252">
        <v>9.1690000000000005</v>
      </c>
      <c r="Q252">
        <v>52.64</v>
      </c>
      <c r="R252">
        <v>25.021000000000001</v>
      </c>
      <c r="S252">
        <f t="shared" si="44"/>
        <v>76.400000000000006</v>
      </c>
      <c r="T252">
        <f t="shared" si="45"/>
        <v>52.64</v>
      </c>
      <c r="U252">
        <f t="shared" si="46"/>
        <v>25.021000000000001</v>
      </c>
      <c r="V252">
        <f t="shared" si="47"/>
        <v>1744</v>
      </c>
      <c r="X252">
        <v>1249</v>
      </c>
      <c r="Y252">
        <v>79.459999999999994</v>
      </c>
      <c r="Z252">
        <v>9.8699999999999992</v>
      </c>
      <c r="AA252">
        <v>25.021000000000001</v>
      </c>
      <c r="AC252">
        <v>1749</v>
      </c>
      <c r="AD252">
        <v>86.97</v>
      </c>
      <c r="AE252">
        <v>52.64</v>
      </c>
      <c r="AF252">
        <v>25.021000000000001</v>
      </c>
    </row>
    <row r="253" spans="1:32" x14ac:dyDescent="0.35">
      <c r="A253">
        <v>250</v>
      </c>
      <c r="B253">
        <v>-1.4</v>
      </c>
      <c r="C253">
        <v>10.965999999999999</v>
      </c>
      <c r="D253">
        <v>25.021000000000001</v>
      </c>
      <c r="E253">
        <f t="shared" si="36"/>
        <v>-1.4</v>
      </c>
      <c r="F253">
        <f t="shared" si="37"/>
        <v>41.673999999999999</v>
      </c>
      <c r="G253">
        <f t="shared" si="38"/>
        <v>25.021000000000001</v>
      </c>
      <c r="H253">
        <f t="shared" si="39"/>
        <v>732</v>
      </c>
      <c r="I253">
        <f t="shared" si="40"/>
        <v>86.97</v>
      </c>
      <c r="J253">
        <f t="shared" si="41"/>
        <v>10.965999999999999</v>
      </c>
      <c r="K253">
        <f t="shared" si="42"/>
        <v>25.021000000000001</v>
      </c>
      <c r="L253">
        <f t="shared" si="43"/>
        <v>1250</v>
      </c>
      <c r="O253">
        <v>750</v>
      </c>
      <c r="P253">
        <v>-1.4</v>
      </c>
      <c r="Q253">
        <v>52.99</v>
      </c>
      <c r="R253">
        <v>25.021000000000001</v>
      </c>
      <c r="S253">
        <f t="shared" si="44"/>
        <v>86.97</v>
      </c>
      <c r="T253">
        <f t="shared" si="45"/>
        <v>52.99</v>
      </c>
      <c r="U253">
        <f t="shared" si="46"/>
        <v>25.021000000000001</v>
      </c>
      <c r="V253">
        <f t="shared" si="47"/>
        <v>1756</v>
      </c>
      <c r="X253">
        <v>1250</v>
      </c>
      <c r="Y253">
        <v>86.97</v>
      </c>
      <c r="Z253">
        <v>10.965999999999999</v>
      </c>
      <c r="AA253">
        <v>25.021000000000001</v>
      </c>
      <c r="AC253">
        <v>1750</v>
      </c>
      <c r="AD253">
        <v>72.75</v>
      </c>
      <c r="AE253">
        <v>52.99</v>
      </c>
      <c r="AF253">
        <v>25.021000000000001</v>
      </c>
    </row>
    <row r="254" spans="1:32" x14ac:dyDescent="0.35">
      <c r="A254">
        <v>251</v>
      </c>
      <c r="B254">
        <v>-1.4</v>
      </c>
      <c r="C254">
        <v>13.16</v>
      </c>
      <c r="D254">
        <v>25.021000000000001</v>
      </c>
      <c r="E254">
        <f t="shared" si="36"/>
        <v>-1.4</v>
      </c>
      <c r="F254">
        <f t="shared" si="37"/>
        <v>39.480000000000004</v>
      </c>
      <c r="G254">
        <f t="shared" si="38"/>
        <v>25.021000000000001</v>
      </c>
      <c r="H254">
        <f t="shared" si="39"/>
        <v>726</v>
      </c>
      <c r="I254">
        <f t="shared" si="40"/>
        <v>86.97</v>
      </c>
      <c r="J254">
        <f t="shared" si="41"/>
        <v>13.16</v>
      </c>
      <c r="K254">
        <f t="shared" si="42"/>
        <v>25.021000000000001</v>
      </c>
      <c r="L254">
        <f t="shared" si="43"/>
        <v>1256</v>
      </c>
      <c r="O254">
        <v>751</v>
      </c>
      <c r="P254">
        <v>3.056</v>
      </c>
      <c r="Q254">
        <v>52.99</v>
      </c>
      <c r="R254">
        <v>25.021000000000001</v>
      </c>
      <c r="S254">
        <f t="shared" si="44"/>
        <v>82.51</v>
      </c>
      <c r="T254">
        <f t="shared" si="45"/>
        <v>52.99</v>
      </c>
      <c r="U254">
        <f t="shared" si="46"/>
        <v>25.021000000000001</v>
      </c>
      <c r="V254">
        <f t="shared" si="47"/>
        <v>1755</v>
      </c>
      <c r="X254">
        <v>1251</v>
      </c>
      <c r="Y254">
        <v>76.400000000000006</v>
      </c>
      <c r="Z254">
        <v>13.16</v>
      </c>
      <c r="AA254">
        <v>25.021000000000001</v>
      </c>
      <c r="AC254">
        <v>1751</v>
      </c>
      <c r="AD254">
        <v>73.95</v>
      </c>
      <c r="AE254">
        <v>52.99</v>
      </c>
      <c r="AF254">
        <v>25.021000000000001</v>
      </c>
    </row>
    <row r="255" spans="1:32" x14ac:dyDescent="0.35">
      <c r="A255">
        <v>252</v>
      </c>
      <c r="B255">
        <v>3.056</v>
      </c>
      <c r="C255">
        <v>13.16</v>
      </c>
      <c r="D255">
        <v>25.021000000000001</v>
      </c>
      <c r="E255">
        <f t="shared" si="36"/>
        <v>3.056</v>
      </c>
      <c r="F255">
        <f t="shared" si="37"/>
        <v>39.480000000000004</v>
      </c>
      <c r="G255">
        <f t="shared" si="38"/>
        <v>25.021000000000001</v>
      </c>
      <c r="H255">
        <f t="shared" si="39"/>
        <v>727</v>
      </c>
      <c r="I255">
        <f t="shared" si="40"/>
        <v>82.51</v>
      </c>
      <c r="J255">
        <f t="shared" si="41"/>
        <v>13.16</v>
      </c>
      <c r="K255">
        <f t="shared" si="42"/>
        <v>25.021000000000001</v>
      </c>
      <c r="L255">
        <f t="shared" si="43"/>
        <v>1255</v>
      </c>
      <c r="O255">
        <v>752</v>
      </c>
      <c r="P255">
        <v>5.4969999999999999</v>
      </c>
      <c r="Q255">
        <v>52.99</v>
      </c>
      <c r="R255">
        <v>25.021000000000001</v>
      </c>
      <c r="S255">
        <f t="shared" si="44"/>
        <v>80.069999999999993</v>
      </c>
      <c r="T255">
        <f t="shared" si="45"/>
        <v>52.99</v>
      </c>
      <c r="U255">
        <f t="shared" si="46"/>
        <v>25.021000000000001</v>
      </c>
      <c r="V255">
        <f t="shared" si="47"/>
        <v>1754</v>
      </c>
      <c r="X255">
        <v>1252</v>
      </c>
      <c r="Y255">
        <v>78.84</v>
      </c>
      <c r="Z255">
        <v>13.16</v>
      </c>
      <c r="AA255">
        <v>25.021000000000001</v>
      </c>
      <c r="AC255">
        <v>1752</v>
      </c>
      <c r="AD255">
        <v>76.400000000000006</v>
      </c>
      <c r="AE255">
        <v>52.99</v>
      </c>
      <c r="AF255">
        <v>25.021000000000001</v>
      </c>
    </row>
    <row r="256" spans="1:32" x14ac:dyDescent="0.35">
      <c r="A256">
        <v>253</v>
      </c>
      <c r="B256">
        <v>5.4969999999999999</v>
      </c>
      <c r="C256">
        <v>13.16</v>
      </c>
      <c r="D256">
        <v>25.021000000000001</v>
      </c>
      <c r="E256">
        <f t="shared" si="36"/>
        <v>5.4969999999999999</v>
      </c>
      <c r="F256">
        <f t="shared" si="37"/>
        <v>39.480000000000004</v>
      </c>
      <c r="G256">
        <f t="shared" si="38"/>
        <v>25.021000000000001</v>
      </c>
      <c r="H256">
        <f t="shared" si="39"/>
        <v>728</v>
      </c>
      <c r="I256">
        <f t="shared" si="40"/>
        <v>80.069999999999993</v>
      </c>
      <c r="J256">
        <f t="shared" si="41"/>
        <v>13.16</v>
      </c>
      <c r="K256">
        <f t="shared" si="42"/>
        <v>25.021000000000001</v>
      </c>
      <c r="L256">
        <f t="shared" si="43"/>
        <v>1254</v>
      </c>
      <c r="O256">
        <v>753</v>
      </c>
      <c r="P256">
        <v>6.7270000000000003</v>
      </c>
      <c r="Q256">
        <v>52.99</v>
      </c>
      <c r="R256">
        <v>25.021000000000001</v>
      </c>
      <c r="S256">
        <f t="shared" si="44"/>
        <v>78.84</v>
      </c>
      <c r="T256">
        <f t="shared" si="45"/>
        <v>52.99</v>
      </c>
      <c r="U256">
        <f t="shared" si="46"/>
        <v>25.021000000000001</v>
      </c>
      <c r="V256">
        <f t="shared" si="47"/>
        <v>1753</v>
      </c>
      <c r="X256">
        <v>1253</v>
      </c>
      <c r="Y256">
        <v>79.459999999999994</v>
      </c>
      <c r="Z256">
        <v>13.16</v>
      </c>
      <c r="AA256">
        <v>25.021000000000001</v>
      </c>
      <c r="AC256">
        <v>1753</v>
      </c>
      <c r="AD256">
        <v>78.84</v>
      </c>
      <c r="AE256">
        <v>52.99</v>
      </c>
      <c r="AF256">
        <v>25.021000000000001</v>
      </c>
    </row>
    <row r="257" spans="1:32" x14ac:dyDescent="0.35">
      <c r="A257">
        <v>254</v>
      </c>
      <c r="B257">
        <v>6.1120000000000001</v>
      </c>
      <c r="C257">
        <v>13.16</v>
      </c>
      <c r="D257">
        <v>25.021000000000001</v>
      </c>
      <c r="E257">
        <f t="shared" si="36"/>
        <v>6.1120000000000001</v>
      </c>
      <c r="F257">
        <f t="shared" si="37"/>
        <v>39.480000000000004</v>
      </c>
      <c r="G257">
        <f t="shared" si="38"/>
        <v>25.021000000000001</v>
      </c>
      <c r="H257">
        <f t="shared" si="39"/>
        <v>729</v>
      </c>
      <c r="I257">
        <f t="shared" si="40"/>
        <v>79.459999999999994</v>
      </c>
      <c r="J257">
        <f t="shared" si="41"/>
        <v>13.16</v>
      </c>
      <c r="K257">
        <f t="shared" si="42"/>
        <v>25.021000000000001</v>
      </c>
      <c r="L257">
        <f t="shared" si="43"/>
        <v>1253</v>
      </c>
      <c r="O257">
        <v>754</v>
      </c>
      <c r="P257">
        <v>9.1690000000000005</v>
      </c>
      <c r="Q257">
        <v>52.99</v>
      </c>
      <c r="R257">
        <v>25.021000000000001</v>
      </c>
      <c r="S257">
        <f t="shared" si="44"/>
        <v>76.400000000000006</v>
      </c>
      <c r="T257">
        <f t="shared" si="45"/>
        <v>52.99</v>
      </c>
      <c r="U257">
        <f t="shared" si="46"/>
        <v>25.021000000000001</v>
      </c>
      <c r="V257">
        <f t="shared" si="47"/>
        <v>1752</v>
      </c>
      <c r="X257">
        <v>1254</v>
      </c>
      <c r="Y257">
        <v>80.069999999999993</v>
      </c>
      <c r="Z257">
        <v>13.16</v>
      </c>
      <c r="AA257">
        <v>25.021000000000001</v>
      </c>
      <c r="AC257">
        <v>1754</v>
      </c>
      <c r="AD257">
        <v>80.069999999999993</v>
      </c>
      <c r="AE257">
        <v>52.99</v>
      </c>
      <c r="AF257">
        <v>25.021000000000001</v>
      </c>
    </row>
    <row r="258" spans="1:32" x14ac:dyDescent="0.35">
      <c r="A258">
        <v>255</v>
      </c>
      <c r="B258">
        <v>6.7270000000000003</v>
      </c>
      <c r="C258">
        <v>13.16</v>
      </c>
      <c r="D258">
        <v>25.021000000000001</v>
      </c>
      <c r="E258">
        <f t="shared" si="36"/>
        <v>6.7270000000000003</v>
      </c>
      <c r="F258">
        <f t="shared" si="37"/>
        <v>39.480000000000004</v>
      </c>
      <c r="G258">
        <f t="shared" si="38"/>
        <v>25.021000000000001</v>
      </c>
      <c r="H258">
        <f t="shared" si="39"/>
        <v>730</v>
      </c>
      <c r="I258">
        <f t="shared" si="40"/>
        <v>78.84</v>
      </c>
      <c r="J258">
        <f t="shared" si="41"/>
        <v>13.16</v>
      </c>
      <c r="K258">
        <f t="shared" si="42"/>
        <v>25.021000000000001</v>
      </c>
      <c r="L258">
        <f t="shared" si="43"/>
        <v>1252</v>
      </c>
      <c r="O258">
        <v>755</v>
      </c>
      <c r="P258">
        <v>11.625</v>
      </c>
      <c r="Q258">
        <v>52.99</v>
      </c>
      <c r="R258">
        <v>25.021000000000001</v>
      </c>
      <c r="S258">
        <f t="shared" si="44"/>
        <v>73.95</v>
      </c>
      <c r="T258">
        <f t="shared" si="45"/>
        <v>52.99</v>
      </c>
      <c r="U258">
        <f t="shared" si="46"/>
        <v>25.021000000000001</v>
      </c>
      <c r="V258">
        <f t="shared" si="47"/>
        <v>1751</v>
      </c>
      <c r="X258">
        <v>1255</v>
      </c>
      <c r="Y258">
        <v>82.51</v>
      </c>
      <c r="Z258">
        <v>13.16</v>
      </c>
      <c r="AA258">
        <v>25.021000000000001</v>
      </c>
      <c r="AC258">
        <v>1755</v>
      </c>
      <c r="AD258">
        <v>82.51</v>
      </c>
      <c r="AE258">
        <v>52.99</v>
      </c>
      <c r="AF258">
        <v>25.021000000000001</v>
      </c>
    </row>
    <row r="259" spans="1:32" x14ac:dyDescent="0.35">
      <c r="A259">
        <v>256</v>
      </c>
      <c r="B259">
        <v>9.1690000000000005</v>
      </c>
      <c r="C259">
        <v>13.16</v>
      </c>
      <c r="D259">
        <v>25.021000000000001</v>
      </c>
      <c r="E259">
        <f t="shared" si="36"/>
        <v>9.1690000000000005</v>
      </c>
      <c r="F259">
        <f t="shared" si="37"/>
        <v>39.480000000000004</v>
      </c>
      <c r="G259">
        <f t="shared" si="38"/>
        <v>25.021000000000001</v>
      </c>
      <c r="H259">
        <f t="shared" si="39"/>
        <v>731</v>
      </c>
      <c r="I259">
        <f t="shared" si="40"/>
        <v>76.400000000000006</v>
      </c>
      <c r="J259">
        <f t="shared" si="41"/>
        <v>13.16</v>
      </c>
      <c r="K259">
        <f t="shared" si="42"/>
        <v>25.021000000000001</v>
      </c>
      <c r="L259">
        <f t="shared" si="43"/>
        <v>1251</v>
      </c>
      <c r="O259">
        <v>756</v>
      </c>
      <c r="P259">
        <v>12.824999999999999</v>
      </c>
      <c r="Q259">
        <v>52.99</v>
      </c>
      <c r="R259">
        <v>25.021000000000001</v>
      </c>
      <c r="S259">
        <f t="shared" si="44"/>
        <v>72.75</v>
      </c>
      <c r="T259">
        <f t="shared" si="45"/>
        <v>52.99</v>
      </c>
      <c r="U259">
        <f t="shared" si="46"/>
        <v>25.021000000000001</v>
      </c>
      <c r="V259">
        <f t="shared" si="47"/>
        <v>1750</v>
      </c>
      <c r="X259">
        <v>1256</v>
      </c>
      <c r="Y259">
        <v>86.97</v>
      </c>
      <c r="Z259">
        <v>13.16</v>
      </c>
      <c r="AA259">
        <v>25.021000000000001</v>
      </c>
      <c r="AC259">
        <v>1756</v>
      </c>
      <c r="AD259">
        <v>86.97</v>
      </c>
      <c r="AE259">
        <v>52.99</v>
      </c>
      <c r="AF259">
        <v>25.021000000000001</v>
      </c>
    </row>
    <row r="260" spans="1:32" x14ac:dyDescent="0.35">
      <c r="A260">
        <v>257</v>
      </c>
      <c r="B260">
        <v>-1.4</v>
      </c>
      <c r="C260">
        <v>-0.35</v>
      </c>
      <c r="D260">
        <v>27.044</v>
      </c>
      <c r="E260">
        <f t="shared" si="36"/>
        <v>-1.4</v>
      </c>
      <c r="F260">
        <f t="shared" si="37"/>
        <v>52.99</v>
      </c>
      <c r="G260">
        <f t="shared" si="38"/>
        <v>27.044</v>
      </c>
      <c r="H260">
        <f t="shared" si="39"/>
        <v>771</v>
      </c>
      <c r="I260">
        <f t="shared" si="40"/>
        <v>86.97</v>
      </c>
      <c r="J260">
        <f t="shared" si="41"/>
        <v>-0.35</v>
      </c>
      <c r="K260">
        <f t="shared" si="42"/>
        <v>27.044</v>
      </c>
      <c r="L260">
        <f t="shared" si="43"/>
        <v>1262</v>
      </c>
      <c r="O260">
        <v>757</v>
      </c>
      <c r="P260">
        <v>6.1120000000000001</v>
      </c>
      <c r="Q260">
        <v>55.34</v>
      </c>
      <c r="R260">
        <v>25.021000000000001</v>
      </c>
      <c r="S260">
        <f t="shared" si="44"/>
        <v>79.459999999999994</v>
      </c>
      <c r="T260">
        <f t="shared" si="45"/>
        <v>55.34</v>
      </c>
      <c r="U260">
        <f t="shared" si="46"/>
        <v>25.021000000000001</v>
      </c>
      <c r="V260">
        <f t="shared" si="47"/>
        <v>1757</v>
      </c>
      <c r="X260">
        <v>1257</v>
      </c>
      <c r="Y260">
        <v>70.290000000000006</v>
      </c>
      <c r="Z260">
        <v>-0.35</v>
      </c>
      <c r="AA260">
        <v>27.044</v>
      </c>
      <c r="AC260">
        <v>1757</v>
      </c>
      <c r="AD260">
        <v>79.459999999999994</v>
      </c>
      <c r="AE260">
        <v>55.34</v>
      </c>
      <c r="AF260">
        <v>25.021000000000001</v>
      </c>
    </row>
    <row r="261" spans="1:32" x14ac:dyDescent="0.35">
      <c r="A261">
        <v>258</v>
      </c>
      <c r="B261">
        <v>3.056</v>
      </c>
      <c r="C261">
        <v>-0.35</v>
      </c>
      <c r="D261">
        <v>27.044</v>
      </c>
      <c r="E261">
        <f t="shared" ref="E261:E322" si="48">B261</f>
        <v>3.056</v>
      </c>
      <c r="F261">
        <f t="shared" ref="F261:F322" si="49">2*$P$1-C261</f>
        <v>52.99</v>
      </c>
      <c r="G261">
        <f t="shared" ref="G261:G322" si="50">D261</f>
        <v>27.044</v>
      </c>
      <c r="H261">
        <f t="shared" ref="H261:H322" si="51">SUMIFS($O:$O,$P:$P,E261,$Q:$Q,F261,$R:$R,G261)</f>
        <v>772</v>
      </c>
      <c r="I261">
        <f t="shared" ref="I261:I322" si="52">TRUNC(2*$Z$1-B261,2)</f>
        <v>82.51</v>
      </c>
      <c r="J261">
        <f t="shared" ref="J261:J322" si="53">C261</f>
        <v>-0.35</v>
      </c>
      <c r="K261">
        <f t="shared" ref="K261:K322" si="54">D261</f>
        <v>27.044</v>
      </c>
      <c r="L261">
        <f t="shared" ref="L261:L322" si="55">SUMIFS($X:$X,$Y:$Y,I261,$Z:$Z,J261,$AA:$AA,K261)</f>
        <v>1261</v>
      </c>
      <c r="O261">
        <v>758</v>
      </c>
      <c r="P261">
        <v>-1.4</v>
      </c>
      <c r="Q261">
        <v>39.479999999999997</v>
      </c>
      <c r="R261">
        <v>27.044</v>
      </c>
      <c r="S261">
        <f t="shared" ref="S261:S322" si="56">TRUNC(2*$Z$1-P261,2)</f>
        <v>86.97</v>
      </c>
      <c r="T261">
        <f t="shared" ref="T261:T322" si="57">Q261</f>
        <v>39.479999999999997</v>
      </c>
      <c r="U261">
        <f t="shared" ref="U261:U322" si="58">R261</f>
        <v>27.044</v>
      </c>
      <c r="V261">
        <f t="shared" ref="V261:V322" si="59">SUMIFS($AC:$AC,$AD:$AD,S261,$AE:$AE,T261,$AF:$AF,U261)</f>
        <v>1760</v>
      </c>
      <c r="X261">
        <v>1258</v>
      </c>
      <c r="Y261">
        <v>76.400000000000006</v>
      </c>
      <c r="Z261">
        <v>-0.35</v>
      </c>
      <c r="AA261">
        <v>27.044</v>
      </c>
      <c r="AC261">
        <v>1758</v>
      </c>
      <c r="AD261">
        <v>77.45</v>
      </c>
      <c r="AE261">
        <v>39.479999999999997</v>
      </c>
      <c r="AF261">
        <v>27.044</v>
      </c>
    </row>
    <row r="262" spans="1:32" x14ac:dyDescent="0.35">
      <c r="A262">
        <v>259</v>
      </c>
      <c r="B262">
        <v>4.109</v>
      </c>
      <c r="C262">
        <v>-0.35</v>
      </c>
      <c r="D262">
        <v>27.044</v>
      </c>
      <c r="E262">
        <f t="shared" si="48"/>
        <v>4.109</v>
      </c>
      <c r="F262">
        <f t="shared" si="49"/>
        <v>52.99</v>
      </c>
      <c r="G262">
        <f t="shared" si="50"/>
        <v>27.044</v>
      </c>
      <c r="H262">
        <f t="shared" si="51"/>
        <v>773</v>
      </c>
      <c r="I262">
        <f t="shared" si="52"/>
        <v>81.459999999999994</v>
      </c>
      <c r="J262">
        <f t="shared" si="53"/>
        <v>-0.35</v>
      </c>
      <c r="K262">
        <f t="shared" si="54"/>
        <v>27.044</v>
      </c>
      <c r="L262">
        <f t="shared" si="55"/>
        <v>1260</v>
      </c>
      <c r="O262">
        <v>759</v>
      </c>
      <c r="P262">
        <v>4.109</v>
      </c>
      <c r="Q262">
        <v>39.479999999999997</v>
      </c>
      <c r="R262">
        <v>27.044</v>
      </c>
      <c r="S262">
        <f t="shared" si="56"/>
        <v>81.459999999999994</v>
      </c>
      <c r="T262">
        <f t="shared" si="57"/>
        <v>39.479999999999997</v>
      </c>
      <c r="U262">
        <f t="shared" si="58"/>
        <v>27.044</v>
      </c>
      <c r="V262">
        <f t="shared" si="59"/>
        <v>1759</v>
      </c>
      <c r="X262">
        <v>1259</v>
      </c>
      <c r="Y262">
        <v>77.45</v>
      </c>
      <c r="Z262">
        <v>-0.35</v>
      </c>
      <c r="AA262">
        <v>27.044</v>
      </c>
      <c r="AC262">
        <v>1759</v>
      </c>
      <c r="AD262">
        <v>81.459999999999994</v>
      </c>
      <c r="AE262">
        <v>39.479999999999997</v>
      </c>
      <c r="AF262">
        <v>27.044</v>
      </c>
    </row>
    <row r="263" spans="1:32" x14ac:dyDescent="0.35">
      <c r="A263">
        <v>260</v>
      </c>
      <c r="B263">
        <v>8.1159999999999997</v>
      </c>
      <c r="C263">
        <v>-0.35</v>
      </c>
      <c r="D263">
        <v>27.044</v>
      </c>
      <c r="E263">
        <f t="shared" si="48"/>
        <v>8.1159999999999997</v>
      </c>
      <c r="F263">
        <f t="shared" si="49"/>
        <v>52.99</v>
      </c>
      <c r="G263">
        <f t="shared" si="50"/>
        <v>27.044</v>
      </c>
      <c r="H263">
        <f t="shared" si="51"/>
        <v>774</v>
      </c>
      <c r="I263">
        <f t="shared" si="52"/>
        <v>77.45</v>
      </c>
      <c r="J263">
        <f t="shared" si="53"/>
        <v>-0.35</v>
      </c>
      <c r="K263">
        <f t="shared" si="54"/>
        <v>27.044</v>
      </c>
      <c r="L263">
        <f t="shared" si="55"/>
        <v>1259</v>
      </c>
      <c r="O263">
        <v>760</v>
      </c>
      <c r="P263">
        <v>8.1159999999999997</v>
      </c>
      <c r="Q263">
        <v>39.479999999999997</v>
      </c>
      <c r="R263">
        <v>27.044</v>
      </c>
      <c r="S263">
        <f t="shared" si="56"/>
        <v>77.45</v>
      </c>
      <c r="T263">
        <f t="shared" si="57"/>
        <v>39.479999999999997</v>
      </c>
      <c r="U263">
        <f t="shared" si="58"/>
        <v>27.044</v>
      </c>
      <c r="V263">
        <f t="shared" si="59"/>
        <v>1758</v>
      </c>
      <c r="X263">
        <v>1260</v>
      </c>
      <c r="Y263">
        <v>81.459999999999994</v>
      </c>
      <c r="Z263">
        <v>-0.35</v>
      </c>
      <c r="AA263">
        <v>27.044</v>
      </c>
      <c r="AC263">
        <v>1760</v>
      </c>
      <c r="AD263">
        <v>86.97</v>
      </c>
      <c r="AE263">
        <v>39.479999999999997</v>
      </c>
      <c r="AF263">
        <v>27.044</v>
      </c>
    </row>
    <row r="264" spans="1:32" x14ac:dyDescent="0.35">
      <c r="A264">
        <v>261</v>
      </c>
      <c r="B264">
        <v>9.1690000000000005</v>
      </c>
      <c r="C264">
        <v>-0.35</v>
      </c>
      <c r="D264">
        <v>27.044</v>
      </c>
      <c r="E264">
        <f t="shared" si="48"/>
        <v>9.1690000000000005</v>
      </c>
      <c r="F264">
        <f t="shared" si="49"/>
        <v>52.99</v>
      </c>
      <c r="G264">
        <f t="shared" si="50"/>
        <v>27.044</v>
      </c>
      <c r="H264">
        <f t="shared" si="51"/>
        <v>775</v>
      </c>
      <c r="I264">
        <f t="shared" si="52"/>
        <v>76.400000000000006</v>
      </c>
      <c r="J264">
        <f t="shared" si="53"/>
        <v>-0.35</v>
      </c>
      <c r="K264">
        <f t="shared" si="54"/>
        <v>27.044</v>
      </c>
      <c r="L264">
        <f t="shared" si="55"/>
        <v>1258</v>
      </c>
      <c r="O264">
        <v>761</v>
      </c>
      <c r="P264">
        <v>-1.4</v>
      </c>
      <c r="Q264">
        <v>41.673999999999999</v>
      </c>
      <c r="R264">
        <v>27.044</v>
      </c>
      <c r="S264">
        <f t="shared" si="56"/>
        <v>86.97</v>
      </c>
      <c r="T264">
        <f t="shared" si="57"/>
        <v>41.673999999999999</v>
      </c>
      <c r="U264">
        <f t="shared" si="58"/>
        <v>27.044</v>
      </c>
      <c r="V264">
        <f t="shared" si="59"/>
        <v>1761</v>
      </c>
      <c r="X264">
        <v>1261</v>
      </c>
      <c r="Y264">
        <v>82.51</v>
      </c>
      <c r="Z264">
        <v>-0.35</v>
      </c>
      <c r="AA264">
        <v>27.044</v>
      </c>
      <c r="AC264">
        <v>1761</v>
      </c>
      <c r="AD264">
        <v>86.97</v>
      </c>
      <c r="AE264">
        <v>41.673999999999999</v>
      </c>
      <c r="AF264">
        <v>27.044</v>
      </c>
    </row>
    <row r="265" spans="1:32" x14ac:dyDescent="0.35">
      <c r="A265">
        <v>262</v>
      </c>
      <c r="B265">
        <v>15.281000000000001</v>
      </c>
      <c r="C265">
        <v>-0.35</v>
      </c>
      <c r="D265">
        <v>27.044</v>
      </c>
      <c r="E265">
        <f t="shared" si="48"/>
        <v>15.281000000000001</v>
      </c>
      <c r="F265">
        <f t="shared" si="49"/>
        <v>52.99</v>
      </c>
      <c r="G265">
        <f t="shared" si="50"/>
        <v>27.044</v>
      </c>
      <c r="H265">
        <f t="shared" si="51"/>
        <v>776</v>
      </c>
      <c r="I265">
        <f t="shared" si="52"/>
        <v>70.290000000000006</v>
      </c>
      <c r="J265">
        <f t="shared" si="53"/>
        <v>-0.35</v>
      </c>
      <c r="K265">
        <f t="shared" si="54"/>
        <v>27.044</v>
      </c>
      <c r="L265">
        <f t="shared" si="55"/>
        <v>1257</v>
      </c>
      <c r="O265">
        <v>762</v>
      </c>
      <c r="P265">
        <v>-1.4</v>
      </c>
      <c r="Q265">
        <v>43.866999999999997</v>
      </c>
      <c r="R265">
        <v>27.044</v>
      </c>
      <c r="S265">
        <f t="shared" si="56"/>
        <v>86.97</v>
      </c>
      <c r="T265">
        <f t="shared" si="57"/>
        <v>43.866999999999997</v>
      </c>
      <c r="U265">
        <f t="shared" si="58"/>
        <v>27.044</v>
      </c>
      <c r="V265">
        <f t="shared" si="59"/>
        <v>1762</v>
      </c>
      <c r="X265">
        <v>1262</v>
      </c>
      <c r="Y265">
        <v>86.97</v>
      </c>
      <c r="Z265">
        <v>-0.35</v>
      </c>
      <c r="AA265">
        <v>27.044</v>
      </c>
      <c r="AC265">
        <v>1762</v>
      </c>
      <c r="AD265">
        <v>86.97</v>
      </c>
      <c r="AE265">
        <v>43.866999999999997</v>
      </c>
      <c r="AF265">
        <v>27.044</v>
      </c>
    </row>
    <row r="266" spans="1:32" x14ac:dyDescent="0.35">
      <c r="A266">
        <v>263</v>
      </c>
      <c r="B266">
        <v>-1.4</v>
      </c>
      <c r="C266">
        <v>0</v>
      </c>
      <c r="D266">
        <v>27.044</v>
      </c>
      <c r="E266">
        <f t="shared" si="48"/>
        <v>-1.4</v>
      </c>
      <c r="F266">
        <f t="shared" si="49"/>
        <v>52.64</v>
      </c>
      <c r="G266">
        <f t="shared" si="50"/>
        <v>27.044</v>
      </c>
      <c r="H266">
        <f t="shared" si="51"/>
        <v>768</v>
      </c>
      <c r="I266">
        <f t="shared" si="52"/>
        <v>86.97</v>
      </c>
      <c r="J266">
        <f t="shared" si="53"/>
        <v>0</v>
      </c>
      <c r="K266">
        <f t="shared" si="54"/>
        <v>27.044</v>
      </c>
      <c r="L266">
        <f t="shared" si="55"/>
        <v>1265</v>
      </c>
      <c r="O266">
        <v>763</v>
      </c>
      <c r="P266">
        <v>-1.4</v>
      </c>
      <c r="Q266">
        <v>46.06</v>
      </c>
      <c r="R266">
        <v>27.044</v>
      </c>
      <c r="S266">
        <f t="shared" si="56"/>
        <v>86.97</v>
      </c>
      <c r="T266">
        <f t="shared" si="57"/>
        <v>46.06</v>
      </c>
      <c r="U266">
        <f t="shared" si="58"/>
        <v>27.044</v>
      </c>
      <c r="V266">
        <f t="shared" si="59"/>
        <v>1765</v>
      </c>
      <c r="X266">
        <v>1263</v>
      </c>
      <c r="Y266">
        <v>77.45</v>
      </c>
      <c r="Z266">
        <v>0</v>
      </c>
      <c r="AA266">
        <v>27.044</v>
      </c>
      <c r="AC266">
        <v>1763</v>
      </c>
      <c r="AD266">
        <v>77.45</v>
      </c>
      <c r="AE266">
        <v>46.06</v>
      </c>
      <c r="AF266">
        <v>27.044</v>
      </c>
    </row>
    <row r="267" spans="1:32" x14ac:dyDescent="0.35">
      <c r="A267">
        <v>264</v>
      </c>
      <c r="B267">
        <v>4.109</v>
      </c>
      <c r="C267">
        <v>0</v>
      </c>
      <c r="D267">
        <v>27.044</v>
      </c>
      <c r="E267">
        <f t="shared" si="48"/>
        <v>4.109</v>
      </c>
      <c r="F267">
        <f t="shared" si="49"/>
        <v>52.64</v>
      </c>
      <c r="G267">
        <f t="shared" si="50"/>
        <v>27.044</v>
      </c>
      <c r="H267">
        <f t="shared" si="51"/>
        <v>769</v>
      </c>
      <c r="I267">
        <f t="shared" si="52"/>
        <v>81.459999999999994</v>
      </c>
      <c r="J267">
        <f t="shared" si="53"/>
        <v>0</v>
      </c>
      <c r="K267">
        <f t="shared" si="54"/>
        <v>27.044</v>
      </c>
      <c r="L267">
        <f t="shared" si="55"/>
        <v>1264</v>
      </c>
      <c r="O267">
        <v>764</v>
      </c>
      <c r="P267">
        <v>4.109</v>
      </c>
      <c r="Q267">
        <v>46.06</v>
      </c>
      <c r="R267">
        <v>27.044</v>
      </c>
      <c r="S267">
        <f t="shared" si="56"/>
        <v>81.459999999999994</v>
      </c>
      <c r="T267">
        <f t="shared" si="57"/>
        <v>46.06</v>
      </c>
      <c r="U267">
        <f t="shared" si="58"/>
        <v>27.044</v>
      </c>
      <c r="V267">
        <f t="shared" si="59"/>
        <v>1764</v>
      </c>
      <c r="X267">
        <v>1264</v>
      </c>
      <c r="Y267">
        <v>81.459999999999994</v>
      </c>
      <c r="Z267">
        <v>0</v>
      </c>
      <c r="AA267">
        <v>27.044</v>
      </c>
      <c r="AC267">
        <v>1764</v>
      </c>
      <c r="AD267">
        <v>81.459999999999994</v>
      </c>
      <c r="AE267">
        <v>46.06</v>
      </c>
      <c r="AF267">
        <v>27.044</v>
      </c>
    </row>
    <row r="268" spans="1:32" x14ac:dyDescent="0.35">
      <c r="A268">
        <v>265</v>
      </c>
      <c r="B268">
        <v>8.1159999999999997</v>
      </c>
      <c r="C268">
        <v>0</v>
      </c>
      <c r="D268">
        <v>27.044</v>
      </c>
      <c r="E268">
        <f t="shared" si="48"/>
        <v>8.1159999999999997</v>
      </c>
      <c r="F268">
        <f t="shared" si="49"/>
        <v>52.64</v>
      </c>
      <c r="G268">
        <f t="shared" si="50"/>
        <v>27.044</v>
      </c>
      <c r="H268">
        <f t="shared" si="51"/>
        <v>770</v>
      </c>
      <c r="I268">
        <f t="shared" si="52"/>
        <v>77.45</v>
      </c>
      <c r="J268">
        <f t="shared" si="53"/>
        <v>0</v>
      </c>
      <c r="K268">
        <f t="shared" si="54"/>
        <v>27.044</v>
      </c>
      <c r="L268">
        <f t="shared" si="55"/>
        <v>1263</v>
      </c>
      <c r="O268">
        <v>765</v>
      </c>
      <c r="P268">
        <v>8.1159999999999997</v>
      </c>
      <c r="Q268">
        <v>46.06</v>
      </c>
      <c r="R268">
        <v>27.044</v>
      </c>
      <c r="S268">
        <f t="shared" si="56"/>
        <v>77.45</v>
      </c>
      <c r="T268">
        <f t="shared" si="57"/>
        <v>46.06</v>
      </c>
      <c r="U268">
        <f t="shared" si="58"/>
        <v>27.044</v>
      </c>
      <c r="V268">
        <f t="shared" si="59"/>
        <v>1763</v>
      </c>
      <c r="X268">
        <v>1265</v>
      </c>
      <c r="Y268">
        <v>86.97</v>
      </c>
      <c r="Z268">
        <v>0</v>
      </c>
      <c r="AA268">
        <v>27.044</v>
      </c>
      <c r="AC268">
        <v>1765</v>
      </c>
      <c r="AD268">
        <v>86.97</v>
      </c>
      <c r="AE268">
        <v>46.06</v>
      </c>
      <c r="AF268">
        <v>27.044</v>
      </c>
    </row>
    <row r="269" spans="1:32" x14ac:dyDescent="0.35">
      <c r="A269">
        <v>266</v>
      </c>
      <c r="B269">
        <v>-1.4</v>
      </c>
      <c r="C269">
        <v>2.194</v>
      </c>
      <c r="D269">
        <v>27.044</v>
      </c>
      <c r="E269">
        <f t="shared" si="48"/>
        <v>-1.4</v>
      </c>
      <c r="F269">
        <f t="shared" si="49"/>
        <v>50.445999999999998</v>
      </c>
      <c r="G269">
        <f t="shared" si="50"/>
        <v>27.044</v>
      </c>
      <c r="H269">
        <f t="shared" si="51"/>
        <v>767</v>
      </c>
      <c r="I269">
        <f t="shared" si="52"/>
        <v>86.97</v>
      </c>
      <c r="J269">
        <f t="shared" si="53"/>
        <v>2.194</v>
      </c>
      <c r="K269">
        <f t="shared" si="54"/>
        <v>27.044</v>
      </c>
      <c r="L269">
        <f t="shared" si="55"/>
        <v>1266</v>
      </c>
      <c r="O269">
        <v>766</v>
      </c>
      <c r="P269">
        <v>-1.4</v>
      </c>
      <c r="Q269">
        <v>48.253</v>
      </c>
      <c r="R269">
        <v>27.044</v>
      </c>
      <c r="S269">
        <f t="shared" si="56"/>
        <v>86.97</v>
      </c>
      <c r="T269">
        <f t="shared" si="57"/>
        <v>48.253</v>
      </c>
      <c r="U269">
        <f t="shared" si="58"/>
        <v>27.044</v>
      </c>
      <c r="V269">
        <f t="shared" si="59"/>
        <v>1766</v>
      </c>
      <c r="X269">
        <v>1266</v>
      </c>
      <c r="Y269">
        <v>86.97</v>
      </c>
      <c r="Z269">
        <v>2.194</v>
      </c>
      <c r="AA269">
        <v>27.044</v>
      </c>
      <c r="AC269">
        <v>1766</v>
      </c>
      <c r="AD269">
        <v>86.97</v>
      </c>
      <c r="AE269">
        <v>48.253</v>
      </c>
      <c r="AF269">
        <v>27.044</v>
      </c>
    </row>
    <row r="270" spans="1:32" x14ac:dyDescent="0.35">
      <c r="A270">
        <v>267</v>
      </c>
      <c r="B270">
        <v>-1.4</v>
      </c>
      <c r="C270">
        <v>4.3869999999999996</v>
      </c>
      <c r="D270">
        <v>27.044</v>
      </c>
      <c r="E270">
        <f t="shared" si="48"/>
        <v>-1.4</v>
      </c>
      <c r="F270">
        <f t="shared" si="49"/>
        <v>48.253</v>
      </c>
      <c r="G270">
        <f t="shared" si="50"/>
        <v>27.044</v>
      </c>
      <c r="H270">
        <f t="shared" si="51"/>
        <v>766</v>
      </c>
      <c r="I270">
        <f t="shared" si="52"/>
        <v>86.97</v>
      </c>
      <c r="J270">
        <f t="shared" si="53"/>
        <v>4.3869999999999996</v>
      </c>
      <c r="K270">
        <f t="shared" si="54"/>
        <v>27.044</v>
      </c>
      <c r="L270">
        <f t="shared" si="55"/>
        <v>1267</v>
      </c>
      <c r="O270">
        <v>767</v>
      </c>
      <c r="P270">
        <v>-1.4</v>
      </c>
      <c r="Q270">
        <v>50.445999999999998</v>
      </c>
      <c r="R270">
        <v>27.044</v>
      </c>
      <c r="S270">
        <f t="shared" si="56"/>
        <v>86.97</v>
      </c>
      <c r="T270">
        <f t="shared" si="57"/>
        <v>50.445999999999998</v>
      </c>
      <c r="U270">
        <f t="shared" si="58"/>
        <v>27.044</v>
      </c>
      <c r="V270">
        <f t="shared" si="59"/>
        <v>1767</v>
      </c>
      <c r="X270">
        <v>1267</v>
      </c>
      <c r="Y270">
        <v>86.97</v>
      </c>
      <c r="Z270">
        <v>4.3869999999999996</v>
      </c>
      <c r="AA270">
        <v>27.044</v>
      </c>
      <c r="AC270">
        <v>1767</v>
      </c>
      <c r="AD270">
        <v>86.97</v>
      </c>
      <c r="AE270">
        <v>50.445999999999998</v>
      </c>
      <c r="AF270">
        <v>27.044</v>
      </c>
    </row>
    <row r="271" spans="1:32" x14ac:dyDescent="0.35">
      <c r="A271">
        <v>268</v>
      </c>
      <c r="B271">
        <v>-1.4</v>
      </c>
      <c r="C271">
        <v>6.58</v>
      </c>
      <c r="D271">
        <v>27.044</v>
      </c>
      <c r="E271">
        <f t="shared" si="48"/>
        <v>-1.4</v>
      </c>
      <c r="F271">
        <f t="shared" si="49"/>
        <v>46.06</v>
      </c>
      <c r="G271">
        <f t="shared" si="50"/>
        <v>27.044</v>
      </c>
      <c r="H271">
        <f t="shared" si="51"/>
        <v>763</v>
      </c>
      <c r="I271">
        <f t="shared" si="52"/>
        <v>86.97</v>
      </c>
      <c r="J271">
        <f t="shared" si="53"/>
        <v>6.58</v>
      </c>
      <c r="K271">
        <f t="shared" si="54"/>
        <v>27.044</v>
      </c>
      <c r="L271">
        <f t="shared" si="55"/>
        <v>1270</v>
      </c>
      <c r="O271">
        <v>768</v>
      </c>
      <c r="P271">
        <v>-1.4</v>
      </c>
      <c r="Q271">
        <v>52.64</v>
      </c>
      <c r="R271">
        <v>27.044</v>
      </c>
      <c r="S271">
        <f t="shared" si="56"/>
        <v>86.97</v>
      </c>
      <c r="T271">
        <f t="shared" si="57"/>
        <v>52.64</v>
      </c>
      <c r="U271">
        <f t="shared" si="58"/>
        <v>27.044</v>
      </c>
      <c r="V271">
        <f t="shared" si="59"/>
        <v>1770</v>
      </c>
      <c r="X271">
        <v>1268</v>
      </c>
      <c r="Y271">
        <v>77.45</v>
      </c>
      <c r="Z271">
        <v>6.58</v>
      </c>
      <c r="AA271">
        <v>27.044</v>
      </c>
      <c r="AC271">
        <v>1768</v>
      </c>
      <c r="AD271">
        <v>77.45</v>
      </c>
      <c r="AE271">
        <v>52.64</v>
      </c>
      <c r="AF271">
        <v>27.044</v>
      </c>
    </row>
    <row r="272" spans="1:32" x14ac:dyDescent="0.35">
      <c r="A272">
        <v>269</v>
      </c>
      <c r="B272">
        <v>4.109</v>
      </c>
      <c r="C272">
        <v>6.58</v>
      </c>
      <c r="D272">
        <v>27.044</v>
      </c>
      <c r="E272">
        <f t="shared" si="48"/>
        <v>4.109</v>
      </c>
      <c r="F272">
        <f t="shared" si="49"/>
        <v>46.06</v>
      </c>
      <c r="G272">
        <f t="shared" si="50"/>
        <v>27.044</v>
      </c>
      <c r="H272">
        <f t="shared" si="51"/>
        <v>764</v>
      </c>
      <c r="I272">
        <f t="shared" si="52"/>
        <v>81.459999999999994</v>
      </c>
      <c r="J272">
        <f t="shared" si="53"/>
        <v>6.58</v>
      </c>
      <c r="K272">
        <f t="shared" si="54"/>
        <v>27.044</v>
      </c>
      <c r="L272">
        <f t="shared" si="55"/>
        <v>1269</v>
      </c>
      <c r="O272">
        <v>769</v>
      </c>
      <c r="P272">
        <v>4.109</v>
      </c>
      <c r="Q272">
        <v>52.64</v>
      </c>
      <c r="R272">
        <v>27.044</v>
      </c>
      <c r="S272">
        <f t="shared" si="56"/>
        <v>81.459999999999994</v>
      </c>
      <c r="T272">
        <f t="shared" si="57"/>
        <v>52.64</v>
      </c>
      <c r="U272">
        <f t="shared" si="58"/>
        <v>27.044</v>
      </c>
      <c r="V272">
        <f t="shared" si="59"/>
        <v>1769</v>
      </c>
      <c r="X272">
        <v>1269</v>
      </c>
      <c r="Y272">
        <v>81.459999999999994</v>
      </c>
      <c r="Z272">
        <v>6.58</v>
      </c>
      <c r="AA272">
        <v>27.044</v>
      </c>
      <c r="AC272">
        <v>1769</v>
      </c>
      <c r="AD272">
        <v>81.459999999999994</v>
      </c>
      <c r="AE272">
        <v>52.64</v>
      </c>
      <c r="AF272">
        <v>27.044</v>
      </c>
    </row>
    <row r="273" spans="1:32" x14ac:dyDescent="0.35">
      <c r="A273">
        <v>270</v>
      </c>
      <c r="B273">
        <v>8.1159999999999997</v>
      </c>
      <c r="C273">
        <v>6.58</v>
      </c>
      <c r="D273">
        <v>27.044</v>
      </c>
      <c r="E273">
        <f t="shared" si="48"/>
        <v>8.1159999999999997</v>
      </c>
      <c r="F273">
        <f t="shared" si="49"/>
        <v>46.06</v>
      </c>
      <c r="G273">
        <f t="shared" si="50"/>
        <v>27.044</v>
      </c>
      <c r="H273">
        <f t="shared" si="51"/>
        <v>765</v>
      </c>
      <c r="I273">
        <f t="shared" si="52"/>
        <v>77.45</v>
      </c>
      <c r="J273">
        <f t="shared" si="53"/>
        <v>6.58</v>
      </c>
      <c r="K273">
        <f t="shared" si="54"/>
        <v>27.044</v>
      </c>
      <c r="L273">
        <f t="shared" si="55"/>
        <v>1268</v>
      </c>
      <c r="O273">
        <v>770</v>
      </c>
      <c r="P273">
        <v>8.1159999999999997</v>
      </c>
      <c r="Q273">
        <v>52.64</v>
      </c>
      <c r="R273">
        <v>27.044</v>
      </c>
      <c r="S273">
        <f t="shared" si="56"/>
        <v>77.45</v>
      </c>
      <c r="T273">
        <f t="shared" si="57"/>
        <v>52.64</v>
      </c>
      <c r="U273">
        <f t="shared" si="58"/>
        <v>27.044</v>
      </c>
      <c r="V273">
        <f t="shared" si="59"/>
        <v>1768</v>
      </c>
      <c r="X273">
        <v>1270</v>
      </c>
      <c r="Y273">
        <v>86.97</v>
      </c>
      <c r="Z273">
        <v>6.58</v>
      </c>
      <c r="AA273">
        <v>27.044</v>
      </c>
      <c r="AC273">
        <v>1770</v>
      </c>
      <c r="AD273">
        <v>86.97</v>
      </c>
      <c r="AE273">
        <v>52.64</v>
      </c>
      <c r="AF273">
        <v>27.044</v>
      </c>
    </row>
    <row r="274" spans="1:32" x14ac:dyDescent="0.35">
      <c r="A274">
        <v>271</v>
      </c>
      <c r="B274">
        <v>-1.4</v>
      </c>
      <c r="C274">
        <v>8.7729999999999997</v>
      </c>
      <c r="D274">
        <v>27.044</v>
      </c>
      <c r="E274">
        <f t="shared" si="48"/>
        <v>-1.4</v>
      </c>
      <c r="F274">
        <f t="shared" si="49"/>
        <v>43.867000000000004</v>
      </c>
      <c r="G274">
        <f t="shared" si="50"/>
        <v>27.044</v>
      </c>
      <c r="H274">
        <f t="shared" si="51"/>
        <v>762</v>
      </c>
      <c r="I274">
        <f t="shared" si="52"/>
        <v>86.97</v>
      </c>
      <c r="J274">
        <f t="shared" si="53"/>
        <v>8.7729999999999997</v>
      </c>
      <c r="K274">
        <f t="shared" si="54"/>
        <v>27.044</v>
      </c>
      <c r="L274">
        <f t="shared" si="55"/>
        <v>1271</v>
      </c>
      <c r="O274">
        <v>771</v>
      </c>
      <c r="P274">
        <v>-1.4</v>
      </c>
      <c r="Q274">
        <v>52.99</v>
      </c>
      <c r="R274">
        <v>27.044</v>
      </c>
      <c r="S274">
        <f t="shared" si="56"/>
        <v>86.97</v>
      </c>
      <c r="T274">
        <f t="shared" si="57"/>
        <v>52.99</v>
      </c>
      <c r="U274">
        <f t="shared" si="58"/>
        <v>27.044</v>
      </c>
      <c r="V274">
        <f t="shared" si="59"/>
        <v>1776</v>
      </c>
      <c r="X274">
        <v>1271</v>
      </c>
      <c r="Y274">
        <v>86.97</v>
      </c>
      <c r="Z274">
        <v>8.7729999999999997</v>
      </c>
      <c r="AA274">
        <v>27.044</v>
      </c>
      <c r="AC274">
        <v>1771</v>
      </c>
      <c r="AD274">
        <v>70.290000000000006</v>
      </c>
      <c r="AE274">
        <v>52.99</v>
      </c>
      <c r="AF274">
        <v>27.044</v>
      </c>
    </row>
    <row r="275" spans="1:32" x14ac:dyDescent="0.35">
      <c r="A275">
        <v>272</v>
      </c>
      <c r="B275">
        <v>-1.4</v>
      </c>
      <c r="C275">
        <v>10.965999999999999</v>
      </c>
      <c r="D275">
        <v>27.044</v>
      </c>
      <c r="E275">
        <f t="shared" si="48"/>
        <v>-1.4</v>
      </c>
      <c r="F275">
        <f t="shared" si="49"/>
        <v>41.673999999999999</v>
      </c>
      <c r="G275">
        <f t="shared" si="50"/>
        <v>27.044</v>
      </c>
      <c r="H275">
        <f t="shared" si="51"/>
        <v>761</v>
      </c>
      <c r="I275">
        <f t="shared" si="52"/>
        <v>86.97</v>
      </c>
      <c r="J275">
        <f t="shared" si="53"/>
        <v>10.965999999999999</v>
      </c>
      <c r="K275">
        <f t="shared" si="54"/>
        <v>27.044</v>
      </c>
      <c r="L275">
        <f t="shared" si="55"/>
        <v>1272</v>
      </c>
      <c r="O275">
        <v>772</v>
      </c>
      <c r="P275">
        <v>3.056</v>
      </c>
      <c r="Q275">
        <v>52.99</v>
      </c>
      <c r="R275">
        <v>27.044</v>
      </c>
      <c r="S275">
        <f t="shared" si="56"/>
        <v>82.51</v>
      </c>
      <c r="T275">
        <f t="shared" si="57"/>
        <v>52.99</v>
      </c>
      <c r="U275">
        <f t="shared" si="58"/>
        <v>27.044</v>
      </c>
      <c r="V275">
        <f t="shared" si="59"/>
        <v>1775</v>
      </c>
      <c r="X275">
        <v>1272</v>
      </c>
      <c r="Y275">
        <v>86.97</v>
      </c>
      <c r="Z275">
        <v>10.965999999999999</v>
      </c>
      <c r="AA275">
        <v>27.044</v>
      </c>
      <c r="AC275">
        <v>1772</v>
      </c>
      <c r="AD275">
        <v>76.400000000000006</v>
      </c>
      <c r="AE275">
        <v>52.99</v>
      </c>
      <c r="AF275">
        <v>27.044</v>
      </c>
    </row>
    <row r="276" spans="1:32" x14ac:dyDescent="0.35">
      <c r="A276">
        <v>273</v>
      </c>
      <c r="B276">
        <v>-1.4</v>
      </c>
      <c r="C276">
        <v>13.16</v>
      </c>
      <c r="D276">
        <v>27.044</v>
      </c>
      <c r="E276">
        <f t="shared" si="48"/>
        <v>-1.4</v>
      </c>
      <c r="F276">
        <f t="shared" si="49"/>
        <v>39.480000000000004</v>
      </c>
      <c r="G276">
        <f t="shared" si="50"/>
        <v>27.044</v>
      </c>
      <c r="H276">
        <f t="shared" si="51"/>
        <v>758</v>
      </c>
      <c r="I276">
        <f t="shared" si="52"/>
        <v>86.97</v>
      </c>
      <c r="J276">
        <f t="shared" si="53"/>
        <v>13.16</v>
      </c>
      <c r="K276">
        <f t="shared" si="54"/>
        <v>27.044</v>
      </c>
      <c r="L276">
        <f t="shared" si="55"/>
        <v>1275</v>
      </c>
      <c r="O276">
        <v>773</v>
      </c>
      <c r="P276">
        <v>4.109</v>
      </c>
      <c r="Q276">
        <v>52.99</v>
      </c>
      <c r="R276">
        <v>27.044</v>
      </c>
      <c r="S276">
        <f t="shared" si="56"/>
        <v>81.459999999999994</v>
      </c>
      <c r="T276">
        <f t="shared" si="57"/>
        <v>52.99</v>
      </c>
      <c r="U276">
        <f t="shared" si="58"/>
        <v>27.044</v>
      </c>
      <c r="V276">
        <f t="shared" si="59"/>
        <v>1774</v>
      </c>
      <c r="X276">
        <v>1273</v>
      </c>
      <c r="Y276">
        <v>77.45</v>
      </c>
      <c r="Z276">
        <v>13.16</v>
      </c>
      <c r="AA276">
        <v>27.044</v>
      </c>
      <c r="AC276">
        <v>1773</v>
      </c>
      <c r="AD276">
        <v>77.45</v>
      </c>
      <c r="AE276">
        <v>52.99</v>
      </c>
      <c r="AF276">
        <v>27.044</v>
      </c>
    </row>
    <row r="277" spans="1:32" x14ac:dyDescent="0.35">
      <c r="A277">
        <v>274</v>
      </c>
      <c r="B277">
        <v>4.109</v>
      </c>
      <c r="C277">
        <v>13.16</v>
      </c>
      <c r="D277">
        <v>27.044</v>
      </c>
      <c r="E277">
        <f t="shared" si="48"/>
        <v>4.109</v>
      </c>
      <c r="F277">
        <f t="shared" si="49"/>
        <v>39.480000000000004</v>
      </c>
      <c r="G277">
        <f t="shared" si="50"/>
        <v>27.044</v>
      </c>
      <c r="H277">
        <f t="shared" si="51"/>
        <v>759</v>
      </c>
      <c r="I277">
        <f t="shared" si="52"/>
        <v>81.459999999999994</v>
      </c>
      <c r="J277">
        <f t="shared" si="53"/>
        <v>13.16</v>
      </c>
      <c r="K277">
        <f t="shared" si="54"/>
        <v>27.044</v>
      </c>
      <c r="L277">
        <f t="shared" si="55"/>
        <v>1274</v>
      </c>
      <c r="O277">
        <v>774</v>
      </c>
      <c r="P277">
        <v>8.1159999999999997</v>
      </c>
      <c r="Q277">
        <v>52.99</v>
      </c>
      <c r="R277">
        <v>27.044</v>
      </c>
      <c r="S277">
        <f t="shared" si="56"/>
        <v>77.45</v>
      </c>
      <c r="T277">
        <f t="shared" si="57"/>
        <v>52.99</v>
      </c>
      <c r="U277">
        <f t="shared" si="58"/>
        <v>27.044</v>
      </c>
      <c r="V277">
        <f t="shared" si="59"/>
        <v>1773</v>
      </c>
      <c r="X277">
        <v>1274</v>
      </c>
      <c r="Y277">
        <v>81.459999999999994</v>
      </c>
      <c r="Z277">
        <v>13.16</v>
      </c>
      <c r="AA277">
        <v>27.044</v>
      </c>
      <c r="AC277">
        <v>1774</v>
      </c>
      <c r="AD277">
        <v>81.459999999999994</v>
      </c>
      <c r="AE277">
        <v>52.99</v>
      </c>
      <c r="AF277">
        <v>27.044</v>
      </c>
    </row>
    <row r="278" spans="1:32" x14ac:dyDescent="0.35">
      <c r="A278">
        <v>275</v>
      </c>
      <c r="B278">
        <v>8.1159999999999997</v>
      </c>
      <c r="C278">
        <v>13.16</v>
      </c>
      <c r="D278">
        <v>27.044</v>
      </c>
      <c r="E278">
        <f t="shared" si="48"/>
        <v>8.1159999999999997</v>
      </c>
      <c r="F278">
        <f t="shared" si="49"/>
        <v>39.480000000000004</v>
      </c>
      <c r="G278">
        <f t="shared" si="50"/>
        <v>27.044</v>
      </c>
      <c r="H278">
        <f t="shared" si="51"/>
        <v>760</v>
      </c>
      <c r="I278">
        <f t="shared" si="52"/>
        <v>77.45</v>
      </c>
      <c r="J278">
        <f t="shared" si="53"/>
        <v>13.16</v>
      </c>
      <c r="K278">
        <f t="shared" si="54"/>
        <v>27.044</v>
      </c>
      <c r="L278">
        <f t="shared" si="55"/>
        <v>1273</v>
      </c>
      <c r="O278">
        <v>775</v>
      </c>
      <c r="P278">
        <v>9.1690000000000005</v>
      </c>
      <c r="Q278">
        <v>52.99</v>
      </c>
      <c r="R278">
        <v>27.044</v>
      </c>
      <c r="S278">
        <f t="shared" si="56"/>
        <v>76.400000000000006</v>
      </c>
      <c r="T278">
        <f t="shared" si="57"/>
        <v>52.99</v>
      </c>
      <c r="U278">
        <f t="shared" si="58"/>
        <v>27.044</v>
      </c>
      <c r="V278">
        <f t="shared" si="59"/>
        <v>1772</v>
      </c>
      <c r="X278">
        <v>1275</v>
      </c>
      <c r="Y278">
        <v>86.97</v>
      </c>
      <c r="Z278">
        <v>13.16</v>
      </c>
      <c r="AA278">
        <v>27.044</v>
      </c>
      <c r="AC278">
        <v>1775</v>
      </c>
      <c r="AD278">
        <v>82.51</v>
      </c>
      <c r="AE278">
        <v>52.99</v>
      </c>
      <c r="AF278">
        <v>27.044</v>
      </c>
    </row>
    <row r="279" spans="1:32" x14ac:dyDescent="0.35">
      <c r="A279">
        <v>276</v>
      </c>
      <c r="B279">
        <v>-1.4</v>
      </c>
      <c r="C279">
        <v>-0.35</v>
      </c>
      <c r="D279">
        <v>29.067</v>
      </c>
      <c r="E279">
        <f t="shared" si="48"/>
        <v>-1.4</v>
      </c>
      <c r="F279">
        <f t="shared" si="49"/>
        <v>52.99</v>
      </c>
      <c r="G279">
        <f t="shared" si="50"/>
        <v>29.067</v>
      </c>
      <c r="H279">
        <f t="shared" si="51"/>
        <v>790</v>
      </c>
      <c r="I279">
        <f t="shared" si="52"/>
        <v>86.97</v>
      </c>
      <c r="J279">
        <f t="shared" si="53"/>
        <v>-0.35</v>
      </c>
      <c r="K279">
        <f t="shared" si="54"/>
        <v>29.067</v>
      </c>
      <c r="L279">
        <f t="shared" si="55"/>
        <v>1281</v>
      </c>
      <c r="O279">
        <v>776</v>
      </c>
      <c r="P279">
        <v>15.281000000000001</v>
      </c>
      <c r="Q279">
        <v>52.99</v>
      </c>
      <c r="R279">
        <v>27.044</v>
      </c>
      <c r="S279">
        <f t="shared" si="56"/>
        <v>70.290000000000006</v>
      </c>
      <c r="T279">
        <f t="shared" si="57"/>
        <v>52.99</v>
      </c>
      <c r="U279">
        <f t="shared" si="58"/>
        <v>27.044</v>
      </c>
      <c r="V279">
        <f t="shared" si="59"/>
        <v>1771</v>
      </c>
      <c r="X279">
        <v>1276</v>
      </c>
      <c r="Y279">
        <v>70.290000000000006</v>
      </c>
      <c r="Z279">
        <v>-0.35</v>
      </c>
      <c r="AA279">
        <v>29.067</v>
      </c>
      <c r="AC279">
        <v>1776</v>
      </c>
      <c r="AD279">
        <v>86.97</v>
      </c>
      <c r="AE279">
        <v>52.99</v>
      </c>
      <c r="AF279">
        <v>27.044</v>
      </c>
    </row>
    <row r="280" spans="1:32" x14ac:dyDescent="0.35">
      <c r="A280">
        <v>277</v>
      </c>
      <c r="B280">
        <v>3.056</v>
      </c>
      <c r="C280">
        <v>-0.35</v>
      </c>
      <c r="D280">
        <v>29.067</v>
      </c>
      <c r="E280">
        <f t="shared" si="48"/>
        <v>3.056</v>
      </c>
      <c r="F280">
        <f t="shared" si="49"/>
        <v>52.99</v>
      </c>
      <c r="G280">
        <f t="shared" si="50"/>
        <v>29.067</v>
      </c>
      <c r="H280">
        <f t="shared" si="51"/>
        <v>791</v>
      </c>
      <c r="I280">
        <f t="shared" si="52"/>
        <v>82.51</v>
      </c>
      <c r="J280">
        <f t="shared" si="53"/>
        <v>-0.35</v>
      </c>
      <c r="K280">
        <f t="shared" si="54"/>
        <v>29.067</v>
      </c>
      <c r="L280">
        <f t="shared" si="55"/>
        <v>1280</v>
      </c>
      <c r="O280">
        <v>777</v>
      </c>
      <c r="P280">
        <v>-1.4</v>
      </c>
      <c r="Q280">
        <v>39.479999999999997</v>
      </c>
      <c r="R280">
        <v>29.067</v>
      </c>
      <c r="S280">
        <f t="shared" si="56"/>
        <v>86.97</v>
      </c>
      <c r="T280">
        <f t="shared" si="57"/>
        <v>39.479999999999997</v>
      </c>
      <c r="U280">
        <f t="shared" si="58"/>
        <v>29.067</v>
      </c>
      <c r="V280">
        <f t="shared" si="59"/>
        <v>1779</v>
      </c>
      <c r="X280">
        <v>1277</v>
      </c>
      <c r="Y280">
        <v>76.400000000000006</v>
      </c>
      <c r="Z280">
        <v>-0.35</v>
      </c>
      <c r="AA280">
        <v>29.067</v>
      </c>
      <c r="AC280">
        <v>1777</v>
      </c>
      <c r="AD280">
        <v>78.510000000000005</v>
      </c>
      <c r="AE280">
        <v>39.479999999999997</v>
      </c>
      <c r="AF280">
        <v>29.067</v>
      </c>
    </row>
    <row r="281" spans="1:32" x14ac:dyDescent="0.35">
      <c r="A281">
        <v>278</v>
      </c>
      <c r="B281">
        <v>5.1619999999999999</v>
      </c>
      <c r="C281">
        <v>-0.35</v>
      </c>
      <c r="D281">
        <v>29.067</v>
      </c>
      <c r="E281">
        <f t="shared" si="48"/>
        <v>5.1619999999999999</v>
      </c>
      <c r="F281">
        <f t="shared" si="49"/>
        <v>52.99</v>
      </c>
      <c r="G281">
        <f t="shared" si="50"/>
        <v>29.067</v>
      </c>
      <c r="H281">
        <f t="shared" si="51"/>
        <v>792</v>
      </c>
      <c r="I281">
        <f t="shared" si="52"/>
        <v>80.41</v>
      </c>
      <c r="J281">
        <f t="shared" si="53"/>
        <v>-0.35</v>
      </c>
      <c r="K281">
        <f t="shared" si="54"/>
        <v>29.067</v>
      </c>
      <c r="L281">
        <f t="shared" si="55"/>
        <v>1279</v>
      </c>
      <c r="O281">
        <v>778</v>
      </c>
      <c r="P281">
        <v>5.1619999999999999</v>
      </c>
      <c r="Q281">
        <v>39.479999999999997</v>
      </c>
      <c r="R281">
        <v>29.067</v>
      </c>
      <c r="S281">
        <f t="shared" si="56"/>
        <v>80.41</v>
      </c>
      <c r="T281">
        <f t="shared" si="57"/>
        <v>39.479999999999997</v>
      </c>
      <c r="U281">
        <f t="shared" si="58"/>
        <v>29.067</v>
      </c>
      <c r="V281">
        <f t="shared" si="59"/>
        <v>1778</v>
      </c>
      <c r="X281">
        <v>1278</v>
      </c>
      <c r="Y281">
        <v>78.510000000000005</v>
      </c>
      <c r="Z281">
        <v>-0.35</v>
      </c>
      <c r="AA281">
        <v>29.067</v>
      </c>
      <c r="AC281">
        <v>1778</v>
      </c>
      <c r="AD281">
        <v>80.41</v>
      </c>
      <c r="AE281">
        <v>39.479999999999997</v>
      </c>
      <c r="AF281">
        <v>29.067</v>
      </c>
    </row>
    <row r="282" spans="1:32" x14ac:dyDescent="0.35">
      <c r="A282">
        <v>279</v>
      </c>
      <c r="B282">
        <v>7.0629999999999997</v>
      </c>
      <c r="C282">
        <v>-0.35</v>
      </c>
      <c r="D282">
        <v>29.067</v>
      </c>
      <c r="E282">
        <f t="shared" si="48"/>
        <v>7.0629999999999997</v>
      </c>
      <c r="F282">
        <f t="shared" si="49"/>
        <v>52.99</v>
      </c>
      <c r="G282">
        <f t="shared" si="50"/>
        <v>29.067</v>
      </c>
      <c r="H282">
        <f t="shared" si="51"/>
        <v>793</v>
      </c>
      <c r="I282">
        <f t="shared" si="52"/>
        <v>78.510000000000005</v>
      </c>
      <c r="J282">
        <f t="shared" si="53"/>
        <v>-0.35</v>
      </c>
      <c r="K282">
        <f t="shared" si="54"/>
        <v>29.067</v>
      </c>
      <c r="L282">
        <f t="shared" si="55"/>
        <v>1278</v>
      </c>
      <c r="O282">
        <v>779</v>
      </c>
      <c r="P282">
        <v>7.0629999999999997</v>
      </c>
      <c r="Q282">
        <v>39.479999999999997</v>
      </c>
      <c r="R282">
        <v>29.067</v>
      </c>
      <c r="S282">
        <f t="shared" si="56"/>
        <v>78.510000000000005</v>
      </c>
      <c r="T282">
        <f t="shared" si="57"/>
        <v>39.479999999999997</v>
      </c>
      <c r="U282">
        <f t="shared" si="58"/>
        <v>29.067</v>
      </c>
      <c r="V282">
        <f t="shared" si="59"/>
        <v>1777</v>
      </c>
      <c r="X282">
        <v>1279</v>
      </c>
      <c r="Y282">
        <v>80.41</v>
      </c>
      <c r="Z282">
        <v>-0.35</v>
      </c>
      <c r="AA282">
        <v>29.067</v>
      </c>
      <c r="AC282">
        <v>1779</v>
      </c>
      <c r="AD282">
        <v>86.97</v>
      </c>
      <c r="AE282">
        <v>39.479999999999997</v>
      </c>
      <c r="AF282">
        <v>29.067</v>
      </c>
    </row>
    <row r="283" spans="1:32" x14ac:dyDescent="0.35">
      <c r="A283">
        <v>280</v>
      </c>
      <c r="B283">
        <v>9.1690000000000005</v>
      </c>
      <c r="C283">
        <v>-0.35</v>
      </c>
      <c r="D283">
        <v>29.067</v>
      </c>
      <c r="E283">
        <f t="shared" si="48"/>
        <v>9.1690000000000005</v>
      </c>
      <c r="F283">
        <f t="shared" si="49"/>
        <v>52.99</v>
      </c>
      <c r="G283">
        <f t="shared" si="50"/>
        <v>29.067</v>
      </c>
      <c r="H283">
        <f t="shared" si="51"/>
        <v>794</v>
      </c>
      <c r="I283">
        <f t="shared" si="52"/>
        <v>76.400000000000006</v>
      </c>
      <c r="J283">
        <f t="shared" si="53"/>
        <v>-0.35</v>
      </c>
      <c r="K283">
        <f t="shared" si="54"/>
        <v>29.067</v>
      </c>
      <c r="L283">
        <f t="shared" si="55"/>
        <v>1277</v>
      </c>
      <c r="O283">
        <v>780</v>
      </c>
      <c r="P283">
        <v>-1.4</v>
      </c>
      <c r="Q283">
        <v>41.673999999999999</v>
      </c>
      <c r="R283">
        <v>29.067</v>
      </c>
      <c r="S283">
        <f t="shared" si="56"/>
        <v>86.97</v>
      </c>
      <c r="T283">
        <f t="shared" si="57"/>
        <v>41.673999999999999</v>
      </c>
      <c r="U283">
        <f t="shared" si="58"/>
        <v>29.067</v>
      </c>
      <c r="V283">
        <f t="shared" si="59"/>
        <v>1780</v>
      </c>
      <c r="X283">
        <v>1280</v>
      </c>
      <c r="Y283">
        <v>82.51</v>
      </c>
      <c r="Z283">
        <v>-0.35</v>
      </c>
      <c r="AA283">
        <v>29.067</v>
      </c>
      <c r="AC283">
        <v>1780</v>
      </c>
      <c r="AD283">
        <v>86.97</v>
      </c>
      <c r="AE283">
        <v>41.673999999999999</v>
      </c>
      <c r="AF283">
        <v>29.067</v>
      </c>
    </row>
    <row r="284" spans="1:32" x14ac:dyDescent="0.35">
      <c r="A284">
        <v>281</v>
      </c>
      <c r="B284">
        <v>15.281000000000001</v>
      </c>
      <c r="C284">
        <v>-0.35</v>
      </c>
      <c r="D284">
        <v>29.067</v>
      </c>
      <c r="E284">
        <f t="shared" si="48"/>
        <v>15.281000000000001</v>
      </c>
      <c r="F284">
        <f t="shared" si="49"/>
        <v>52.99</v>
      </c>
      <c r="G284">
        <f t="shared" si="50"/>
        <v>29.067</v>
      </c>
      <c r="H284">
        <f t="shared" si="51"/>
        <v>795</v>
      </c>
      <c r="I284">
        <f t="shared" si="52"/>
        <v>70.290000000000006</v>
      </c>
      <c r="J284">
        <f t="shared" si="53"/>
        <v>-0.35</v>
      </c>
      <c r="K284">
        <f t="shared" si="54"/>
        <v>29.067</v>
      </c>
      <c r="L284">
        <f t="shared" si="55"/>
        <v>1276</v>
      </c>
      <c r="O284">
        <v>781</v>
      </c>
      <c r="P284">
        <v>-1.4</v>
      </c>
      <c r="Q284">
        <v>43.866999999999997</v>
      </c>
      <c r="R284">
        <v>29.067</v>
      </c>
      <c r="S284">
        <f t="shared" si="56"/>
        <v>86.97</v>
      </c>
      <c r="T284">
        <f t="shared" si="57"/>
        <v>43.866999999999997</v>
      </c>
      <c r="U284">
        <f t="shared" si="58"/>
        <v>29.067</v>
      </c>
      <c r="V284">
        <f t="shared" si="59"/>
        <v>1781</v>
      </c>
      <c r="X284">
        <v>1281</v>
      </c>
      <c r="Y284">
        <v>86.97</v>
      </c>
      <c r="Z284">
        <v>-0.35</v>
      </c>
      <c r="AA284">
        <v>29.067</v>
      </c>
      <c r="AC284">
        <v>1781</v>
      </c>
      <c r="AD284">
        <v>86.97</v>
      </c>
      <c r="AE284">
        <v>43.866999999999997</v>
      </c>
      <c r="AF284">
        <v>29.067</v>
      </c>
    </row>
    <row r="285" spans="1:32" x14ac:dyDescent="0.35">
      <c r="A285">
        <v>282</v>
      </c>
      <c r="B285">
        <v>-1.4</v>
      </c>
      <c r="C285">
        <v>0</v>
      </c>
      <c r="D285">
        <v>29.067</v>
      </c>
      <c r="E285">
        <f t="shared" si="48"/>
        <v>-1.4</v>
      </c>
      <c r="F285">
        <f t="shared" si="49"/>
        <v>52.64</v>
      </c>
      <c r="G285">
        <f t="shared" si="50"/>
        <v>29.067</v>
      </c>
      <c r="H285">
        <f t="shared" si="51"/>
        <v>787</v>
      </c>
      <c r="I285">
        <f t="shared" si="52"/>
        <v>86.97</v>
      </c>
      <c r="J285">
        <f t="shared" si="53"/>
        <v>0</v>
      </c>
      <c r="K285">
        <f t="shared" si="54"/>
        <v>29.067</v>
      </c>
      <c r="L285">
        <f t="shared" si="55"/>
        <v>1284</v>
      </c>
      <c r="O285">
        <v>782</v>
      </c>
      <c r="P285">
        <v>-1.4</v>
      </c>
      <c r="Q285">
        <v>46.06</v>
      </c>
      <c r="R285">
        <v>29.067</v>
      </c>
      <c r="S285">
        <f t="shared" si="56"/>
        <v>86.97</v>
      </c>
      <c r="T285">
        <f t="shared" si="57"/>
        <v>46.06</v>
      </c>
      <c r="U285">
        <f t="shared" si="58"/>
        <v>29.067</v>
      </c>
      <c r="V285">
        <f t="shared" si="59"/>
        <v>1784</v>
      </c>
      <c r="X285">
        <v>1282</v>
      </c>
      <c r="Y285">
        <v>78.510000000000005</v>
      </c>
      <c r="Z285">
        <v>0</v>
      </c>
      <c r="AA285">
        <v>29.067</v>
      </c>
      <c r="AC285">
        <v>1782</v>
      </c>
      <c r="AD285">
        <v>78.510000000000005</v>
      </c>
      <c r="AE285">
        <v>46.06</v>
      </c>
      <c r="AF285">
        <v>29.067</v>
      </c>
    </row>
    <row r="286" spans="1:32" x14ac:dyDescent="0.35">
      <c r="A286">
        <v>283</v>
      </c>
      <c r="B286">
        <v>5.1619999999999999</v>
      </c>
      <c r="C286">
        <v>0</v>
      </c>
      <c r="D286">
        <v>29.067</v>
      </c>
      <c r="E286">
        <f t="shared" si="48"/>
        <v>5.1619999999999999</v>
      </c>
      <c r="F286">
        <f t="shared" si="49"/>
        <v>52.64</v>
      </c>
      <c r="G286">
        <f t="shared" si="50"/>
        <v>29.067</v>
      </c>
      <c r="H286">
        <f t="shared" si="51"/>
        <v>788</v>
      </c>
      <c r="I286">
        <f t="shared" si="52"/>
        <v>80.41</v>
      </c>
      <c r="J286">
        <f t="shared" si="53"/>
        <v>0</v>
      </c>
      <c r="K286">
        <f t="shared" si="54"/>
        <v>29.067</v>
      </c>
      <c r="L286">
        <f t="shared" si="55"/>
        <v>1283</v>
      </c>
      <c r="O286">
        <v>783</v>
      </c>
      <c r="P286">
        <v>5.1619999999999999</v>
      </c>
      <c r="Q286">
        <v>46.06</v>
      </c>
      <c r="R286">
        <v>29.067</v>
      </c>
      <c r="S286">
        <f t="shared" si="56"/>
        <v>80.41</v>
      </c>
      <c r="T286">
        <f t="shared" si="57"/>
        <v>46.06</v>
      </c>
      <c r="U286">
        <f t="shared" si="58"/>
        <v>29.067</v>
      </c>
      <c r="V286">
        <f t="shared" si="59"/>
        <v>1783</v>
      </c>
      <c r="X286">
        <v>1283</v>
      </c>
      <c r="Y286">
        <v>80.41</v>
      </c>
      <c r="Z286">
        <v>0</v>
      </c>
      <c r="AA286">
        <v>29.067</v>
      </c>
      <c r="AC286">
        <v>1783</v>
      </c>
      <c r="AD286">
        <v>80.41</v>
      </c>
      <c r="AE286">
        <v>46.06</v>
      </c>
      <c r="AF286">
        <v>29.067</v>
      </c>
    </row>
    <row r="287" spans="1:32" x14ac:dyDescent="0.35">
      <c r="A287">
        <v>284</v>
      </c>
      <c r="B287">
        <v>7.0629999999999997</v>
      </c>
      <c r="C287">
        <v>0</v>
      </c>
      <c r="D287">
        <v>29.067</v>
      </c>
      <c r="E287">
        <f t="shared" si="48"/>
        <v>7.0629999999999997</v>
      </c>
      <c r="F287">
        <f t="shared" si="49"/>
        <v>52.64</v>
      </c>
      <c r="G287">
        <f t="shared" si="50"/>
        <v>29.067</v>
      </c>
      <c r="H287">
        <f t="shared" si="51"/>
        <v>789</v>
      </c>
      <c r="I287">
        <f t="shared" si="52"/>
        <v>78.510000000000005</v>
      </c>
      <c r="J287">
        <f t="shared" si="53"/>
        <v>0</v>
      </c>
      <c r="K287">
        <f t="shared" si="54"/>
        <v>29.067</v>
      </c>
      <c r="L287">
        <f t="shared" si="55"/>
        <v>1282</v>
      </c>
      <c r="O287">
        <v>784</v>
      </c>
      <c r="P287">
        <v>7.0629999999999997</v>
      </c>
      <c r="Q287">
        <v>46.06</v>
      </c>
      <c r="R287">
        <v>29.067</v>
      </c>
      <c r="S287">
        <f t="shared" si="56"/>
        <v>78.510000000000005</v>
      </c>
      <c r="T287">
        <f t="shared" si="57"/>
        <v>46.06</v>
      </c>
      <c r="U287">
        <f t="shared" si="58"/>
        <v>29.067</v>
      </c>
      <c r="V287">
        <f t="shared" si="59"/>
        <v>1782</v>
      </c>
      <c r="X287">
        <v>1284</v>
      </c>
      <c r="Y287">
        <v>86.97</v>
      </c>
      <c r="Z287">
        <v>0</v>
      </c>
      <c r="AA287">
        <v>29.067</v>
      </c>
      <c r="AC287">
        <v>1784</v>
      </c>
      <c r="AD287">
        <v>86.97</v>
      </c>
      <c r="AE287">
        <v>46.06</v>
      </c>
      <c r="AF287">
        <v>29.067</v>
      </c>
    </row>
    <row r="288" spans="1:32" x14ac:dyDescent="0.35">
      <c r="A288">
        <v>285</v>
      </c>
      <c r="B288">
        <v>-1.4</v>
      </c>
      <c r="C288">
        <v>2.194</v>
      </c>
      <c r="D288">
        <v>29.067</v>
      </c>
      <c r="E288">
        <f t="shared" si="48"/>
        <v>-1.4</v>
      </c>
      <c r="F288">
        <f t="shared" si="49"/>
        <v>50.445999999999998</v>
      </c>
      <c r="G288">
        <f t="shared" si="50"/>
        <v>29.067</v>
      </c>
      <c r="H288">
        <f t="shared" si="51"/>
        <v>786</v>
      </c>
      <c r="I288">
        <f t="shared" si="52"/>
        <v>86.97</v>
      </c>
      <c r="J288">
        <f t="shared" si="53"/>
        <v>2.194</v>
      </c>
      <c r="K288">
        <f t="shared" si="54"/>
        <v>29.067</v>
      </c>
      <c r="L288">
        <f t="shared" si="55"/>
        <v>1285</v>
      </c>
      <c r="O288">
        <v>785</v>
      </c>
      <c r="P288">
        <v>-1.4</v>
      </c>
      <c r="Q288">
        <v>48.253</v>
      </c>
      <c r="R288">
        <v>29.067</v>
      </c>
      <c r="S288">
        <f t="shared" si="56"/>
        <v>86.97</v>
      </c>
      <c r="T288">
        <f t="shared" si="57"/>
        <v>48.253</v>
      </c>
      <c r="U288">
        <f t="shared" si="58"/>
        <v>29.067</v>
      </c>
      <c r="V288">
        <f t="shared" si="59"/>
        <v>1785</v>
      </c>
      <c r="X288">
        <v>1285</v>
      </c>
      <c r="Y288">
        <v>86.97</v>
      </c>
      <c r="Z288">
        <v>2.194</v>
      </c>
      <c r="AA288">
        <v>29.067</v>
      </c>
      <c r="AC288">
        <v>1785</v>
      </c>
      <c r="AD288">
        <v>86.97</v>
      </c>
      <c r="AE288">
        <v>48.253</v>
      </c>
      <c r="AF288">
        <v>29.067</v>
      </c>
    </row>
    <row r="289" spans="1:32" x14ac:dyDescent="0.35">
      <c r="A289">
        <v>286</v>
      </c>
      <c r="B289">
        <v>-1.4</v>
      </c>
      <c r="C289">
        <v>4.3869999999999996</v>
      </c>
      <c r="D289">
        <v>29.067</v>
      </c>
      <c r="E289">
        <f t="shared" si="48"/>
        <v>-1.4</v>
      </c>
      <c r="F289">
        <f t="shared" si="49"/>
        <v>48.253</v>
      </c>
      <c r="G289">
        <f t="shared" si="50"/>
        <v>29.067</v>
      </c>
      <c r="H289">
        <f t="shared" si="51"/>
        <v>785</v>
      </c>
      <c r="I289">
        <f t="shared" si="52"/>
        <v>86.97</v>
      </c>
      <c r="J289">
        <f t="shared" si="53"/>
        <v>4.3869999999999996</v>
      </c>
      <c r="K289">
        <f t="shared" si="54"/>
        <v>29.067</v>
      </c>
      <c r="L289">
        <f t="shared" si="55"/>
        <v>1286</v>
      </c>
      <c r="O289">
        <v>786</v>
      </c>
      <c r="P289">
        <v>-1.4</v>
      </c>
      <c r="Q289">
        <v>50.445999999999998</v>
      </c>
      <c r="R289">
        <v>29.067</v>
      </c>
      <c r="S289">
        <f t="shared" si="56"/>
        <v>86.97</v>
      </c>
      <c r="T289">
        <f t="shared" si="57"/>
        <v>50.445999999999998</v>
      </c>
      <c r="U289">
        <f t="shared" si="58"/>
        <v>29.067</v>
      </c>
      <c r="V289">
        <f t="shared" si="59"/>
        <v>1786</v>
      </c>
      <c r="X289">
        <v>1286</v>
      </c>
      <c r="Y289">
        <v>86.97</v>
      </c>
      <c r="Z289">
        <v>4.3869999999999996</v>
      </c>
      <c r="AA289">
        <v>29.067</v>
      </c>
      <c r="AC289">
        <v>1786</v>
      </c>
      <c r="AD289">
        <v>86.97</v>
      </c>
      <c r="AE289">
        <v>50.445999999999998</v>
      </c>
      <c r="AF289">
        <v>29.067</v>
      </c>
    </row>
    <row r="290" spans="1:32" x14ac:dyDescent="0.35">
      <c r="A290">
        <v>287</v>
      </c>
      <c r="B290">
        <v>-1.4</v>
      </c>
      <c r="C290">
        <v>6.58</v>
      </c>
      <c r="D290">
        <v>29.067</v>
      </c>
      <c r="E290">
        <f t="shared" si="48"/>
        <v>-1.4</v>
      </c>
      <c r="F290">
        <f t="shared" si="49"/>
        <v>46.06</v>
      </c>
      <c r="G290">
        <f t="shared" si="50"/>
        <v>29.067</v>
      </c>
      <c r="H290">
        <f t="shared" si="51"/>
        <v>782</v>
      </c>
      <c r="I290">
        <f t="shared" si="52"/>
        <v>86.97</v>
      </c>
      <c r="J290">
        <f t="shared" si="53"/>
        <v>6.58</v>
      </c>
      <c r="K290">
        <f t="shared" si="54"/>
        <v>29.067</v>
      </c>
      <c r="L290">
        <f t="shared" si="55"/>
        <v>1289</v>
      </c>
      <c r="O290">
        <v>787</v>
      </c>
      <c r="P290">
        <v>-1.4</v>
      </c>
      <c r="Q290">
        <v>52.64</v>
      </c>
      <c r="R290">
        <v>29.067</v>
      </c>
      <c r="S290">
        <f t="shared" si="56"/>
        <v>86.97</v>
      </c>
      <c r="T290">
        <f t="shared" si="57"/>
        <v>52.64</v>
      </c>
      <c r="U290">
        <f t="shared" si="58"/>
        <v>29.067</v>
      </c>
      <c r="V290">
        <f t="shared" si="59"/>
        <v>1789</v>
      </c>
      <c r="X290">
        <v>1287</v>
      </c>
      <c r="Y290">
        <v>78.510000000000005</v>
      </c>
      <c r="Z290">
        <v>6.58</v>
      </c>
      <c r="AA290">
        <v>29.067</v>
      </c>
      <c r="AC290">
        <v>1787</v>
      </c>
      <c r="AD290">
        <v>78.510000000000005</v>
      </c>
      <c r="AE290">
        <v>52.64</v>
      </c>
      <c r="AF290">
        <v>29.067</v>
      </c>
    </row>
    <row r="291" spans="1:32" x14ac:dyDescent="0.35">
      <c r="A291">
        <v>288</v>
      </c>
      <c r="B291">
        <v>5.1619999999999999</v>
      </c>
      <c r="C291">
        <v>6.58</v>
      </c>
      <c r="D291">
        <v>29.067</v>
      </c>
      <c r="E291">
        <f t="shared" si="48"/>
        <v>5.1619999999999999</v>
      </c>
      <c r="F291">
        <f t="shared" si="49"/>
        <v>46.06</v>
      </c>
      <c r="G291">
        <f t="shared" si="50"/>
        <v>29.067</v>
      </c>
      <c r="H291">
        <f t="shared" si="51"/>
        <v>783</v>
      </c>
      <c r="I291">
        <f t="shared" si="52"/>
        <v>80.41</v>
      </c>
      <c r="J291">
        <f t="shared" si="53"/>
        <v>6.58</v>
      </c>
      <c r="K291">
        <f t="shared" si="54"/>
        <v>29.067</v>
      </c>
      <c r="L291">
        <f t="shared" si="55"/>
        <v>1288</v>
      </c>
      <c r="O291">
        <v>788</v>
      </c>
      <c r="P291">
        <v>5.1619999999999999</v>
      </c>
      <c r="Q291">
        <v>52.64</v>
      </c>
      <c r="R291">
        <v>29.067</v>
      </c>
      <c r="S291">
        <f t="shared" si="56"/>
        <v>80.41</v>
      </c>
      <c r="T291">
        <f t="shared" si="57"/>
        <v>52.64</v>
      </c>
      <c r="U291">
        <f t="shared" si="58"/>
        <v>29.067</v>
      </c>
      <c r="V291">
        <f t="shared" si="59"/>
        <v>1788</v>
      </c>
      <c r="X291">
        <v>1288</v>
      </c>
      <c r="Y291">
        <v>80.41</v>
      </c>
      <c r="Z291">
        <v>6.58</v>
      </c>
      <c r="AA291">
        <v>29.067</v>
      </c>
      <c r="AC291">
        <v>1788</v>
      </c>
      <c r="AD291">
        <v>80.41</v>
      </c>
      <c r="AE291">
        <v>52.64</v>
      </c>
      <c r="AF291">
        <v>29.067</v>
      </c>
    </row>
    <row r="292" spans="1:32" x14ac:dyDescent="0.35">
      <c r="A292">
        <v>289</v>
      </c>
      <c r="B292">
        <v>7.0629999999999997</v>
      </c>
      <c r="C292">
        <v>6.58</v>
      </c>
      <c r="D292">
        <v>29.067</v>
      </c>
      <c r="E292">
        <f t="shared" si="48"/>
        <v>7.0629999999999997</v>
      </c>
      <c r="F292">
        <f t="shared" si="49"/>
        <v>46.06</v>
      </c>
      <c r="G292">
        <f t="shared" si="50"/>
        <v>29.067</v>
      </c>
      <c r="H292">
        <f t="shared" si="51"/>
        <v>784</v>
      </c>
      <c r="I292">
        <f t="shared" si="52"/>
        <v>78.510000000000005</v>
      </c>
      <c r="J292">
        <f t="shared" si="53"/>
        <v>6.58</v>
      </c>
      <c r="K292">
        <f t="shared" si="54"/>
        <v>29.067</v>
      </c>
      <c r="L292">
        <f t="shared" si="55"/>
        <v>1287</v>
      </c>
      <c r="O292">
        <v>789</v>
      </c>
      <c r="P292">
        <v>7.0629999999999997</v>
      </c>
      <c r="Q292">
        <v>52.64</v>
      </c>
      <c r="R292">
        <v>29.067</v>
      </c>
      <c r="S292">
        <f t="shared" si="56"/>
        <v>78.510000000000005</v>
      </c>
      <c r="T292">
        <f t="shared" si="57"/>
        <v>52.64</v>
      </c>
      <c r="U292">
        <f t="shared" si="58"/>
        <v>29.067</v>
      </c>
      <c r="V292">
        <f t="shared" si="59"/>
        <v>1787</v>
      </c>
      <c r="X292">
        <v>1289</v>
      </c>
      <c r="Y292">
        <v>86.97</v>
      </c>
      <c r="Z292">
        <v>6.58</v>
      </c>
      <c r="AA292">
        <v>29.067</v>
      </c>
      <c r="AC292">
        <v>1789</v>
      </c>
      <c r="AD292">
        <v>86.97</v>
      </c>
      <c r="AE292">
        <v>52.64</v>
      </c>
      <c r="AF292">
        <v>29.067</v>
      </c>
    </row>
    <row r="293" spans="1:32" x14ac:dyDescent="0.35">
      <c r="A293">
        <v>290</v>
      </c>
      <c r="B293">
        <v>-1.4</v>
      </c>
      <c r="C293">
        <v>8.7729999999999997</v>
      </c>
      <c r="D293">
        <v>29.067</v>
      </c>
      <c r="E293">
        <f t="shared" si="48"/>
        <v>-1.4</v>
      </c>
      <c r="F293">
        <f t="shared" si="49"/>
        <v>43.867000000000004</v>
      </c>
      <c r="G293">
        <f t="shared" si="50"/>
        <v>29.067</v>
      </c>
      <c r="H293">
        <f t="shared" si="51"/>
        <v>781</v>
      </c>
      <c r="I293">
        <f t="shared" si="52"/>
        <v>86.97</v>
      </c>
      <c r="J293">
        <f t="shared" si="53"/>
        <v>8.7729999999999997</v>
      </c>
      <c r="K293">
        <f t="shared" si="54"/>
        <v>29.067</v>
      </c>
      <c r="L293">
        <f t="shared" si="55"/>
        <v>1290</v>
      </c>
      <c r="O293">
        <v>790</v>
      </c>
      <c r="P293">
        <v>-1.4</v>
      </c>
      <c r="Q293">
        <v>52.99</v>
      </c>
      <c r="R293">
        <v>29.067</v>
      </c>
      <c r="S293">
        <f t="shared" si="56"/>
        <v>86.97</v>
      </c>
      <c r="T293">
        <f t="shared" si="57"/>
        <v>52.99</v>
      </c>
      <c r="U293">
        <f t="shared" si="58"/>
        <v>29.067</v>
      </c>
      <c r="V293">
        <f t="shared" si="59"/>
        <v>1795</v>
      </c>
      <c r="X293">
        <v>1290</v>
      </c>
      <c r="Y293">
        <v>86.97</v>
      </c>
      <c r="Z293">
        <v>8.7729999999999997</v>
      </c>
      <c r="AA293">
        <v>29.067</v>
      </c>
      <c r="AC293">
        <v>1790</v>
      </c>
      <c r="AD293">
        <v>70.290000000000006</v>
      </c>
      <c r="AE293">
        <v>52.99</v>
      </c>
      <c r="AF293">
        <v>29.067</v>
      </c>
    </row>
    <row r="294" spans="1:32" x14ac:dyDescent="0.35">
      <c r="A294">
        <v>291</v>
      </c>
      <c r="B294">
        <v>-1.4</v>
      </c>
      <c r="C294">
        <v>10.965999999999999</v>
      </c>
      <c r="D294">
        <v>29.067</v>
      </c>
      <c r="E294">
        <f t="shared" si="48"/>
        <v>-1.4</v>
      </c>
      <c r="F294">
        <f t="shared" si="49"/>
        <v>41.673999999999999</v>
      </c>
      <c r="G294">
        <f t="shared" si="50"/>
        <v>29.067</v>
      </c>
      <c r="H294">
        <f t="shared" si="51"/>
        <v>780</v>
      </c>
      <c r="I294">
        <f t="shared" si="52"/>
        <v>86.97</v>
      </c>
      <c r="J294">
        <f t="shared" si="53"/>
        <v>10.965999999999999</v>
      </c>
      <c r="K294">
        <f t="shared" si="54"/>
        <v>29.067</v>
      </c>
      <c r="L294">
        <f t="shared" si="55"/>
        <v>1291</v>
      </c>
      <c r="O294">
        <v>791</v>
      </c>
      <c r="P294">
        <v>3.056</v>
      </c>
      <c r="Q294">
        <v>52.99</v>
      </c>
      <c r="R294">
        <v>29.067</v>
      </c>
      <c r="S294">
        <f t="shared" si="56"/>
        <v>82.51</v>
      </c>
      <c r="T294">
        <f t="shared" si="57"/>
        <v>52.99</v>
      </c>
      <c r="U294">
        <f t="shared" si="58"/>
        <v>29.067</v>
      </c>
      <c r="V294">
        <f t="shared" si="59"/>
        <v>1794</v>
      </c>
      <c r="X294">
        <v>1291</v>
      </c>
      <c r="Y294">
        <v>86.97</v>
      </c>
      <c r="Z294">
        <v>10.965999999999999</v>
      </c>
      <c r="AA294">
        <v>29.067</v>
      </c>
      <c r="AC294">
        <v>1791</v>
      </c>
      <c r="AD294">
        <v>76.400000000000006</v>
      </c>
      <c r="AE294">
        <v>52.99</v>
      </c>
      <c r="AF294">
        <v>29.067</v>
      </c>
    </row>
    <row r="295" spans="1:32" x14ac:dyDescent="0.35">
      <c r="A295">
        <v>292</v>
      </c>
      <c r="B295">
        <v>-1.4</v>
      </c>
      <c r="C295">
        <v>13.16</v>
      </c>
      <c r="D295">
        <v>29.067</v>
      </c>
      <c r="E295">
        <f t="shared" si="48"/>
        <v>-1.4</v>
      </c>
      <c r="F295">
        <f t="shared" si="49"/>
        <v>39.480000000000004</v>
      </c>
      <c r="G295">
        <f t="shared" si="50"/>
        <v>29.067</v>
      </c>
      <c r="H295">
        <f t="shared" si="51"/>
        <v>777</v>
      </c>
      <c r="I295">
        <f t="shared" si="52"/>
        <v>86.97</v>
      </c>
      <c r="J295">
        <f t="shared" si="53"/>
        <v>13.16</v>
      </c>
      <c r="K295">
        <f t="shared" si="54"/>
        <v>29.067</v>
      </c>
      <c r="L295">
        <f t="shared" si="55"/>
        <v>1294</v>
      </c>
      <c r="O295">
        <v>792</v>
      </c>
      <c r="P295">
        <v>5.1619999999999999</v>
      </c>
      <c r="Q295">
        <v>52.99</v>
      </c>
      <c r="R295">
        <v>29.067</v>
      </c>
      <c r="S295">
        <f t="shared" si="56"/>
        <v>80.41</v>
      </c>
      <c r="T295">
        <f t="shared" si="57"/>
        <v>52.99</v>
      </c>
      <c r="U295">
        <f t="shared" si="58"/>
        <v>29.067</v>
      </c>
      <c r="V295">
        <f t="shared" si="59"/>
        <v>1793</v>
      </c>
      <c r="X295">
        <v>1292</v>
      </c>
      <c r="Y295">
        <v>78.510000000000005</v>
      </c>
      <c r="Z295">
        <v>13.16</v>
      </c>
      <c r="AA295">
        <v>29.067</v>
      </c>
      <c r="AC295">
        <v>1792</v>
      </c>
      <c r="AD295">
        <v>78.510000000000005</v>
      </c>
      <c r="AE295">
        <v>52.99</v>
      </c>
      <c r="AF295">
        <v>29.067</v>
      </c>
    </row>
    <row r="296" spans="1:32" x14ac:dyDescent="0.35">
      <c r="A296">
        <v>293</v>
      </c>
      <c r="B296">
        <v>5.1619999999999999</v>
      </c>
      <c r="C296">
        <v>13.16</v>
      </c>
      <c r="D296">
        <v>29.067</v>
      </c>
      <c r="E296">
        <f t="shared" si="48"/>
        <v>5.1619999999999999</v>
      </c>
      <c r="F296">
        <f t="shared" si="49"/>
        <v>39.480000000000004</v>
      </c>
      <c r="G296">
        <f t="shared" si="50"/>
        <v>29.067</v>
      </c>
      <c r="H296">
        <f t="shared" si="51"/>
        <v>778</v>
      </c>
      <c r="I296">
        <f t="shared" si="52"/>
        <v>80.41</v>
      </c>
      <c r="J296">
        <f t="shared" si="53"/>
        <v>13.16</v>
      </c>
      <c r="K296">
        <f t="shared" si="54"/>
        <v>29.067</v>
      </c>
      <c r="L296">
        <f t="shared" si="55"/>
        <v>1293</v>
      </c>
      <c r="O296">
        <v>793</v>
      </c>
      <c r="P296">
        <v>7.0629999999999997</v>
      </c>
      <c r="Q296">
        <v>52.99</v>
      </c>
      <c r="R296">
        <v>29.067</v>
      </c>
      <c r="S296">
        <f t="shared" si="56"/>
        <v>78.510000000000005</v>
      </c>
      <c r="T296">
        <f t="shared" si="57"/>
        <v>52.99</v>
      </c>
      <c r="U296">
        <f t="shared" si="58"/>
        <v>29.067</v>
      </c>
      <c r="V296">
        <f t="shared" si="59"/>
        <v>1792</v>
      </c>
      <c r="X296">
        <v>1293</v>
      </c>
      <c r="Y296">
        <v>80.41</v>
      </c>
      <c r="Z296">
        <v>13.16</v>
      </c>
      <c r="AA296">
        <v>29.067</v>
      </c>
      <c r="AC296">
        <v>1793</v>
      </c>
      <c r="AD296">
        <v>80.41</v>
      </c>
      <c r="AE296">
        <v>52.99</v>
      </c>
      <c r="AF296">
        <v>29.067</v>
      </c>
    </row>
    <row r="297" spans="1:32" x14ac:dyDescent="0.35">
      <c r="A297">
        <v>294</v>
      </c>
      <c r="B297">
        <v>7.0629999999999997</v>
      </c>
      <c r="C297">
        <v>13.16</v>
      </c>
      <c r="D297">
        <v>29.067</v>
      </c>
      <c r="E297">
        <f t="shared" si="48"/>
        <v>7.0629999999999997</v>
      </c>
      <c r="F297">
        <f t="shared" si="49"/>
        <v>39.480000000000004</v>
      </c>
      <c r="G297">
        <f t="shared" si="50"/>
        <v>29.067</v>
      </c>
      <c r="H297">
        <f t="shared" si="51"/>
        <v>779</v>
      </c>
      <c r="I297">
        <f t="shared" si="52"/>
        <v>78.510000000000005</v>
      </c>
      <c r="J297">
        <f t="shared" si="53"/>
        <v>13.16</v>
      </c>
      <c r="K297">
        <f t="shared" si="54"/>
        <v>29.067</v>
      </c>
      <c r="L297">
        <f t="shared" si="55"/>
        <v>1292</v>
      </c>
      <c r="O297">
        <v>794</v>
      </c>
      <c r="P297">
        <v>9.1690000000000005</v>
      </c>
      <c r="Q297">
        <v>52.99</v>
      </c>
      <c r="R297">
        <v>29.067</v>
      </c>
      <c r="S297">
        <f t="shared" si="56"/>
        <v>76.400000000000006</v>
      </c>
      <c r="T297">
        <f t="shared" si="57"/>
        <v>52.99</v>
      </c>
      <c r="U297">
        <f t="shared" si="58"/>
        <v>29.067</v>
      </c>
      <c r="V297">
        <f t="shared" si="59"/>
        <v>1791</v>
      </c>
      <c r="X297">
        <v>1294</v>
      </c>
      <c r="Y297">
        <v>86.97</v>
      </c>
      <c r="Z297">
        <v>13.16</v>
      </c>
      <c r="AA297">
        <v>29.067</v>
      </c>
      <c r="AC297">
        <v>1794</v>
      </c>
      <c r="AD297">
        <v>82.51</v>
      </c>
      <c r="AE297">
        <v>52.99</v>
      </c>
      <c r="AF297">
        <v>29.067</v>
      </c>
    </row>
    <row r="298" spans="1:32" x14ac:dyDescent="0.35">
      <c r="A298">
        <v>295</v>
      </c>
      <c r="B298">
        <v>-1.4</v>
      </c>
      <c r="C298">
        <v>-0.35</v>
      </c>
      <c r="D298">
        <v>30.891999999999999</v>
      </c>
      <c r="E298">
        <f t="shared" si="48"/>
        <v>-1.4</v>
      </c>
      <c r="F298">
        <f t="shared" si="49"/>
        <v>52.99</v>
      </c>
      <c r="G298">
        <f t="shared" si="50"/>
        <v>30.891999999999999</v>
      </c>
      <c r="H298">
        <f t="shared" si="51"/>
        <v>802</v>
      </c>
      <c r="I298">
        <f t="shared" si="52"/>
        <v>86.97</v>
      </c>
      <c r="J298">
        <f t="shared" si="53"/>
        <v>-0.35</v>
      </c>
      <c r="K298">
        <f t="shared" si="54"/>
        <v>30.891999999999999</v>
      </c>
      <c r="L298">
        <f t="shared" si="55"/>
        <v>1299</v>
      </c>
      <c r="O298">
        <v>795</v>
      </c>
      <c r="P298">
        <v>15.281000000000001</v>
      </c>
      <c r="Q298">
        <v>52.99</v>
      </c>
      <c r="R298">
        <v>29.067</v>
      </c>
      <c r="S298">
        <f t="shared" si="56"/>
        <v>70.290000000000006</v>
      </c>
      <c r="T298">
        <f t="shared" si="57"/>
        <v>52.99</v>
      </c>
      <c r="U298">
        <f t="shared" si="58"/>
        <v>29.067</v>
      </c>
      <c r="V298">
        <f t="shared" si="59"/>
        <v>1790</v>
      </c>
      <c r="X298">
        <v>1295</v>
      </c>
      <c r="Y298">
        <v>70.290000000000006</v>
      </c>
      <c r="Z298">
        <v>-0.35</v>
      </c>
      <c r="AA298">
        <v>30.891999999999999</v>
      </c>
      <c r="AC298">
        <v>1795</v>
      </c>
      <c r="AD298">
        <v>86.97</v>
      </c>
      <c r="AE298">
        <v>52.99</v>
      </c>
      <c r="AF298">
        <v>29.067</v>
      </c>
    </row>
    <row r="299" spans="1:32" x14ac:dyDescent="0.35">
      <c r="A299">
        <v>296</v>
      </c>
      <c r="B299">
        <v>3.056</v>
      </c>
      <c r="C299">
        <v>-0.35</v>
      </c>
      <c r="D299">
        <v>30.891999999999999</v>
      </c>
      <c r="E299">
        <f t="shared" si="48"/>
        <v>3.056</v>
      </c>
      <c r="F299">
        <f t="shared" si="49"/>
        <v>52.99</v>
      </c>
      <c r="G299">
        <f t="shared" si="50"/>
        <v>30.891999999999999</v>
      </c>
      <c r="H299">
        <f t="shared" si="51"/>
        <v>803</v>
      </c>
      <c r="I299">
        <f t="shared" si="52"/>
        <v>82.51</v>
      </c>
      <c r="J299">
        <f t="shared" si="53"/>
        <v>-0.35</v>
      </c>
      <c r="K299">
        <f t="shared" si="54"/>
        <v>30.891999999999999</v>
      </c>
      <c r="L299">
        <f t="shared" si="55"/>
        <v>1298</v>
      </c>
      <c r="O299">
        <v>796</v>
      </c>
      <c r="P299">
        <v>6.1130000000000004</v>
      </c>
      <c r="Q299">
        <v>39.479999999999997</v>
      </c>
      <c r="R299">
        <v>30.891999999999999</v>
      </c>
      <c r="S299">
        <f t="shared" si="56"/>
        <v>79.459999999999994</v>
      </c>
      <c r="T299">
        <f t="shared" si="57"/>
        <v>39.479999999999997</v>
      </c>
      <c r="U299">
        <f t="shared" si="58"/>
        <v>30.891999999999999</v>
      </c>
      <c r="V299">
        <f t="shared" si="59"/>
        <v>1796</v>
      </c>
      <c r="X299">
        <v>1296</v>
      </c>
      <c r="Y299">
        <v>76.400000000000006</v>
      </c>
      <c r="Z299">
        <v>-0.35</v>
      </c>
      <c r="AA299">
        <v>30.891999999999999</v>
      </c>
      <c r="AC299">
        <v>1796</v>
      </c>
      <c r="AD299">
        <v>79.459999999999994</v>
      </c>
      <c r="AE299">
        <v>39.479999999999997</v>
      </c>
      <c r="AF299">
        <v>30.891999999999999</v>
      </c>
    </row>
    <row r="300" spans="1:32" x14ac:dyDescent="0.35">
      <c r="A300">
        <v>297</v>
      </c>
      <c r="B300">
        <v>6.1130000000000004</v>
      </c>
      <c r="C300">
        <v>-0.35</v>
      </c>
      <c r="D300">
        <v>30.891999999999999</v>
      </c>
      <c r="E300">
        <f t="shared" si="48"/>
        <v>6.1130000000000004</v>
      </c>
      <c r="F300">
        <f t="shared" si="49"/>
        <v>52.99</v>
      </c>
      <c r="G300">
        <f t="shared" si="50"/>
        <v>30.891999999999999</v>
      </c>
      <c r="H300">
        <f t="shared" si="51"/>
        <v>804</v>
      </c>
      <c r="I300">
        <f t="shared" si="52"/>
        <v>79.459999999999994</v>
      </c>
      <c r="J300">
        <f t="shared" si="53"/>
        <v>-0.35</v>
      </c>
      <c r="K300">
        <f t="shared" si="54"/>
        <v>30.891999999999999</v>
      </c>
      <c r="L300">
        <f t="shared" si="55"/>
        <v>1297</v>
      </c>
      <c r="O300">
        <v>797</v>
      </c>
      <c r="P300">
        <v>6.1130000000000004</v>
      </c>
      <c r="Q300">
        <v>42.77</v>
      </c>
      <c r="R300">
        <v>30.891999999999999</v>
      </c>
      <c r="S300">
        <f t="shared" si="56"/>
        <v>79.459999999999994</v>
      </c>
      <c r="T300">
        <f t="shared" si="57"/>
        <v>42.77</v>
      </c>
      <c r="U300">
        <f t="shared" si="58"/>
        <v>30.891999999999999</v>
      </c>
      <c r="V300">
        <f t="shared" si="59"/>
        <v>1797</v>
      </c>
      <c r="X300">
        <v>1297</v>
      </c>
      <c r="Y300">
        <v>79.459999999999994</v>
      </c>
      <c r="Z300">
        <v>-0.35</v>
      </c>
      <c r="AA300">
        <v>30.891999999999999</v>
      </c>
      <c r="AC300">
        <v>1797</v>
      </c>
      <c r="AD300">
        <v>79.459999999999994</v>
      </c>
      <c r="AE300">
        <v>42.77</v>
      </c>
      <c r="AF300">
        <v>30.891999999999999</v>
      </c>
    </row>
    <row r="301" spans="1:32" x14ac:dyDescent="0.35">
      <c r="A301">
        <v>298</v>
      </c>
      <c r="B301">
        <v>9.1690000000000005</v>
      </c>
      <c r="C301">
        <v>-0.35</v>
      </c>
      <c r="D301">
        <v>30.891999999999999</v>
      </c>
      <c r="E301">
        <f t="shared" si="48"/>
        <v>9.1690000000000005</v>
      </c>
      <c r="F301">
        <f t="shared" si="49"/>
        <v>52.99</v>
      </c>
      <c r="G301">
        <f t="shared" si="50"/>
        <v>30.891999999999999</v>
      </c>
      <c r="H301">
        <f t="shared" si="51"/>
        <v>805</v>
      </c>
      <c r="I301">
        <f t="shared" si="52"/>
        <v>76.400000000000006</v>
      </c>
      <c r="J301">
        <f t="shared" si="53"/>
        <v>-0.35</v>
      </c>
      <c r="K301">
        <f t="shared" si="54"/>
        <v>30.891999999999999</v>
      </c>
      <c r="L301">
        <f t="shared" si="55"/>
        <v>1296</v>
      </c>
      <c r="O301">
        <v>798</v>
      </c>
      <c r="P301">
        <v>6.1130000000000004</v>
      </c>
      <c r="Q301">
        <v>46.06</v>
      </c>
      <c r="R301">
        <v>30.891999999999999</v>
      </c>
      <c r="S301">
        <f t="shared" si="56"/>
        <v>79.459999999999994</v>
      </c>
      <c r="T301">
        <f t="shared" si="57"/>
        <v>46.06</v>
      </c>
      <c r="U301">
        <f t="shared" si="58"/>
        <v>30.891999999999999</v>
      </c>
      <c r="V301">
        <f t="shared" si="59"/>
        <v>1798</v>
      </c>
      <c r="X301">
        <v>1298</v>
      </c>
      <c r="Y301">
        <v>82.51</v>
      </c>
      <c r="Z301">
        <v>-0.35</v>
      </c>
      <c r="AA301">
        <v>30.891999999999999</v>
      </c>
      <c r="AC301">
        <v>1798</v>
      </c>
      <c r="AD301">
        <v>79.459999999999994</v>
      </c>
      <c r="AE301">
        <v>46.06</v>
      </c>
      <c r="AF301">
        <v>30.891999999999999</v>
      </c>
    </row>
    <row r="302" spans="1:32" x14ac:dyDescent="0.35">
      <c r="A302">
        <v>299</v>
      </c>
      <c r="B302">
        <v>15.281000000000001</v>
      </c>
      <c r="C302">
        <v>-0.35</v>
      </c>
      <c r="D302">
        <v>30.891999999999999</v>
      </c>
      <c r="E302">
        <f t="shared" si="48"/>
        <v>15.281000000000001</v>
      </c>
      <c r="F302">
        <f t="shared" si="49"/>
        <v>52.99</v>
      </c>
      <c r="G302">
        <f t="shared" si="50"/>
        <v>30.891999999999999</v>
      </c>
      <c r="H302">
        <f t="shared" si="51"/>
        <v>806</v>
      </c>
      <c r="I302">
        <f t="shared" si="52"/>
        <v>70.290000000000006</v>
      </c>
      <c r="J302">
        <f t="shared" si="53"/>
        <v>-0.35</v>
      </c>
      <c r="K302">
        <f t="shared" si="54"/>
        <v>30.891999999999999</v>
      </c>
      <c r="L302">
        <f t="shared" si="55"/>
        <v>1295</v>
      </c>
      <c r="O302">
        <v>799</v>
      </c>
      <c r="P302">
        <v>6.1130000000000004</v>
      </c>
      <c r="Q302">
        <v>49.35</v>
      </c>
      <c r="R302">
        <v>30.891999999999999</v>
      </c>
      <c r="S302">
        <f t="shared" si="56"/>
        <v>79.459999999999994</v>
      </c>
      <c r="T302">
        <f t="shared" si="57"/>
        <v>49.35</v>
      </c>
      <c r="U302">
        <f t="shared" si="58"/>
        <v>30.891999999999999</v>
      </c>
      <c r="V302">
        <f t="shared" si="59"/>
        <v>1799</v>
      </c>
      <c r="X302">
        <v>1299</v>
      </c>
      <c r="Y302">
        <v>86.97</v>
      </c>
      <c r="Z302">
        <v>-0.35</v>
      </c>
      <c r="AA302">
        <v>30.891999999999999</v>
      </c>
      <c r="AC302">
        <v>1799</v>
      </c>
      <c r="AD302">
        <v>79.459999999999994</v>
      </c>
      <c r="AE302">
        <v>49.35</v>
      </c>
      <c r="AF302">
        <v>30.891999999999999</v>
      </c>
    </row>
    <row r="303" spans="1:32" x14ac:dyDescent="0.35">
      <c r="A303">
        <v>300</v>
      </c>
      <c r="B303">
        <v>-1.4</v>
      </c>
      <c r="C303">
        <v>0</v>
      </c>
      <c r="D303">
        <v>30.891999999999999</v>
      </c>
      <c r="E303">
        <f t="shared" si="48"/>
        <v>-1.4</v>
      </c>
      <c r="F303">
        <f t="shared" si="49"/>
        <v>52.64</v>
      </c>
      <c r="G303">
        <f t="shared" si="50"/>
        <v>30.891999999999999</v>
      </c>
      <c r="H303">
        <f t="shared" si="51"/>
        <v>800</v>
      </c>
      <c r="I303">
        <f t="shared" si="52"/>
        <v>86.97</v>
      </c>
      <c r="J303">
        <f t="shared" si="53"/>
        <v>0</v>
      </c>
      <c r="K303">
        <f t="shared" si="54"/>
        <v>30.891999999999999</v>
      </c>
      <c r="L303">
        <f t="shared" si="55"/>
        <v>1301</v>
      </c>
      <c r="O303">
        <v>800</v>
      </c>
      <c r="P303">
        <v>-1.4</v>
      </c>
      <c r="Q303">
        <v>52.64</v>
      </c>
      <c r="R303">
        <v>30.891999999999999</v>
      </c>
      <c r="S303">
        <f t="shared" si="56"/>
        <v>86.97</v>
      </c>
      <c r="T303">
        <f t="shared" si="57"/>
        <v>52.64</v>
      </c>
      <c r="U303">
        <f t="shared" si="58"/>
        <v>30.891999999999999</v>
      </c>
      <c r="V303">
        <f t="shared" si="59"/>
        <v>1801</v>
      </c>
      <c r="X303">
        <v>1300</v>
      </c>
      <c r="Y303">
        <v>79.459999999999994</v>
      </c>
      <c r="Z303">
        <v>0</v>
      </c>
      <c r="AA303">
        <v>30.891999999999999</v>
      </c>
      <c r="AC303">
        <v>1800</v>
      </c>
      <c r="AD303">
        <v>79.459999999999994</v>
      </c>
      <c r="AE303">
        <v>52.64</v>
      </c>
      <c r="AF303">
        <v>30.891999999999999</v>
      </c>
    </row>
    <row r="304" spans="1:32" x14ac:dyDescent="0.35">
      <c r="A304">
        <v>301</v>
      </c>
      <c r="B304">
        <v>6.1130000000000004</v>
      </c>
      <c r="C304">
        <v>0</v>
      </c>
      <c r="D304">
        <v>30.891999999999999</v>
      </c>
      <c r="E304">
        <f t="shared" si="48"/>
        <v>6.1130000000000004</v>
      </c>
      <c r="F304">
        <f t="shared" si="49"/>
        <v>52.64</v>
      </c>
      <c r="G304">
        <f t="shared" si="50"/>
        <v>30.891999999999999</v>
      </c>
      <c r="H304">
        <f t="shared" si="51"/>
        <v>801</v>
      </c>
      <c r="I304">
        <f t="shared" si="52"/>
        <v>79.459999999999994</v>
      </c>
      <c r="J304">
        <f t="shared" si="53"/>
        <v>0</v>
      </c>
      <c r="K304">
        <f t="shared" si="54"/>
        <v>30.891999999999999</v>
      </c>
      <c r="L304">
        <f t="shared" si="55"/>
        <v>1300</v>
      </c>
      <c r="O304">
        <v>801</v>
      </c>
      <c r="P304">
        <v>6.1130000000000004</v>
      </c>
      <c r="Q304">
        <v>52.64</v>
      </c>
      <c r="R304">
        <v>30.891999999999999</v>
      </c>
      <c r="S304">
        <f t="shared" si="56"/>
        <v>79.459999999999994</v>
      </c>
      <c r="T304">
        <f t="shared" si="57"/>
        <v>52.64</v>
      </c>
      <c r="U304">
        <f t="shared" si="58"/>
        <v>30.891999999999999</v>
      </c>
      <c r="V304">
        <f t="shared" si="59"/>
        <v>1800</v>
      </c>
      <c r="X304">
        <v>1301</v>
      </c>
      <c r="Y304">
        <v>86.97</v>
      </c>
      <c r="Z304">
        <v>0</v>
      </c>
      <c r="AA304">
        <v>30.891999999999999</v>
      </c>
      <c r="AC304">
        <v>1801</v>
      </c>
      <c r="AD304">
        <v>86.97</v>
      </c>
      <c r="AE304">
        <v>52.64</v>
      </c>
      <c r="AF304">
        <v>30.891999999999999</v>
      </c>
    </row>
    <row r="305" spans="1:32" x14ac:dyDescent="0.35">
      <c r="A305">
        <v>302</v>
      </c>
      <c r="B305">
        <v>6.1130000000000004</v>
      </c>
      <c r="C305">
        <v>3.29</v>
      </c>
      <c r="D305">
        <v>30.891999999999999</v>
      </c>
      <c r="E305">
        <f t="shared" si="48"/>
        <v>6.1130000000000004</v>
      </c>
      <c r="F305">
        <f t="shared" si="49"/>
        <v>49.35</v>
      </c>
      <c r="G305">
        <f t="shared" si="50"/>
        <v>30.891999999999999</v>
      </c>
      <c r="H305">
        <f t="shared" si="51"/>
        <v>799</v>
      </c>
      <c r="I305">
        <f t="shared" si="52"/>
        <v>79.459999999999994</v>
      </c>
      <c r="J305">
        <f t="shared" si="53"/>
        <v>3.29</v>
      </c>
      <c r="K305">
        <f t="shared" si="54"/>
        <v>30.891999999999999</v>
      </c>
      <c r="L305">
        <f t="shared" si="55"/>
        <v>1302</v>
      </c>
      <c r="O305">
        <v>802</v>
      </c>
      <c r="P305">
        <v>-1.4</v>
      </c>
      <c r="Q305">
        <v>52.99</v>
      </c>
      <c r="R305">
        <v>30.891999999999999</v>
      </c>
      <c r="S305">
        <f t="shared" si="56"/>
        <v>86.97</v>
      </c>
      <c r="T305">
        <f t="shared" si="57"/>
        <v>52.99</v>
      </c>
      <c r="U305">
        <f t="shared" si="58"/>
        <v>30.891999999999999</v>
      </c>
      <c r="V305">
        <f t="shared" si="59"/>
        <v>1806</v>
      </c>
      <c r="X305">
        <v>1302</v>
      </c>
      <c r="Y305">
        <v>79.459999999999994</v>
      </c>
      <c r="Z305">
        <v>3.29</v>
      </c>
      <c r="AA305">
        <v>30.891999999999999</v>
      </c>
      <c r="AC305">
        <v>1802</v>
      </c>
      <c r="AD305">
        <v>70.290000000000006</v>
      </c>
      <c r="AE305">
        <v>52.99</v>
      </c>
      <c r="AF305">
        <v>30.891999999999999</v>
      </c>
    </row>
    <row r="306" spans="1:32" x14ac:dyDescent="0.35">
      <c r="A306">
        <v>303</v>
      </c>
      <c r="B306">
        <v>6.1130000000000004</v>
      </c>
      <c r="C306">
        <v>6.58</v>
      </c>
      <c r="D306">
        <v>30.891999999999999</v>
      </c>
      <c r="E306">
        <f t="shared" si="48"/>
        <v>6.1130000000000004</v>
      </c>
      <c r="F306">
        <f t="shared" si="49"/>
        <v>46.06</v>
      </c>
      <c r="G306">
        <f t="shared" si="50"/>
        <v>30.891999999999999</v>
      </c>
      <c r="H306">
        <f t="shared" si="51"/>
        <v>798</v>
      </c>
      <c r="I306">
        <f t="shared" si="52"/>
        <v>79.459999999999994</v>
      </c>
      <c r="J306">
        <f t="shared" si="53"/>
        <v>6.58</v>
      </c>
      <c r="K306">
        <f t="shared" si="54"/>
        <v>30.891999999999999</v>
      </c>
      <c r="L306">
        <f t="shared" si="55"/>
        <v>1303</v>
      </c>
      <c r="O306">
        <v>803</v>
      </c>
      <c r="P306">
        <v>3.056</v>
      </c>
      <c r="Q306">
        <v>52.99</v>
      </c>
      <c r="R306">
        <v>30.891999999999999</v>
      </c>
      <c r="S306">
        <f t="shared" si="56"/>
        <v>82.51</v>
      </c>
      <c r="T306">
        <f t="shared" si="57"/>
        <v>52.99</v>
      </c>
      <c r="U306">
        <f t="shared" si="58"/>
        <v>30.891999999999999</v>
      </c>
      <c r="V306">
        <f t="shared" si="59"/>
        <v>1805</v>
      </c>
      <c r="X306">
        <v>1303</v>
      </c>
      <c r="Y306">
        <v>79.459999999999994</v>
      </c>
      <c r="Z306">
        <v>6.58</v>
      </c>
      <c r="AA306">
        <v>30.891999999999999</v>
      </c>
      <c r="AC306">
        <v>1803</v>
      </c>
      <c r="AD306">
        <v>76.400000000000006</v>
      </c>
      <c r="AE306">
        <v>52.99</v>
      </c>
      <c r="AF306">
        <v>30.891999999999999</v>
      </c>
    </row>
    <row r="307" spans="1:32" x14ac:dyDescent="0.35">
      <c r="A307">
        <v>304</v>
      </c>
      <c r="B307">
        <v>6.1130000000000004</v>
      </c>
      <c r="C307">
        <v>9.8699999999999992</v>
      </c>
      <c r="D307">
        <v>30.891999999999999</v>
      </c>
      <c r="E307">
        <f t="shared" si="48"/>
        <v>6.1130000000000004</v>
      </c>
      <c r="F307">
        <f t="shared" si="49"/>
        <v>42.77</v>
      </c>
      <c r="G307">
        <f t="shared" si="50"/>
        <v>30.891999999999999</v>
      </c>
      <c r="H307">
        <f t="shared" si="51"/>
        <v>797</v>
      </c>
      <c r="I307">
        <f t="shared" si="52"/>
        <v>79.459999999999994</v>
      </c>
      <c r="J307">
        <f t="shared" si="53"/>
        <v>9.8699999999999992</v>
      </c>
      <c r="K307">
        <f t="shared" si="54"/>
        <v>30.891999999999999</v>
      </c>
      <c r="L307">
        <f t="shared" si="55"/>
        <v>1304</v>
      </c>
      <c r="O307">
        <v>804</v>
      </c>
      <c r="P307">
        <v>6.1130000000000004</v>
      </c>
      <c r="Q307">
        <v>52.99</v>
      </c>
      <c r="R307">
        <v>30.891999999999999</v>
      </c>
      <c r="S307">
        <f t="shared" si="56"/>
        <v>79.459999999999994</v>
      </c>
      <c r="T307">
        <f t="shared" si="57"/>
        <v>52.99</v>
      </c>
      <c r="U307">
        <f t="shared" si="58"/>
        <v>30.891999999999999</v>
      </c>
      <c r="V307">
        <f t="shared" si="59"/>
        <v>1804</v>
      </c>
      <c r="X307">
        <v>1304</v>
      </c>
      <c r="Y307">
        <v>79.459999999999994</v>
      </c>
      <c r="Z307">
        <v>9.8699999999999992</v>
      </c>
      <c r="AA307">
        <v>30.891999999999999</v>
      </c>
      <c r="AC307">
        <v>1804</v>
      </c>
      <c r="AD307">
        <v>79.459999999999994</v>
      </c>
      <c r="AE307">
        <v>52.99</v>
      </c>
      <c r="AF307">
        <v>30.891999999999999</v>
      </c>
    </row>
    <row r="308" spans="1:32" x14ac:dyDescent="0.35">
      <c r="A308">
        <v>305</v>
      </c>
      <c r="B308">
        <v>6.1130000000000004</v>
      </c>
      <c r="C308">
        <v>13.16</v>
      </c>
      <c r="D308">
        <v>30.891999999999999</v>
      </c>
      <c r="E308">
        <f t="shared" si="48"/>
        <v>6.1130000000000004</v>
      </c>
      <c r="F308">
        <f t="shared" si="49"/>
        <v>39.480000000000004</v>
      </c>
      <c r="G308">
        <f t="shared" si="50"/>
        <v>30.891999999999999</v>
      </c>
      <c r="H308">
        <f t="shared" si="51"/>
        <v>796</v>
      </c>
      <c r="I308">
        <f t="shared" si="52"/>
        <v>79.459999999999994</v>
      </c>
      <c r="J308">
        <f t="shared" si="53"/>
        <v>13.16</v>
      </c>
      <c r="K308">
        <f t="shared" si="54"/>
        <v>30.891999999999999</v>
      </c>
      <c r="L308">
        <f t="shared" si="55"/>
        <v>1305</v>
      </c>
      <c r="O308">
        <v>805</v>
      </c>
      <c r="P308">
        <v>9.1690000000000005</v>
      </c>
      <c r="Q308">
        <v>52.99</v>
      </c>
      <c r="R308">
        <v>30.891999999999999</v>
      </c>
      <c r="S308">
        <f t="shared" si="56"/>
        <v>76.400000000000006</v>
      </c>
      <c r="T308">
        <f t="shared" si="57"/>
        <v>52.99</v>
      </c>
      <c r="U308">
        <f t="shared" si="58"/>
        <v>30.891999999999999</v>
      </c>
      <c r="V308">
        <f t="shared" si="59"/>
        <v>1803</v>
      </c>
      <c r="X308">
        <v>1305</v>
      </c>
      <c r="Y308">
        <v>79.459999999999994</v>
      </c>
      <c r="Z308">
        <v>13.16</v>
      </c>
      <c r="AA308">
        <v>30.891999999999999</v>
      </c>
      <c r="AC308">
        <v>1805</v>
      </c>
      <c r="AD308">
        <v>82.51</v>
      </c>
      <c r="AE308">
        <v>52.99</v>
      </c>
      <c r="AF308">
        <v>30.891999999999999</v>
      </c>
    </row>
    <row r="309" spans="1:32" x14ac:dyDescent="0.35">
      <c r="A309">
        <v>306</v>
      </c>
      <c r="B309">
        <v>-1.4</v>
      </c>
      <c r="C309">
        <v>0</v>
      </c>
      <c r="D309">
        <v>31.09</v>
      </c>
      <c r="E309">
        <f t="shared" si="48"/>
        <v>-1.4</v>
      </c>
      <c r="F309">
        <f t="shared" si="49"/>
        <v>52.64</v>
      </c>
      <c r="G309">
        <f t="shared" si="50"/>
        <v>31.09</v>
      </c>
      <c r="H309">
        <f t="shared" si="51"/>
        <v>813</v>
      </c>
      <c r="I309">
        <f t="shared" si="52"/>
        <v>86.97</v>
      </c>
      <c r="J309">
        <f t="shared" si="53"/>
        <v>0</v>
      </c>
      <c r="K309">
        <f t="shared" si="54"/>
        <v>31.09</v>
      </c>
      <c r="L309">
        <f t="shared" si="55"/>
        <v>1306</v>
      </c>
      <c r="O309">
        <v>806</v>
      </c>
      <c r="P309">
        <v>15.281000000000001</v>
      </c>
      <c r="Q309">
        <v>52.99</v>
      </c>
      <c r="R309">
        <v>30.891999999999999</v>
      </c>
      <c r="S309">
        <f t="shared" si="56"/>
        <v>70.290000000000006</v>
      </c>
      <c r="T309">
        <f t="shared" si="57"/>
        <v>52.99</v>
      </c>
      <c r="U309">
        <f t="shared" si="58"/>
        <v>30.891999999999999</v>
      </c>
      <c r="V309">
        <f t="shared" si="59"/>
        <v>1802</v>
      </c>
      <c r="X309">
        <v>1306</v>
      </c>
      <c r="Y309">
        <v>86.97</v>
      </c>
      <c r="Z309">
        <v>0</v>
      </c>
      <c r="AA309">
        <v>31.09</v>
      </c>
      <c r="AC309">
        <v>1806</v>
      </c>
      <c r="AD309">
        <v>86.97</v>
      </c>
      <c r="AE309">
        <v>52.99</v>
      </c>
      <c r="AF309">
        <v>30.891999999999999</v>
      </c>
    </row>
    <row r="310" spans="1:32" x14ac:dyDescent="0.35">
      <c r="A310">
        <v>307</v>
      </c>
      <c r="B310">
        <v>-1.4</v>
      </c>
      <c r="C310">
        <v>2.194</v>
      </c>
      <c r="D310">
        <v>31.09</v>
      </c>
      <c r="E310">
        <f t="shared" si="48"/>
        <v>-1.4</v>
      </c>
      <c r="F310">
        <f t="shared" si="49"/>
        <v>50.445999999999998</v>
      </c>
      <c r="G310">
        <f t="shared" si="50"/>
        <v>31.09</v>
      </c>
      <c r="H310">
        <f t="shared" si="51"/>
        <v>812</v>
      </c>
      <c r="I310">
        <f t="shared" si="52"/>
        <v>86.97</v>
      </c>
      <c r="J310">
        <f t="shared" si="53"/>
        <v>2.194</v>
      </c>
      <c r="K310">
        <f t="shared" si="54"/>
        <v>31.09</v>
      </c>
      <c r="L310">
        <f t="shared" si="55"/>
        <v>1307</v>
      </c>
      <c r="O310">
        <v>807</v>
      </c>
      <c r="P310">
        <v>-1.4</v>
      </c>
      <c r="Q310">
        <v>39.479999999999997</v>
      </c>
      <c r="R310">
        <v>31.09</v>
      </c>
      <c r="S310">
        <f t="shared" si="56"/>
        <v>86.97</v>
      </c>
      <c r="T310">
        <f t="shared" si="57"/>
        <v>39.479999999999997</v>
      </c>
      <c r="U310">
        <f t="shared" si="58"/>
        <v>31.09</v>
      </c>
      <c r="V310">
        <f t="shared" si="59"/>
        <v>1807</v>
      </c>
      <c r="X310">
        <v>1307</v>
      </c>
      <c r="Y310">
        <v>86.97</v>
      </c>
      <c r="Z310">
        <v>2.194</v>
      </c>
      <c r="AA310">
        <v>31.09</v>
      </c>
      <c r="AC310">
        <v>1807</v>
      </c>
      <c r="AD310">
        <v>86.97</v>
      </c>
      <c r="AE310">
        <v>39.479999999999997</v>
      </c>
      <c r="AF310">
        <v>31.09</v>
      </c>
    </row>
    <row r="311" spans="1:32" x14ac:dyDescent="0.35">
      <c r="A311">
        <v>308</v>
      </c>
      <c r="B311">
        <v>-1.4</v>
      </c>
      <c r="C311">
        <v>4.3869999999999996</v>
      </c>
      <c r="D311">
        <v>31.09</v>
      </c>
      <c r="E311">
        <f t="shared" si="48"/>
        <v>-1.4</v>
      </c>
      <c r="F311">
        <f t="shared" si="49"/>
        <v>48.253</v>
      </c>
      <c r="G311">
        <f t="shared" si="50"/>
        <v>31.09</v>
      </c>
      <c r="H311">
        <f t="shared" si="51"/>
        <v>811</v>
      </c>
      <c r="I311">
        <f t="shared" si="52"/>
        <v>86.97</v>
      </c>
      <c r="J311">
        <f t="shared" si="53"/>
        <v>4.3869999999999996</v>
      </c>
      <c r="K311">
        <f t="shared" si="54"/>
        <v>31.09</v>
      </c>
      <c r="L311">
        <f t="shared" si="55"/>
        <v>1308</v>
      </c>
      <c r="O311">
        <v>808</v>
      </c>
      <c r="P311">
        <v>-1.4</v>
      </c>
      <c r="Q311">
        <v>41.673999999999999</v>
      </c>
      <c r="R311">
        <v>31.09</v>
      </c>
      <c r="S311">
        <f t="shared" si="56"/>
        <v>86.97</v>
      </c>
      <c r="T311">
        <f t="shared" si="57"/>
        <v>41.673999999999999</v>
      </c>
      <c r="U311">
        <f t="shared" si="58"/>
        <v>31.09</v>
      </c>
      <c r="V311">
        <f t="shared" si="59"/>
        <v>1808</v>
      </c>
      <c r="X311">
        <v>1308</v>
      </c>
      <c r="Y311">
        <v>86.97</v>
      </c>
      <c r="Z311">
        <v>4.3869999999999996</v>
      </c>
      <c r="AA311">
        <v>31.09</v>
      </c>
      <c r="AC311">
        <v>1808</v>
      </c>
      <c r="AD311">
        <v>86.97</v>
      </c>
      <c r="AE311">
        <v>41.673999999999999</v>
      </c>
      <c r="AF311">
        <v>31.09</v>
      </c>
    </row>
    <row r="312" spans="1:32" x14ac:dyDescent="0.35">
      <c r="A312">
        <v>309</v>
      </c>
      <c r="B312">
        <v>-1.4</v>
      </c>
      <c r="C312">
        <v>6.58</v>
      </c>
      <c r="D312">
        <v>31.09</v>
      </c>
      <c r="E312">
        <f t="shared" si="48"/>
        <v>-1.4</v>
      </c>
      <c r="F312">
        <f t="shared" si="49"/>
        <v>46.06</v>
      </c>
      <c r="G312">
        <f t="shared" si="50"/>
        <v>31.09</v>
      </c>
      <c r="H312">
        <f t="shared" si="51"/>
        <v>810</v>
      </c>
      <c r="I312">
        <f t="shared" si="52"/>
        <v>86.97</v>
      </c>
      <c r="J312">
        <f t="shared" si="53"/>
        <v>6.58</v>
      </c>
      <c r="K312">
        <f t="shared" si="54"/>
        <v>31.09</v>
      </c>
      <c r="L312">
        <f t="shared" si="55"/>
        <v>1309</v>
      </c>
      <c r="O312">
        <v>809</v>
      </c>
      <c r="P312">
        <v>-1.4</v>
      </c>
      <c r="Q312">
        <v>43.866999999999997</v>
      </c>
      <c r="R312">
        <v>31.09</v>
      </c>
      <c r="S312">
        <f t="shared" si="56"/>
        <v>86.97</v>
      </c>
      <c r="T312">
        <f t="shared" si="57"/>
        <v>43.866999999999997</v>
      </c>
      <c r="U312">
        <f t="shared" si="58"/>
        <v>31.09</v>
      </c>
      <c r="V312">
        <f t="shared" si="59"/>
        <v>1809</v>
      </c>
      <c r="X312">
        <v>1309</v>
      </c>
      <c r="Y312">
        <v>86.97</v>
      </c>
      <c r="Z312">
        <v>6.58</v>
      </c>
      <c r="AA312">
        <v>31.09</v>
      </c>
      <c r="AC312">
        <v>1809</v>
      </c>
      <c r="AD312">
        <v>86.97</v>
      </c>
      <c r="AE312">
        <v>43.866999999999997</v>
      </c>
      <c r="AF312">
        <v>31.09</v>
      </c>
    </row>
    <row r="313" spans="1:32" x14ac:dyDescent="0.35">
      <c r="A313">
        <v>310</v>
      </c>
      <c r="B313">
        <v>-1.4</v>
      </c>
      <c r="C313">
        <v>8.7729999999999997</v>
      </c>
      <c r="D313">
        <v>31.09</v>
      </c>
      <c r="E313">
        <f t="shared" si="48"/>
        <v>-1.4</v>
      </c>
      <c r="F313">
        <f t="shared" si="49"/>
        <v>43.867000000000004</v>
      </c>
      <c r="G313">
        <f t="shared" si="50"/>
        <v>31.09</v>
      </c>
      <c r="H313">
        <f t="shared" si="51"/>
        <v>809</v>
      </c>
      <c r="I313">
        <f t="shared" si="52"/>
        <v>86.97</v>
      </c>
      <c r="J313">
        <f t="shared" si="53"/>
        <v>8.7729999999999997</v>
      </c>
      <c r="K313">
        <f t="shared" si="54"/>
        <v>31.09</v>
      </c>
      <c r="L313">
        <f t="shared" si="55"/>
        <v>1310</v>
      </c>
      <c r="O313">
        <v>810</v>
      </c>
      <c r="P313">
        <v>-1.4</v>
      </c>
      <c r="Q313">
        <v>46.06</v>
      </c>
      <c r="R313">
        <v>31.09</v>
      </c>
      <c r="S313">
        <f t="shared" si="56"/>
        <v>86.97</v>
      </c>
      <c r="T313">
        <f t="shared" si="57"/>
        <v>46.06</v>
      </c>
      <c r="U313">
        <f t="shared" si="58"/>
        <v>31.09</v>
      </c>
      <c r="V313">
        <f t="shared" si="59"/>
        <v>1810</v>
      </c>
      <c r="X313">
        <v>1310</v>
      </c>
      <c r="Y313">
        <v>86.97</v>
      </c>
      <c r="Z313">
        <v>8.7729999999999997</v>
      </c>
      <c r="AA313">
        <v>31.09</v>
      </c>
      <c r="AC313">
        <v>1810</v>
      </c>
      <c r="AD313">
        <v>86.97</v>
      </c>
      <c r="AE313">
        <v>46.06</v>
      </c>
      <c r="AF313">
        <v>31.09</v>
      </c>
    </row>
    <row r="314" spans="1:32" x14ac:dyDescent="0.35">
      <c r="A314">
        <v>311</v>
      </c>
      <c r="B314">
        <v>-1.4</v>
      </c>
      <c r="C314">
        <v>10.965999999999999</v>
      </c>
      <c r="D314">
        <v>31.09</v>
      </c>
      <c r="E314">
        <f t="shared" si="48"/>
        <v>-1.4</v>
      </c>
      <c r="F314">
        <f t="shared" si="49"/>
        <v>41.673999999999999</v>
      </c>
      <c r="G314">
        <f t="shared" si="50"/>
        <v>31.09</v>
      </c>
      <c r="H314">
        <f t="shared" si="51"/>
        <v>808</v>
      </c>
      <c r="I314">
        <f t="shared" si="52"/>
        <v>86.97</v>
      </c>
      <c r="J314">
        <f t="shared" si="53"/>
        <v>10.965999999999999</v>
      </c>
      <c r="K314">
        <f t="shared" si="54"/>
        <v>31.09</v>
      </c>
      <c r="L314">
        <f t="shared" si="55"/>
        <v>1311</v>
      </c>
      <c r="O314">
        <v>811</v>
      </c>
      <c r="P314">
        <v>-1.4</v>
      </c>
      <c r="Q314">
        <v>48.253</v>
      </c>
      <c r="R314">
        <v>31.09</v>
      </c>
      <c r="S314">
        <f t="shared" si="56"/>
        <v>86.97</v>
      </c>
      <c r="T314">
        <f t="shared" si="57"/>
        <v>48.253</v>
      </c>
      <c r="U314">
        <f t="shared" si="58"/>
        <v>31.09</v>
      </c>
      <c r="V314">
        <f t="shared" si="59"/>
        <v>1811</v>
      </c>
      <c r="X314">
        <v>1311</v>
      </c>
      <c r="Y314">
        <v>86.97</v>
      </c>
      <c r="Z314">
        <v>10.965999999999999</v>
      </c>
      <c r="AA314">
        <v>31.09</v>
      </c>
      <c r="AC314">
        <v>1811</v>
      </c>
      <c r="AD314">
        <v>86.97</v>
      </c>
      <c r="AE314">
        <v>48.253</v>
      </c>
      <c r="AF314">
        <v>31.09</v>
      </c>
    </row>
    <row r="315" spans="1:32" x14ac:dyDescent="0.35">
      <c r="A315">
        <v>312</v>
      </c>
      <c r="B315">
        <v>-1.4</v>
      </c>
      <c r="C315">
        <v>13.16</v>
      </c>
      <c r="D315">
        <v>31.09</v>
      </c>
      <c r="E315">
        <f t="shared" si="48"/>
        <v>-1.4</v>
      </c>
      <c r="F315">
        <f t="shared" si="49"/>
        <v>39.480000000000004</v>
      </c>
      <c r="G315">
        <f t="shared" si="50"/>
        <v>31.09</v>
      </c>
      <c r="H315">
        <f t="shared" si="51"/>
        <v>807</v>
      </c>
      <c r="I315">
        <f t="shared" si="52"/>
        <v>86.97</v>
      </c>
      <c r="J315">
        <f t="shared" si="53"/>
        <v>13.16</v>
      </c>
      <c r="K315">
        <f t="shared" si="54"/>
        <v>31.09</v>
      </c>
      <c r="L315">
        <f t="shared" si="55"/>
        <v>1312</v>
      </c>
      <c r="O315">
        <v>812</v>
      </c>
      <c r="P315">
        <v>-1.4</v>
      </c>
      <c r="Q315">
        <v>50.445999999999998</v>
      </c>
      <c r="R315">
        <v>31.09</v>
      </c>
      <c r="S315">
        <f t="shared" si="56"/>
        <v>86.97</v>
      </c>
      <c r="T315">
        <f t="shared" si="57"/>
        <v>50.445999999999998</v>
      </c>
      <c r="U315">
        <f t="shared" si="58"/>
        <v>31.09</v>
      </c>
      <c r="V315">
        <f t="shared" si="59"/>
        <v>1812</v>
      </c>
      <c r="X315">
        <v>1312</v>
      </c>
      <c r="Y315">
        <v>86.97</v>
      </c>
      <c r="Z315">
        <v>13.16</v>
      </c>
      <c r="AA315">
        <v>31.09</v>
      </c>
      <c r="AC315">
        <v>1812</v>
      </c>
      <c r="AD315">
        <v>86.97</v>
      </c>
      <c r="AE315">
        <v>50.445999999999998</v>
      </c>
      <c r="AF315">
        <v>31.09</v>
      </c>
    </row>
    <row r="316" spans="1:32" x14ac:dyDescent="0.35">
      <c r="A316">
        <v>313</v>
      </c>
      <c r="B316">
        <v>6.1130000000000004</v>
      </c>
      <c r="C316">
        <v>0</v>
      </c>
      <c r="D316">
        <v>31.192</v>
      </c>
      <c r="E316">
        <f t="shared" si="48"/>
        <v>6.1130000000000004</v>
      </c>
      <c r="F316">
        <f t="shared" si="49"/>
        <v>52.64</v>
      </c>
      <c r="G316">
        <f t="shared" si="50"/>
        <v>31.192</v>
      </c>
      <c r="H316">
        <f t="shared" si="51"/>
        <v>820</v>
      </c>
      <c r="I316">
        <f t="shared" si="52"/>
        <v>79.459999999999994</v>
      </c>
      <c r="J316">
        <f t="shared" si="53"/>
        <v>0</v>
      </c>
      <c r="K316">
        <f t="shared" si="54"/>
        <v>31.192</v>
      </c>
      <c r="L316">
        <f t="shared" si="55"/>
        <v>1313</v>
      </c>
      <c r="O316">
        <v>813</v>
      </c>
      <c r="P316">
        <v>-1.4</v>
      </c>
      <c r="Q316">
        <v>52.64</v>
      </c>
      <c r="R316">
        <v>31.09</v>
      </c>
      <c r="S316">
        <f t="shared" si="56"/>
        <v>86.97</v>
      </c>
      <c r="T316">
        <f t="shared" si="57"/>
        <v>52.64</v>
      </c>
      <c r="U316">
        <f t="shared" si="58"/>
        <v>31.09</v>
      </c>
      <c r="V316">
        <f t="shared" si="59"/>
        <v>1813</v>
      </c>
      <c r="X316">
        <v>1313</v>
      </c>
      <c r="Y316">
        <v>79.459999999999994</v>
      </c>
      <c r="Z316">
        <v>0</v>
      </c>
      <c r="AA316">
        <v>31.192</v>
      </c>
      <c r="AC316">
        <v>1813</v>
      </c>
      <c r="AD316">
        <v>86.97</v>
      </c>
      <c r="AE316">
        <v>52.64</v>
      </c>
      <c r="AF316">
        <v>31.09</v>
      </c>
    </row>
    <row r="317" spans="1:32" x14ac:dyDescent="0.35">
      <c r="A317">
        <v>314</v>
      </c>
      <c r="B317">
        <v>6.1130000000000004</v>
      </c>
      <c r="C317">
        <v>2.194</v>
      </c>
      <c r="D317">
        <v>31.192</v>
      </c>
      <c r="E317">
        <f t="shared" si="48"/>
        <v>6.1130000000000004</v>
      </c>
      <c r="F317">
        <f t="shared" si="49"/>
        <v>50.445999999999998</v>
      </c>
      <c r="G317">
        <f t="shared" si="50"/>
        <v>31.192</v>
      </c>
      <c r="H317">
        <f t="shared" si="51"/>
        <v>819</v>
      </c>
      <c r="I317">
        <f t="shared" si="52"/>
        <v>79.459999999999994</v>
      </c>
      <c r="J317">
        <f t="shared" si="53"/>
        <v>2.194</v>
      </c>
      <c r="K317">
        <f t="shared" si="54"/>
        <v>31.192</v>
      </c>
      <c r="L317">
        <f t="shared" si="55"/>
        <v>1314</v>
      </c>
      <c r="O317">
        <v>814</v>
      </c>
      <c r="P317">
        <v>6.1130000000000004</v>
      </c>
      <c r="Q317">
        <v>39.479999999999997</v>
      </c>
      <c r="R317">
        <v>31.192</v>
      </c>
      <c r="S317">
        <f t="shared" si="56"/>
        <v>79.459999999999994</v>
      </c>
      <c r="T317">
        <f t="shared" si="57"/>
        <v>39.479999999999997</v>
      </c>
      <c r="U317">
        <f t="shared" si="58"/>
        <v>31.192</v>
      </c>
      <c r="V317">
        <f t="shared" si="59"/>
        <v>1814</v>
      </c>
      <c r="X317">
        <v>1314</v>
      </c>
      <c r="Y317">
        <v>79.459999999999994</v>
      </c>
      <c r="Z317">
        <v>2.194</v>
      </c>
      <c r="AA317">
        <v>31.192</v>
      </c>
      <c r="AC317">
        <v>1814</v>
      </c>
      <c r="AD317">
        <v>79.459999999999994</v>
      </c>
      <c r="AE317">
        <v>39.479999999999997</v>
      </c>
      <c r="AF317">
        <v>31.192</v>
      </c>
    </row>
    <row r="318" spans="1:32" x14ac:dyDescent="0.35">
      <c r="A318">
        <v>315</v>
      </c>
      <c r="B318">
        <v>6.1130000000000004</v>
      </c>
      <c r="C318">
        <v>4.3869999999999996</v>
      </c>
      <c r="D318">
        <v>31.192</v>
      </c>
      <c r="E318">
        <f t="shared" si="48"/>
        <v>6.1130000000000004</v>
      </c>
      <c r="F318">
        <f t="shared" si="49"/>
        <v>48.253</v>
      </c>
      <c r="G318">
        <f t="shared" si="50"/>
        <v>31.192</v>
      </c>
      <c r="H318">
        <f t="shared" si="51"/>
        <v>818</v>
      </c>
      <c r="I318">
        <f t="shared" si="52"/>
        <v>79.459999999999994</v>
      </c>
      <c r="J318">
        <f t="shared" si="53"/>
        <v>4.3869999999999996</v>
      </c>
      <c r="K318">
        <f t="shared" si="54"/>
        <v>31.192</v>
      </c>
      <c r="L318">
        <f t="shared" si="55"/>
        <v>1315</v>
      </c>
      <c r="O318">
        <v>815</v>
      </c>
      <c r="P318">
        <v>6.1130000000000004</v>
      </c>
      <c r="Q318">
        <v>41.673999999999999</v>
      </c>
      <c r="R318">
        <v>31.192</v>
      </c>
      <c r="S318">
        <f t="shared" si="56"/>
        <v>79.459999999999994</v>
      </c>
      <c r="T318">
        <f t="shared" si="57"/>
        <v>41.673999999999999</v>
      </c>
      <c r="U318">
        <f t="shared" si="58"/>
        <v>31.192</v>
      </c>
      <c r="V318">
        <f t="shared" si="59"/>
        <v>1815</v>
      </c>
      <c r="X318">
        <v>1315</v>
      </c>
      <c r="Y318">
        <v>79.459999999999994</v>
      </c>
      <c r="Z318">
        <v>4.3869999999999996</v>
      </c>
      <c r="AA318">
        <v>31.192</v>
      </c>
      <c r="AC318">
        <v>1815</v>
      </c>
      <c r="AD318">
        <v>79.459999999999994</v>
      </c>
      <c r="AE318">
        <v>41.673999999999999</v>
      </c>
      <c r="AF318">
        <v>31.192</v>
      </c>
    </row>
    <row r="319" spans="1:32" x14ac:dyDescent="0.35">
      <c r="A319">
        <v>316</v>
      </c>
      <c r="B319">
        <v>6.1130000000000004</v>
      </c>
      <c r="C319">
        <v>6.58</v>
      </c>
      <c r="D319">
        <v>31.192</v>
      </c>
      <c r="E319">
        <f t="shared" si="48"/>
        <v>6.1130000000000004</v>
      </c>
      <c r="F319">
        <f t="shared" si="49"/>
        <v>46.06</v>
      </c>
      <c r="G319">
        <f t="shared" si="50"/>
        <v>31.192</v>
      </c>
      <c r="H319">
        <f t="shared" si="51"/>
        <v>817</v>
      </c>
      <c r="I319">
        <f t="shared" si="52"/>
        <v>79.459999999999994</v>
      </c>
      <c r="J319">
        <f t="shared" si="53"/>
        <v>6.58</v>
      </c>
      <c r="K319">
        <f t="shared" si="54"/>
        <v>31.192</v>
      </c>
      <c r="L319">
        <f t="shared" si="55"/>
        <v>1316</v>
      </c>
      <c r="O319">
        <v>816</v>
      </c>
      <c r="P319">
        <v>6.1130000000000004</v>
      </c>
      <c r="Q319">
        <v>43.866999999999997</v>
      </c>
      <c r="R319">
        <v>31.192</v>
      </c>
      <c r="S319">
        <f t="shared" si="56"/>
        <v>79.459999999999994</v>
      </c>
      <c r="T319">
        <f t="shared" si="57"/>
        <v>43.866999999999997</v>
      </c>
      <c r="U319">
        <f t="shared" si="58"/>
        <v>31.192</v>
      </c>
      <c r="V319">
        <f t="shared" si="59"/>
        <v>1816</v>
      </c>
      <c r="X319">
        <v>1316</v>
      </c>
      <c r="Y319">
        <v>79.459999999999994</v>
      </c>
      <c r="Z319">
        <v>6.58</v>
      </c>
      <c r="AA319">
        <v>31.192</v>
      </c>
      <c r="AC319">
        <v>1816</v>
      </c>
      <c r="AD319">
        <v>79.459999999999994</v>
      </c>
      <c r="AE319">
        <v>43.866999999999997</v>
      </c>
      <c r="AF319">
        <v>31.192</v>
      </c>
    </row>
    <row r="320" spans="1:32" x14ac:dyDescent="0.35">
      <c r="A320">
        <v>317</v>
      </c>
      <c r="B320">
        <v>6.1130000000000004</v>
      </c>
      <c r="C320">
        <v>8.7729999999999997</v>
      </c>
      <c r="D320">
        <v>31.192</v>
      </c>
      <c r="E320">
        <f t="shared" si="48"/>
        <v>6.1130000000000004</v>
      </c>
      <c r="F320">
        <f t="shared" si="49"/>
        <v>43.867000000000004</v>
      </c>
      <c r="G320">
        <f t="shared" si="50"/>
        <v>31.192</v>
      </c>
      <c r="H320">
        <f t="shared" si="51"/>
        <v>816</v>
      </c>
      <c r="I320">
        <f t="shared" si="52"/>
        <v>79.459999999999994</v>
      </c>
      <c r="J320">
        <f t="shared" si="53"/>
        <v>8.7729999999999997</v>
      </c>
      <c r="K320">
        <f t="shared" si="54"/>
        <v>31.192</v>
      </c>
      <c r="L320">
        <f t="shared" si="55"/>
        <v>1317</v>
      </c>
      <c r="O320">
        <v>817</v>
      </c>
      <c r="P320">
        <v>6.1130000000000004</v>
      </c>
      <c r="Q320">
        <v>46.06</v>
      </c>
      <c r="R320">
        <v>31.192</v>
      </c>
      <c r="S320">
        <f t="shared" si="56"/>
        <v>79.459999999999994</v>
      </c>
      <c r="T320">
        <f t="shared" si="57"/>
        <v>46.06</v>
      </c>
      <c r="U320">
        <f t="shared" si="58"/>
        <v>31.192</v>
      </c>
      <c r="V320">
        <f t="shared" si="59"/>
        <v>1817</v>
      </c>
      <c r="X320">
        <v>1317</v>
      </c>
      <c r="Y320">
        <v>79.459999999999994</v>
      </c>
      <c r="Z320">
        <v>8.7729999999999997</v>
      </c>
      <c r="AA320">
        <v>31.192</v>
      </c>
      <c r="AC320">
        <v>1817</v>
      </c>
      <c r="AD320">
        <v>79.459999999999994</v>
      </c>
      <c r="AE320">
        <v>46.06</v>
      </c>
      <c r="AF320">
        <v>31.192</v>
      </c>
    </row>
    <row r="321" spans="1:32" x14ac:dyDescent="0.35">
      <c r="A321">
        <v>318</v>
      </c>
      <c r="B321">
        <v>6.1130000000000004</v>
      </c>
      <c r="C321">
        <v>10.965999999999999</v>
      </c>
      <c r="D321">
        <v>31.192</v>
      </c>
      <c r="E321">
        <f t="shared" si="48"/>
        <v>6.1130000000000004</v>
      </c>
      <c r="F321">
        <f t="shared" si="49"/>
        <v>41.673999999999999</v>
      </c>
      <c r="G321">
        <f t="shared" si="50"/>
        <v>31.192</v>
      </c>
      <c r="H321">
        <f t="shared" si="51"/>
        <v>815</v>
      </c>
      <c r="I321">
        <f t="shared" si="52"/>
        <v>79.459999999999994</v>
      </c>
      <c r="J321">
        <f t="shared" si="53"/>
        <v>10.965999999999999</v>
      </c>
      <c r="K321">
        <f t="shared" si="54"/>
        <v>31.192</v>
      </c>
      <c r="L321">
        <f t="shared" si="55"/>
        <v>1318</v>
      </c>
      <c r="O321">
        <v>818</v>
      </c>
      <c r="P321">
        <v>6.1130000000000004</v>
      </c>
      <c r="Q321">
        <v>48.253</v>
      </c>
      <c r="R321">
        <v>31.192</v>
      </c>
      <c r="S321">
        <f t="shared" si="56"/>
        <v>79.459999999999994</v>
      </c>
      <c r="T321">
        <f t="shared" si="57"/>
        <v>48.253</v>
      </c>
      <c r="U321">
        <f t="shared" si="58"/>
        <v>31.192</v>
      </c>
      <c r="V321">
        <f t="shared" si="59"/>
        <v>1818</v>
      </c>
      <c r="X321">
        <v>1318</v>
      </c>
      <c r="Y321">
        <v>79.459999999999994</v>
      </c>
      <c r="Z321">
        <v>10.965999999999999</v>
      </c>
      <c r="AA321">
        <v>31.192</v>
      </c>
      <c r="AC321">
        <v>1818</v>
      </c>
      <c r="AD321">
        <v>79.459999999999994</v>
      </c>
      <c r="AE321">
        <v>48.253</v>
      </c>
      <c r="AF321">
        <v>31.192</v>
      </c>
    </row>
    <row r="322" spans="1:32" x14ac:dyDescent="0.35">
      <c r="A322">
        <v>319</v>
      </c>
      <c r="B322">
        <v>6.1130000000000004</v>
      </c>
      <c r="C322">
        <v>13.16</v>
      </c>
      <c r="D322">
        <v>31.192</v>
      </c>
      <c r="E322">
        <f t="shared" si="48"/>
        <v>6.1130000000000004</v>
      </c>
      <c r="F322">
        <f t="shared" si="49"/>
        <v>39.480000000000004</v>
      </c>
      <c r="G322">
        <f t="shared" si="50"/>
        <v>31.192</v>
      </c>
      <c r="H322">
        <f t="shared" si="51"/>
        <v>814</v>
      </c>
      <c r="I322">
        <f t="shared" si="52"/>
        <v>79.459999999999994</v>
      </c>
      <c r="J322">
        <f t="shared" si="53"/>
        <v>13.16</v>
      </c>
      <c r="K322">
        <f t="shared" si="54"/>
        <v>31.192</v>
      </c>
      <c r="L322">
        <f t="shared" si="55"/>
        <v>1319</v>
      </c>
      <c r="O322">
        <v>819</v>
      </c>
      <c r="P322">
        <v>6.1130000000000004</v>
      </c>
      <c r="Q322">
        <v>50.445999999999998</v>
      </c>
      <c r="R322">
        <v>31.192</v>
      </c>
      <c r="S322">
        <f t="shared" si="56"/>
        <v>79.459999999999994</v>
      </c>
      <c r="T322">
        <f t="shared" si="57"/>
        <v>50.445999999999998</v>
      </c>
      <c r="U322">
        <f t="shared" si="58"/>
        <v>31.192</v>
      </c>
      <c r="V322">
        <f t="shared" si="59"/>
        <v>1819</v>
      </c>
      <c r="X322">
        <v>1319</v>
      </c>
      <c r="Y322">
        <v>79.459999999999994</v>
      </c>
      <c r="Z322">
        <v>13.16</v>
      </c>
      <c r="AA322">
        <v>31.192</v>
      </c>
      <c r="AC322">
        <v>1819</v>
      </c>
      <c r="AD322">
        <v>79.459999999999994</v>
      </c>
      <c r="AE322">
        <v>50.445999999999998</v>
      </c>
      <c r="AF322">
        <v>31.192</v>
      </c>
    </row>
    <row r="323" spans="1:32" x14ac:dyDescent="0.35">
      <c r="O323">
        <v>820</v>
      </c>
      <c r="P323">
        <v>6.1130000000000004</v>
      </c>
      <c r="Q323">
        <v>52.64</v>
      </c>
      <c r="R323">
        <v>31.192</v>
      </c>
      <c r="S323">
        <f>TRUNC(2*$Z$1-P323,2)</f>
        <v>79.459999999999994</v>
      </c>
      <c r="T323">
        <f>Q323</f>
        <v>52.64</v>
      </c>
      <c r="U323">
        <f>R323</f>
        <v>31.192</v>
      </c>
      <c r="V323">
        <f>SUMIFS($AC:$AC,$AD:$AD,S323,$AE:$AE,T323,$AF:$AF,U323)</f>
        <v>1820</v>
      </c>
      <c r="Y323">
        <v>0</v>
      </c>
      <c r="AC323">
        <v>1820</v>
      </c>
      <c r="AD323">
        <v>79.459999999999994</v>
      </c>
      <c r="AE323">
        <v>52.64</v>
      </c>
      <c r="AF323">
        <v>31.192</v>
      </c>
    </row>
  </sheetData>
  <sortState xmlns:xlrd2="http://schemas.microsoft.com/office/spreadsheetml/2017/richdata2" ref="A1:D1278">
    <sortCondition ref="A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a345add-a937-4718-8a03-68055f8ef66f" xsi:nil="true"/>
    <lcf76f155ced4ddcb4097134ff3c332f xmlns="070073f2-8dac-479c-8ae3-f8c74eb8982a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B829AD9D0171D48AC656E5654D2873D" ma:contentTypeVersion="" ma:contentTypeDescription="Create a new document." ma:contentTypeScope="" ma:versionID="361c9d3f069c40252d89ec884349c094">
  <xsd:schema xmlns:xsd="http://www.w3.org/2001/XMLSchema" xmlns:xs="http://www.w3.org/2001/XMLSchema" xmlns:p="http://schemas.microsoft.com/office/2006/metadata/properties" xmlns:ns2="070073f2-8dac-479c-8ae3-f8c74eb8982a" xmlns:ns3="9972dfcf-2912-44e5-b2ab-fce648e29fcc" xmlns:ns4="ca345add-a937-4718-8a03-68055f8ef66f" targetNamespace="http://schemas.microsoft.com/office/2006/metadata/properties" ma:root="true" ma:fieldsID="bbc3d7d9f0eb1965eaa4f8644704ad5f" ns2:_="" ns3:_="" ns4:_="">
    <xsd:import namespace="070073f2-8dac-479c-8ae3-f8c74eb8982a"/>
    <xsd:import namespace="9972dfcf-2912-44e5-b2ab-fce648e29fcc"/>
    <xsd:import namespace="ca345add-a937-4718-8a03-68055f8ef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0073f2-8dac-479c-8ae3-f8c74eb898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dd59fdd7-4f02-43f5-a699-00c5aefeef9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72dfcf-2912-44e5-b2ab-fce648e29fcc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345add-a937-4718-8a03-68055f8ef66f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08973d3a-1a4d-4aca-9956-ad2224f4bc7a}" ma:internalName="TaxCatchAll" ma:showField="CatchAllData" ma:web="ca345add-a937-4718-8a03-68055f8ef66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F19734-5904-4497-8908-3DD8068B4AA9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ae3aecdf-545d-47da-85fe-3e946aea51b8"/>
    <ds:schemaRef ds:uri="http://www.w3.org/XML/1998/namespace"/>
    <ds:schemaRef ds:uri="http://purl.org/dc/dcmitype/"/>
    <ds:schemaRef ds:uri="ca345add-a937-4718-8a03-68055f8ef66f"/>
    <ds:schemaRef ds:uri="070073f2-8dac-479c-8ae3-f8c74eb8982a"/>
  </ds:schemaRefs>
</ds:datastoreItem>
</file>

<file path=customXml/itemProps2.xml><?xml version="1.0" encoding="utf-8"?>
<ds:datastoreItem xmlns:ds="http://schemas.openxmlformats.org/officeDocument/2006/customXml" ds:itemID="{0B16110F-0667-4F6A-A91E-AC5936E639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70073f2-8dac-479c-8ae3-f8c74eb8982a"/>
    <ds:schemaRef ds:uri="9972dfcf-2912-44e5-b2ab-fce648e29fcc"/>
    <ds:schemaRef ds:uri="ca345add-a937-4718-8a03-68055f8ef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91F05B5-25E7-413F-A305-204E4BAD349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INITIALIZE</vt:lpstr>
      <vt:lpstr>Coin1</vt:lpstr>
      <vt:lpstr>Coin2</vt:lpstr>
      <vt:lpstr>Coin3</vt:lpstr>
      <vt:lpstr>Coin4</vt:lpstr>
      <vt:lpstr>Export</vt:lpstr>
      <vt:lpstr>Correspondance</vt:lpstr>
      <vt:lpstr>Sheet3</vt:lpstr>
    </vt:vector>
  </TitlesOfParts>
  <Company>HAMONGROUP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NOSIGLIA Luis</dc:creator>
  <cp:lastModifiedBy>Ignacio Utrera Garitagoitia</cp:lastModifiedBy>
  <dcterms:created xsi:type="dcterms:W3CDTF">2017-03-06T14:05:05Z</dcterms:created>
  <dcterms:modified xsi:type="dcterms:W3CDTF">2025-07-15T19:52:04Z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0x0101001B829AD9D0171D48AC656E5654D2873D</vt:lpwstr>
  </property>
</Properties>
</file>